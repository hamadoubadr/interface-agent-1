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2026-02-16_DCE_Ferme Expérimentale_Lot unique\2026-02-16_DCE_Ferme Expérimentale_Lot unique\3. BORDEREAU\"/>
    </mc:Choice>
  </mc:AlternateContent>
  <xr:revisionPtr revIDLastSave="0" documentId="13_ncr:1_{FC34DF90-EE53-45D0-8FC0-785AFA55E6F2}" xr6:coauthVersionLast="47" xr6:coauthVersionMax="47" xr10:uidLastSave="{00000000-0000-0000-0000-000000000000}"/>
  <bookViews>
    <workbookView xWindow="-108" yWindow="-108" windowWidth="23256" windowHeight="12456" tabRatio="779" xr2:uid="{00000000-000D-0000-FFFF-FFFF00000000}"/>
  </bookViews>
  <sheets>
    <sheet name="Recap Generale " sheetId="78" r:id="rId1"/>
    <sheet name="Lot N°01 GROS OEUVRE " sheetId="76" r:id="rId2"/>
    <sheet name="Lot N°02 ETANCHEITE" sheetId="75" r:id="rId3"/>
    <sheet name="Lot N03 CHARPENTE METALLIQUE " sheetId="77" r:id="rId4"/>
    <sheet name="Lot N°04 FLUIDES" sheetId="87" r:id="rId5"/>
    <sheet name="Lot N° 05 ELECTRICITE" sheetId="80" r:id="rId6"/>
    <sheet name="Lot N° 06 REVETEMENT" sheetId="79" r:id="rId7"/>
    <sheet name="Lot N° 07 MENUISERIE BOIS" sheetId="81" r:id="rId8"/>
    <sheet name="Lot N° 08 MENUISERIE ALUM" sheetId="82" r:id="rId9"/>
    <sheet name="Lot N° 09 MENUISERIE METAL" sheetId="83" r:id="rId10"/>
    <sheet name="Lot N°10 FAUX PLAFOND" sheetId="84" r:id="rId11"/>
    <sheet name="Lot N°11 PEINTURE" sheetId="85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A">#REF!</definedName>
    <definedName name="\B">#REF!</definedName>
    <definedName name="\C">#REF!</definedName>
    <definedName name="_\A">#REF!</definedName>
    <definedName name="_\B">#REF!</definedName>
    <definedName name="_\C">#REF!</definedName>
    <definedName name="_________________R">[1]AN2!#REF!</definedName>
    <definedName name="________________R">[1]AN2!#REF!</definedName>
    <definedName name="________________RR">[1]AN2!#REF!</definedName>
    <definedName name="_______________R">[1]AN2!#REF!</definedName>
    <definedName name="_____________R">[1]AN2!#REF!</definedName>
    <definedName name="____________R">[1]AN2!#REF!</definedName>
    <definedName name="___________R">[1]AN2!#REF!</definedName>
    <definedName name="__________R">[1]AN2!#REF!</definedName>
    <definedName name="_________R">[1]AN2!#REF!</definedName>
    <definedName name="________R">[1]AN2!#REF!</definedName>
    <definedName name="_______R">[1]AN2!#REF!</definedName>
    <definedName name="______R">[1]AN2!#REF!</definedName>
    <definedName name="_____R">[1]AN2!#REF!</definedName>
    <definedName name="____R">[1]AN2!#REF!</definedName>
    <definedName name="___R">[1]AN2!#REF!</definedName>
    <definedName name="__R">[1]AN2!#REF!</definedName>
    <definedName name="__tx1">#N/A</definedName>
    <definedName name="__tx2">#N/A</definedName>
    <definedName name="_01_aoû_87">#REF!</definedName>
    <definedName name="_01_aoû_88">#REF!</definedName>
    <definedName name="_01_aoû_89">#REF!</definedName>
    <definedName name="_01_aoû_90">#REF!</definedName>
    <definedName name="_01_aoû_91">#REF!</definedName>
    <definedName name="_01_aoû_92">#REF!</definedName>
    <definedName name="_01_aoû_93">#REF!</definedName>
    <definedName name="_01_aoû_94">#REF!</definedName>
    <definedName name="_01_aoû_95">#REF!</definedName>
    <definedName name="_01_aoû_96">#REF!</definedName>
    <definedName name="_01_aoû_97">#REF!</definedName>
    <definedName name="_01_avr_87">#REF!</definedName>
    <definedName name="_01_avr_88">#REF!</definedName>
    <definedName name="_01_avr_89">#REF!</definedName>
    <definedName name="_01_avr_90">#REF!</definedName>
    <definedName name="_01_avr_91">#REF!</definedName>
    <definedName name="_01_avr_92">#REF!</definedName>
    <definedName name="_01_avr_93">#REF!</definedName>
    <definedName name="_01_avr_94">#REF!</definedName>
    <definedName name="_01_avr_95">#REF!</definedName>
    <definedName name="_01_avr_96">#REF!</definedName>
    <definedName name="_01_avr_97">#REF!</definedName>
    <definedName name="_01_déc_87">#REF!</definedName>
    <definedName name="_01_déc_88">#REF!</definedName>
    <definedName name="_01_déc_89">#REF!</definedName>
    <definedName name="_01_déc_90">#REF!</definedName>
    <definedName name="_01_déc_91">#REF!</definedName>
    <definedName name="_01_déc_92">#REF!</definedName>
    <definedName name="_01_déc_93">#REF!</definedName>
    <definedName name="_01_déc_94">#REF!</definedName>
    <definedName name="_01_déc_95">#REF!</definedName>
    <definedName name="_01_déc_96">#REF!</definedName>
    <definedName name="_01_déc_97">#REF!</definedName>
    <definedName name="_01_fév_87">#REF!</definedName>
    <definedName name="_01_fév_88">#REF!</definedName>
    <definedName name="_01_fév_89">#REF!</definedName>
    <definedName name="_01_fév_90">#REF!</definedName>
    <definedName name="_01_fév_91">#REF!</definedName>
    <definedName name="_01_fév_92">#REF!</definedName>
    <definedName name="_01_fév_93">#REF!</definedName>
    <definedName name="_01_fév_94">#REF!</definedName>
    <definedName name="_01_fév_95">#REF!</definedName>
    <definedName name="_01_fév_96">#REF!</definedName>
    <definedName name="_01_fév_97">#REF!</definedName>
    <definedName name="_01_jan_87">#REF!</definedName>
    <definedName name="_01_jan_88">#REF!</definedName>
    <definedName name="_01_jan_89">#REF!</definedName>
    <definedName name="_01_jan_90">#REF!</definedName>
    <definedName name="_01_jan_91">#REF!</definedName>
    <definedName name="_01_jan_92">#REF!</definedName>
    <definedName name="_01_jan_93">#REF!</definedName>
    <definedName name="_01_jan_94">#REF!</definedName>
    <definedName name="_01_jan_95">#REF!</definedName>
    <definedName name="_01_jan_96">#REF!</definedName>
    <definedName name="_01_jan_97">#REF!</definedName>
    <definedName name="_01_jul_87">#REF!</definedName>
    <definedName name="_01_jul_88">#REF!</definedName>
    <definedName name="_01_jul_89">#REF!</definedName>
    <definedName name="_01_jul_90">#REF!</definedName>
    <definedName name="_01_jul_91">#REF!</definedName>
    <definedName name="_01_jul_92">#REF!</definedName>
    <definedName name="_01_jul_93">#REF!</definedName>
    <definedName name="_01_jul_94">#REF!</definedName>
    <definedName name="_01_jul_95">#REF!</definedName>
    <definedName name="_01_jul_96">#REF!</definedName>
    <definedName name="_01_jul_97">#REF!</definedName>
    <definedName name="_01_jun_87">#REF!</definedName>
    <definedName name="_01_jun_88">#REF!</definedName>
    <definedName name="_01_jun_89">#REF!</definedName>
    <definedName name="_01_jun_90">#REF!</definedName>
    <definedName name="_01_jun_91">#REF!</definedName>
    <definedName name="_01_jun_92">#REF!</definedName>
    <definedName name="_01_jun_93">#REF!</definedName>
    <definedName name="_01_jun_94">#REF!</definedName>
    <definedName name="_01_jun_95">#REF!</definedName>
    <definedName name="_01_jun_96">#REF!</definedName>
    <definedName name="_01_jun_97">#REF!</definedName>
    <definedName name="_01_mai_87">#REF!</definedName>
    <definedName name="_01_mai_88">#REF!</definedName>
    <definedName name="_01_mai_89">#REF!</definedName>
    <definedName name="_01_mai_90">#REF!</definedName>
    <definedName name="_01_mai_91">#REF!</definedName>
    <definedName name="_01_mai_92">#REF!</definedName>
    <definedName name="_01_mai_93">#REF!</definedName>
    <definedName name="_01_mai_94">#REF!</definedName>
    <definedName name="_01_mai_95">#REF!</definedName>
    <definedName name="_01_mai_96">#REF!</definedName>
    <definedName name="_01_mai_97">#REF!</definedName>
    <definedName name="_01_mar_87">#REF!</definedName>
    <definedName name="_01_mar_88">#REF!</definedName>
    <definedName name="_01_mar_89">#REF!</definedName>
    <definedName name="_01_mar_90">#REF!</definedName>
    <definedName name="_01_mar_91">#REF!</definedName>
    <definedName name="_01_mar_92">#REF!</definedName>
    <definedName name="_01_mar_93">#REF!</definedName>
    <definedName name="_01_mar_94">#REF!</definedName>
    <definedName name="_01_mar_95">#REF!</definedName>
    <definedName name="_01_mar_96">#REF!</definedName>
    <definedName name="_01_mar_97">#REF!</definedName>
    <definedName name="_01_nov_87">#REF!</definedName>
    <definedName name="_01_nov_88">#REF!</definedName>
    <definedName name="_01_nov_89">#REF!</definedName>
    <definedName name="_01_nov_90">#REF!</definedName>
    <definedName name="_01_nov_91">#REF!</definedName>
    <definedName name="_01_nov_92">#REF!</definedName>
    <definedName name="_01_nov_93">#REF!</definedName>
    <definedName name="_01_nov_94">#REF!</definedName>
    <definedName name="_01_nov_95">#REF!</definedName>
    <definedName name="_01_nov_96">#REF!</definedName>
    <definedName name="_01_nov_97">#REF!</definedName>
    <definedName name="_01_oct_87">#REF!</definedName>
    <definedName name="_01_oct_88">#REF!</definedName>
    <definedName name="_01_oct_89">#REF!</definedName>
    <definedName name="_01_oct_90">#REF!</definedName>
    <definedName name="_01_oct_91">#REF!</definedName>
    <definedName name="_01_oct_92">#REF!</definedName>
    <definedName name="_01_oct_93">#REF!</definedName>
    <definedName name="_01_oct_94">#REF!</definedName>
    <definedName name="_01_oct_95">#REF!</definedName>
    <definedName name="_01_oct_96">#REF!</definedName>
    <definedName name="_01_oct_97">#REF!</definedName>
    <definedName name="_01_sep_87">#REF!</definedName>
    <definedName name="_01_sep_88">#REF!</definedName>
    <definedName name="_01_sep_89">#REF!</definedName>
    <definedName name="_01_sep_90">#REF!</definedName>
    <definedName name="_01_sep_91">#REF!</definedName>
    <definedName name="_01_sep_92">#REF!</definedName>
    <definedName name="_01_sep_93">#REF!</definedName>
    <definedName name="_01_sep_94">#REF!</definedName>
    <definedName name="_01_sep_95">#REF!</definedName>
    <definedName name="_01_sep_96">#REF!</definedName>
    <definedName name="_01_sep_97">#REF!</definedName>
    <definedName name="_100_Fonte_k9">#REF!</definedName>
    <definedName name="_110PN10">#REF!</definedName>
    <definedName name="_110PN16">#REF!</definedName>
    <definedName name="_125_Fonte_k9">#REF!</definedName>
    <definedName name="_125PN10">#REF!</definedName>
    <definedName name="_125PN16">#REF!</definedName>
    <definedName name="_140PN10">#REF!</definedName>
    <definedName name="_140PN16">#REF!</definedName>
    <definedName name="_150_Fonte_k9">#REF!</definedName>
    <definedName name="_160PN10">#REF!</definedName>
    <definedName name="_160PN16">#REF!</definedName>
    <definedName name="_200_Fonte_k9">#REF!</definedName>
    <definedName name="_200PN10">#REF!</definedName>
    <definedName name="_200PN16">#REF!</definedName>
    <definedName name="_225_Fonte_k9">#REF!</definedName>
    <definedName name="_225PN10">#REF!</definedName>
    <definedName name="_225PN16">#REF!</definedName>
    <definedName name="_250_Fonte_k9">#REF!</definedName>
    <definedName name="_250PN10">#REF!</definedName>
    <definedName name="_250PN16">#REF!</definedName>
    <definedName name="_300_Fonte_k9">#REF!</definedName>
    <definedName name="_315PN10">#REF!</definedName>
    <definedName name="_315PN16">#REF!</definedName>
    <definedName name="_400_Fonte_k9">#REF!</definedName>
    <definedName name="_50PN10">#REF!</definedName>
    <definedName name="_50PN16">#REF!</definedName>
    <definedName name="_60_Fonte_k9">#REF!</definedName>
    <definedName name="_63PN10">#REF!</definedName>
    <definedName name="_63PN16">#REF!</definedName>
    <definedName name="_75PN10">#REF!</definedName>
    <definedName name="_75PN16">#REF!</definedName>
    <definedName name="_80_Fonte_k9">#REF!</definedName>
    <definedName name="_90PN10">#REF!</definedName>
    <definedName name="_90PN16">#REF!</definedName>
    <definedName name="_AA1">'[2]Macro-Dexterne'!$A$12</definedName>
    <definedName name="_Bat1">#REF!</definedName>
    <definedName name="_Bat2">#REF!</definedName>
    <definedName name="_Bat3">#REF!</definedName>
    <definedName name="_Bat4">#REF!</definedName>
    <definedName name="_Bat5">#REF!</definedName>
    <definedName name="_Bat6">#REF!</definedName>
    <definedName name="_R">[1]AN2!#REF!</definedName>
    <definedName name="_R150_">#REF!</definedName>
    <definedName name="_R200_">#REF!</definedName>
    <definedName name="_R300_">#REF!</definedName>
    <definedName name="_ss1">'[3]Macro-Diam-interne'!$A$12</definedName>
    <definedName name="_ss2">'[3]Macro-Epaisseur'!$A$12</definedName>
    <definedName name="_ss3">'[3]Macro-Dexterne'!$A$12</definedName>
    <definedName name="_ss4">'[4]Macro-Dexterne'!$A$12</definedName>
    <definedName name="_ST150">#REF!</definedName>
    <definedName name="_ST200">#REF!</definedName>
    <definedName name="_ST300">#REF!</definedName>
    <definedName name="_tx1">#REF!</definedName>
    <definedName name="_tx2">#REF!</definedName>
    <definedName name="a">[5]AN2!#REF!</definedName>
    <definedName name="aa">#REF!</definedName>
    <definedName name="aaa">#REF!</definedName>
    <definedName name="aasr2">#REF!</definedName>
    <definedName name="aasr412">#REF!</definedName>
    <definedName name="ab">[6]Bache!$J$9</definedName>
    <definedName name="abc">#REF!</definedName>
    <definedName name="Aciers_ratio">#REF!</definedName>
    <definedName name="ACOMPTE" localSheetId="2">[7]Recap!$D$18</definedName>
    <definedName name="ACOMPTE" localSheetId="3">[7]Recap!$D$18</definedName>
    <definedName name="ACOMPTE">[8]Recap!$D$18</definedName>
    <definedName name="ACS" localSheetId="3">'Lot N03 CHARPENTE METALLIQUE '!ACS</definedName>
    <definedName name="ACS" localSheetId="0">'Recap Generale '!ACS</definedName>
    <definedName name="ACS">[0]!ACS</definedName>
    <definedName name="acti" localSheetId="3">#REF!</definedName>
    <definedName name="acti">#REF!</definedName>
    <definedName name="ADMI" localSheetId="3">#REF!</definedName>
    <definedName name="ADMI">#REF!</definedName>
    <definedName name="Adresse1">[9]Para!$B$4</definedName>
    <definedName name="Adresse2">[9]Para!$B$5</definedName>
    <definedName name="AER" localSheetId="3">'Lot N03 CHARPENTE METALLIQUE '!AER</definedName>
    <definedName name="AER" localSheetId="0">'Recap Generale '!AER</definedName>
    <definedName name="AER">[0]!AER</definedName>
    <definedName name="AG_100" localSheetId="3">#REF!</definedName>
    <definedName name="AG_100">#REF!</definedName>
    <definedName name="AG_150" localSheetId="3">#REF!</definedName>
    <definedName name="AG_150">#REF!</definedName>
    <definedName name="AG_200" localSheetId="3">#REF!</definedName>
    <definedName name="AG_200">#REF!</definedName>
    <definedName name="AG_250">#REF!</definedName>
    <definedName name="AG_40">#REF!</definedName>
    <definedName name="AG_60">#REF!</definedName>
    <definedName name="AG_80">#REF!</definedName>
    <definedName name="Agglos_20cm">#REF!</definedName>
    <definedName name="Agitateur">#REF!</definedName>
    <definedName name="ALU" localSheetId="2">#REF!</definedName>
    <definedName name="ALU" localSheetId="0">#REF!</definedName>
    <definedName name="ALU">#REF!</definedName>
    <definedName name="AMEX" localSheetId="2">#REF!</definedName>
    <definedName name="AMEX" localSheetId="0">#REF!</definedName>
    <definedName name="AMEX">#REF!</definedName>
    <definedName name="annee">#N/A</definedName>
    <definedName name="ANREF">#REF!</definedName>
    <definedName name="anrefer">#REF!</definedName>
    <definedName name="Anti_bélier_100">#REF!</definedName>
    <definedName name="Anti_bélier_1000">#REF!</definedName>
    <definedName name="Anti_bélier_150">#REF!</definedName>
    <definedName name="Anti_bélier_200">#REF!</definedName>
    <definedName name="Anti_bélier_250">#REF!</definedName>
    <definedName name="Anti_bélier_300">#REF!</definedName>
    <definedName name="Anti_bélier_50">#REF!</definedName>
    <definedName name="Anti_bélier_500">#REF!</definedName>
    <definedName name="aps_a_comm_elec">'[10]bord.elec.annasr'!#REF!</definedName>
    <definedName name="aqs" localSheetId="3">'Lot N03 CHARPENTE METALLIQUE '!aqs</definedName>
    <definedName name="aqs" localSheetId="0">'Recap Generale '!aqs</definedName>
    <definedName name="aqs">[0]!aqs</definedName>
    <definedName name="armoire_arrivée" localSheetId="3">#REF!</definedName>
    <definedName name="armoire_arrivée">#REF!</definedName>
    <definedName name="Armoire_électrique" localSheetId="3">#REF!</definedName>
    <definedName name="Armoire_électrique">#REF!</definedName>
    <definedName name="armoire_groupe" localSheetId="3">#REF!</definedName>
    <definedName name="armoire_groupe">#REF!</definedName>
    <definedName name="Asphalte">#REF!</definedName>
    <definedName name="Assurance_decennale">#REF!</definedName>
    <definedName name="aui">#N/A</definedName>
    <definedName name="b">[5]AN2!#REF!</definedName>
    <definedName name="BA">#REF!</definedName>
    <definedName name="Bac_100">#REF!</definedName>
    <definedName name="Bac_douche_gré_0.70x0.70">#REF!</definedName>
    <definedName name="Badigeon_chaux">#REF!</definedName>
    <definedName name="Badigeon_flinkote">#REF!</definedName>
    <definedName name="Barbacanes">#REF!</definedName>
    <definedName name="_xlnm.Database">[11]elec!#REF!</definedName>
    <definedName name="basededonnées" localSheetId="3">#REF!</definedName>
    <definedName name="basededonnées">#REF!</definedName>
    <definedName name="bb" localSheetId="3">#REF!</definedName>
    <definedName name="bb">#REF!</definedName>
    <definedName name="BBBB" localSheetId="3">#REF!</definedName>
    <definedName name="BBBB">#REF!</definedName>
    <definedName name="Beg_Bal">#REF!</definedName>
    <definedName name="BEL">'[2]Macro-Dexterne'!$A$12</definedName>
    <definedName name="Betanc">[12]CPS1!#REF!</definedName>
    <definedName name="BETO">[13]CPS1!#REF!</definedName>
    <definedName name="Béton_B2" localSheetId="3">#REF!</definedName>
    <definedName name="Béton_B2">#REF!</definedName>
    <definedName name="Béton_B3" localSheetId="3">#REF!</definedName>
    <definedName name="Béton_B3">#REF!</definedName>
    <definedName name="Béton_B4" localSheetId="3">#REF!</definedName>
    <definedName name="Béton_B4">#REF!</definedName>
    <definedName name="Béton_B5">#REF!</definedName>
    <definedName name="Béton_Bhydrofuge">#REF!</definedName>
    <definedName name="Béton_cellulaire">#REF!</definedName>
    <definedName name="Béton_cyclopéen">#REF!</definedName>
    <definedName name="bn">[1]AN2!#REF!</definedName>
    <definedName name="BOI" localSheetId="2">#REF!</definedName>
    <definedName name="BOI" localSheetId="3">#REF!</definedName>
    <definedName name="BOI" localSheetId="0">#REF!</definedName>
    <definedName name="BOI">#REF!</definedName>
    <definedName name="bordure_trottoir" localSheetId="3">#REF!</definedName>
    <definedName name="bordure_trottoir">#REF!</definedName>
    <definedName name="Borne_fontaine" localSheetId="3">#REF!</definedName>
    <definedName name="Borne_fontaine">#REF!</definedName>
    <definedName name="bouchon_110">#REF!</definedName>
    <definedName name="bouchon_125">#REF!</definedName>
    <definedName name="bouchon_160">#REF!</definedName>
    <definedName name="bouchon_50">#REF!</definedName>
    <definedName name="bouchon_63">#REF!</definedName>
    <definedName name="bouchon_75">#REF!</definedName>
    <definedName name="bouchon_90">#REF!</definedName>
    <definedName name="Bouchon_SR_110">#REF!</definedName>
    <definedName name="Bouchon_SR_50">#REF!</definedName>
    <definedName name="Bouchon_SR_63">#REF!</definedName>
    <definedName name="Bouchon_SR_75">#REF!</definedName>
    <definedName name="Bouchon_SR_90">#REF!</definedName>
    <definedName name="BP">#REF!</definedName>
    <definedName name="BPr">'[14]ATT INTERNAT'!#REF!</definedName>
    <definedName name="Briques_20cm" localSheetId="3">#REF!</definedName>
    <definedName name="Briques_20cm">#REF!</definedName>
    <definedName name="BU_fonte_100" localSheetId="3">#REF!</definedName>
    <definedName name="BU_fonte_100">#REF!</definedName>
    <definedName name="BU_fonte_150" localSheetId="3">#REF!</definedName>
    <definedName name="BU_fonte_150">#REF!</definedName>
    <definedName name="BU_fonte_200">#REF!</definedName>
    <definedName name="BU_fonte_250">#REF!</definedName>
    <definedName name="BU_fonte_300">#REF!</definedName>
    <definedName name="BU_fonte_400">#REF!</definedName>
    <definedName name="BU_fonte_60">#REF!</definedName>
    <definedName name="BU_fonte_80">#REF!</definedName>
    <definedName name="BU_PVC_110">#REF!</definedName>
    <definedName name="BU_PVC_125">#REF!</definedName>
    <definedName name="BU_PVC_160">#REF!</definedName>
    <definedName name="BU_PVC_63">#REF!</definedName>
    <definedName name="BU_PVC_75">#REF!</definedName>
    <definedName name="BU_PVC_90">#REF!</definedName>
    <definedName name="Bureaux_location">[15]Z.Fnche!#REF!</definedName>
    <definedName name="Buse_100" localSheetId="3">#REF!</definedName>
    <definedName name="Buse_100">#REF!</definedName>
    <definedName name="Buse_200" localSheetId="3">#REF!</definedName>
    <definedName name="Buse_200">#REF!</definedName>
    <definedName name="cable_arrivée" localSheetId="3">#REF!</definedName>
    <definedName name="cable_arrivée">#REF!</definedName>
    <definedName name="cable_BT_groupes">#REF!</definedName>
    <definedName name="Canniveaux_cable">#REF!</definedName>
    <definedName name="Canniveaux_eau_fuite">#REF!</definedName>
    <definedName name="Capot_regard">#REF!</definedName>
    <definedName name="caractere">'[16]Données de base'!$M$13:$M$14</definedName>
    <definedName name="CCCCCC" localSheetId="3">#REF!</definedName>
    <definedName name="CCCCCC">#REF!</definedName>
    <definedName name="CEG" localSheetId="2">#REF!</definedName>
    <definedName name="CEG" localSheetId="3">#REF!</definedName>
    <definedName name="CEG">#REF!</definedName>
    <definedName name="CET" localSheetId="2">#REF!</definedName>
    <definedName name="CET" localSheetId="3">#REF!</definedName>
    <definedName name="CET">#REF!</definedName>
    <definedName name="Chapitre">[9]Para!$B$10</definedName>
    <definedName name="chassis_0.4x0.3" localSheetId="3">#REF!</definedName>
    <definedName name="chassis_0.4x0.3">#REF!</definedName>
    <definedName name="chassis_1_3x0.5" localSheetId="3">#REF!</definedName>
    <definedName name="chassis_1_3x0.5">#REF!</definedName>
    <definedName name="Chaussée_encaillasée" localSheetId="3">#REF!</definedName>
    <definedName name="Chaussée_encaillasée">#REF!</definedName>
    <definedName name="circuit_terre">#REF!</definedName>
    <definedName name="CIVIL">#N/A</definedName>
    <definedName name="CIVILASLOUJI">#N/A</definedName>
    <definedName name="Clapet_100">#REF!</definedName>
    <definedName name="Clapet_150">#REF!</definedName>
    <definedName name="Clapet_200">#REF!</definedName>
    <definedName name="Clapet_250">#REF!</definedName>
    <definedName name="Clapet_300">#REF!</definedName>
    <definedName name="Clapet_40">#REF!</definedName>
    <definedName name="Clapet_60">#REF!</definedName>
    <definedName name="Clapet_80">#REF!</definedName>
    <definedName name="Clôture_A">#REF!</definedName>
    <definedName name="Clôture_B">#REF!</definedName>
    <definedName name="Clôture_C">#REF!</definedName>
    <definedName name="Clôture_D">#REF!</definedName>
    <definedName name="CM" localSheetId="2">#REF!</definedName>
    <definedName name="CM">#REF!</definedName>
    <definedName name="Coef">#REF!</definedName>
    <definedName name="Coeff_Majoration" localSheetId="2">#REF!</definedName>
    <definedName name="Coeff_Majoration">#REF!</definedName>
    <definedName name="Coefficient_de_majoration_global_hors_terrassement" localSheetId="2">'[17]Hypothèses générales'!$B$8</definedName>
    <definedName name="Coefficient_de_majoration_global_hors_terrassement" localSheetId="3">'[17]Hypothèses générales'!$B$8</definedName>
    <definedName name="Coefficient_de_majoration_global_hors_terrassement">'[18]Hypothèses générales'!$B$8</definedName>
    <definedName name="Coefficient_de_majoration_global_terrassement" localSheetId="2">'[17]Hypothèses générales'!$B$9</definedName>
    <definedName name="Coefficient_de_majoration_global_terrassement" localSheetId="3">'[17]Hypothèses générales'!$B$9</definedName>
    <definedName name="Coefficient_de_majoration_global_terrassement">'[18]Hypothèses générales'!$B$9</definedName>
    <definedName name="Collet_bridé_110" localSheetId="3">#REF!</definedName>
    <definedName name="Collet_bridé_110">#REF!</definedName>
    <definedName name="Collet_bridé_125" localSheetId="3">#REF!</definedName>
    <definedName name="Collet_bridé_125">#REF!</definedName>
    <definedName name="Collet_bridé_140" localSheetId="3">#REF!</definedName>
    <definedName name="Collet_bridé_140">#REF!</definedName>
    <definedName name="Collet_bridé_160">#REF!</definedName>
    <definedName name="Collet_bridé_200">#REF!</definedName>
    <definedName name="Collet_bridé_250">#REF!</definedName>
    <definedName name="Collet_bridé_50">#REF!</definedName>
    <definedName name="Collet_bridé_63">#REF!</definedName>
    <definedName name="Collet_bridé_75">#REF!</definedName>
    <definedName name="Collet_bridé_90">#REF!</definedName>
    <definedName name="Commande_régulation">#REF!</definedName>
    <definedName name="Compteur_100">#REF!</definedName>
    <definedName name="Compteur_150">#REF!</definedName>
    <definedName name="Compteur_200">#REF!</definedName>
    <definedName name="Compteur_250">#REF!</definedName>
    <definedName name="Compteur_300">#REF!</definedName>
    <definedName name="Compteur_40">#REF!</definedName>
    <definedName name="Compteur_50">#REF!</definedName>
    <definedName name="Compteur_60">#REF!</definedName>
    <definedName name="Compteur_80">#REF!</definedName>
    <definedName name="conduits_en_tube_ICD">#REF!</definedName>
    <definedName name="Cône_100">#REF!</definedName>
    <definedName name="cone_100_60">#REF!</definedName>
    <definedName name="cone_100_80">#REF!</definedName>
    <definedName name="Cône_150">#REF!</definedName>
    <definedName name="cone_150_100">#REF!</definedName>
    <definedName name="cone_150_80">#REF!</definedName>
    <definedName name="Cône_200">#REF!</definedName>
    <definedName name="cone_200_150">#REF!</definedName>
    <definedName name="cone_250_200">#REF!</definedName>
    <definedName name="cone_300_200">#REF!</definedName>
    <definedName name="cone_300_250">#REF!</definedName>
    <definedName name="cone_400_300">#REF!</definedName>
    <definedName name="Cône_60">#REF!</definedName>
    <definedName name="Cône_80">#REF!</definedName>
    <definedName name="cone_80_60">#REF!</definedName>
    <definedName name="conf">#N/A</definedName>
    <definedName name="Confection_paillasse">#REF!</definedName>
    <definedName name="cote_forage">#REF!</definedName>
    <definedName name="cote_forage1">#REF!</definedName>
    <definedName name="Couche_d_accrochage">#REF!</definedName>
    <definedName name="coude_110">#REF!</definedName>
    <definedName name="coude_125">#REF!</definedName>
    <definedName name="coude_140">#REF!</definedName>
    <definedName name="coude_160">#REF!</definedName>
    <definedName name="coude_200">#REF!</definedName>
    <definedName name="coude_50">#REF!</definedName>
    <definedName name="coude_63">#REF!</definedName>
    <definedName name="coude_75">#REF!</definedName>
    <definedName name="coude_90">#REF!</definedName>
    <definedName name="Coude_bridé_100">#REF!</definedName>
    <definedName name="Coude_bridé_150">#REF!</definedName>
    <definedName name="Coude_bridé_200">#REF!</definedName>
    <definedName name="Coude_bridé_250">#REF!</definedName>
    <definedName name="Coude_bridé_300">#REF!</definedName>
    <definedName name="Coude_bridé_40">#REF!</definedName>
    <definedName name="Coude_bridé_60">#REF!</definedName>
    <definedName name="Coude_bridé_80">#REF!</definedName>
    <definedName name="cqa" localSheetId="3">'Lot N03 CHARPENTE METALLIQUE '!cqa</definedName>
    <definedName name="cqa" localSheetId="0">'Recap Generale '!cqa</definedName>
    <definedName name="cqa">[0]!cqa</definedName>
    <definedName name="CQS" localSheetId="3">'Lot N03 CHARPENTE METALLIQUE '!CQS</definedName>
    <definedName name="CQS" localSheetId="0">'Recap Generale '!CQS</definedName>
    <definedName name="CQS">[0]!CQS</definedName>
    <definedName name="Crépine_100" localSheetId="3">#REF!</definedName>
    <definedName name="Crépine_100">#REF!</definedName>
    <definedName name="Crépine_150" localSheetId="3">#REF!</definedName>
    <definedName name="Crépine_150">#REF!</definedName>
    <definedName name="Crépine_200" localSheetId="3">#REF!</definedName>
    <definedName name="Crépine_200">#REF!</definedName>
    <definedName name="Crépine_250">#REF!</definedName>
    <definedName name="Crépine_300">#REF!</definedName>
    <definedName name="Crépine_40">#REF!</definedName>
    <definedName name="Crépine_60">#REF!</definedName>
    <definedName name="Crépine_80">#REF!</definedName>
    <definedName name="_xlnm.Criteria" localSheetId="2">#REF!</definedName>
    <definedName name="_xlnm.Criteria" localSheetId="0">#REF!</definedName>
    <definedName name="_xlnm.Criteria">#REF!</definedName>
    <definedName name="cvn">'[4]Macro-Dexterne'!$A$12</definedName>
    <definedName name="cWhole" localSheetId="3">'Lot N03 CHARPENTE METALLIQUE '!cWhole</definedName>
    <definedName name="cWhole" localSheetId="0">'Recap Generale '!cWhole</definedName>
    <definedName name="cWhole">[0]!cWhole</definedName>
    <definedName name="cxq">'[4]Macro-Long'!$A$12:$B$53</definedName>
    <definedName name="d">#N/A</definedName>
    <definedName name="D.1">[19]RECAPELV!#REF!</definedName>
    <definedName name="D.2">[19]RECAPELV!#REF!</definedName>
    <definedName name="D_lot">[9]Para!$B$8</definedName>
    <definedName name="Data" localSheetId="3">#REF!</definedName>
    <definedName name="Data">#REF!</definedName>
    <definedName name="Database">[11]elec!#REF!</definedName>
    <definedName name="DATE" localSheetId="3">#REF!</definedName>
    <definedName name="DATE">#REF!</definedName>
    <definedName name="dateoffre">[20]Notes!$A$2</definedName>
    <definedName name="dd" localSheetId="3">#REF!</definedName>
    <definedName name="dd">#REF!</definedName>
    <definedName name="ddd" localSheetId="3">'Lot N03 CHARPENTE METALLIQUE '!ddd</definedName>
    <definedName name="ddd" localSheetId="0">'Recap Generale '!ddd</definedName>
    <definedName name="ddd">[0]!ddd</definedName>
    <definedName name="dddd" localSheetId="3">#REF!</definedName>
    <definedName name="dddd">#REF!</definedName>
    <definedName name="Deboisement_déracinnage" localSheetId="3">#REF!</definedName>
    <definedName name="Deboisement_déracinnage">#REF!</definedName>
    <definedName name="Débord_BP_fondations" localSheetId="2">'[17]Hypothèses générales'!$C$24</definedName>
    <definedName name="Débord_BP_fondations" localSheetId="3">'[17]Hypothèses générales'!$C$24</definedName>
    <definedName name="Débord_BP_fondations">'[18]Hypothèses générales'!$C$24</definedName>
    <definedName name="Décapage_intérieur" localSheetId="3">#REF!</definedName>
    <definedName name="Décapage_intérieur">#REF!</definedName>
    <definedName name="Decompte" localSheetId="3">#REF!</definedName>
    <definedName name="Decompte">#REF!</definedName>
    <definedName name="demi_buse_100" localSheetId="3">#REF!</definedName>
    <definedName name="demi_buse_100">#REF!</definedName>
    <definedName name="demi_buse_200">#REF!</definedName>
    <definedName name="demi_buse_300">#REF!</definedName>
    <definedName name="Démolition_chaussée">#REF!</definedName>
    <definedName name="Désignation">[9]Para!$B$11</definedName>
    <definedName name="Désignation_des_ouvrages">[21]S.P1!$B$7</definedName>
    <definedName name="désinfection" localSheetId="3">#REF!</definedName>
    <definedName name="désinfection">#REF!</definedName>
    <definedName name="DF" localSheetId="3">#REF!</definedName>
    <definedName name="DF">#REF!</definedName>
    <definedName name="dfdfd" localSheetId="2">#REF!</definedName>
    <definedName name="dfdfd" localSheetId="3">#REF!</definedName>
    <definedName name="dfdfd" localSheetId="0">#REF!</definedName>
    <definedName name="dfdfd">#REF!</definedName>
    <definedName name="DFE">'[4]Macro-Long'!$A$12:$B$53</definedName>
    <definedName name="dfg" localSheetId="3">#REF!</definedName>
    <definedName name="dfg">#REF!</definedName>
    <definedName name="Disjoncteur_général" localSheetId="3">#REF!</definedName>
    <definedName name="Disjoncteur_général">#REF!</definedName>
    <definedName name="DN" localSheetId="3">#REF!</definedName>
    <definedName name="DN">#REF!</definedName>
    <definedName name="ds">#REF!</definedName>
    <definedName name="DSQ">#N/A</definedName>
    <definedName name="e">[22]Assn!#REF!</definedName>
    <definedName name="Echelle_AGC_ml" localSheetId="3">#REF!</definedName>
    <definedName name="Echelle_AGC_ml">#REF!</definedName>
    <definedName name="Echelle_AGF_ml" localSheetId="3">#REF!</definedName>
    <definedName name="Echelle_AGF_ml">#REF!</definedName>
    <definedName name="Eclairage_extérieure" localSheetId="3">#REF!</definedName>
    <definedName name="Eclairage_extérieure">#REF!</definedName>
    <definedName name="éclairage_int_station">#REF!</definedName>
    <definedName name="Eclairage_intérieur">#REF!</definedName>
    <definedName name="EDF">#REF!</definedName>
    <definedName name="ee">#REF!</definedName>
    <definedName name="eee" localSheetId="3">'Lot N03 CHARPENTE METALLIQUE '!eee</definedName>
    <definedName name="eee" localSheetId="0">'Recap Generale '!eee</definedName>
    <definedName name="eee">[0]!eee</definedName>
    <definedName name="Eléc">[23]CPS1!$B$15</definedName>
    <definedName name="électrode" localSheetId="3">#REF!</definedName>
    <definedName name="électrode">#REF!</definedName>
    <definedName name="Embase_IPN" localSheetId="3">#REF!</definedName>
    <definedName name="Embase_IPN">#REF!</definedName>
    <definedName name="End_Bal" localSheetId="3">#REF!</definedName>
    <definedName name="End_Bal">#REF!</definedName>
    <definedName name="Enduit_bitumineux">#REF!</definedName>
    <definedName name="Enduit_étanche">#REF!</definedName>
    <definedName name="Enduit_exterieur">#REF!</definedName>
    <definedName name="Enduit_hydraulique_Sous_dalle">#REF!</definedName>
    <definedName name="Enduit_interieur">#REF!</definedName>
    <definedName name="Enduite_couche_0_5">#REF!</definedName>
    <definedName name="enrichissement_ciment">#REF!</definedName>
    <definedName name="Enseigne_ONEP">#REF!</definedName>
    <definedName name="Enter">'[3]Macro-Long'!$A$12:$B$53</definedName>
    <definedName name="ENTREE1">'[3]Macro-press'!$A$16:$C$39</definedName>
    <definedName name="ép" localSheetId="3">#REF!</definedName>
    <definedName name="ép">#REF!</definedName>
    <definedName name="ép_accrot" localSheetId="3">#REF!</definedName>
    <definedName name="ép_accrot">#REF!</definedName>
    <definedName name="ép_accrot1" localSheetId="3">#REF!</definedName>
    <definedName name="ép_accrot1">#REF!</definedName>
    <definedName name="ép_canniveau">#REF!</definedName>
    <definedName name="ép_canniveau150">#REF!</definedName>
    <definedName name="ép_canniveau300">#REF!</definedName>
    <definedName name="ép_Chicane">#REF!</definedName>
    <definedName name="ép_coupole">#REF!</definedName>
    <definedName name="ép_coupole150">#REF!</definedName>
    <definedName name="ép_coupole300">#REF!</definedName>
    <definedName name="ép_lanterne">#REF!</definedName>
    <definedName name="ép_lanterne150">#REF!</definedName>
    <definedName name="ép_lanterne300">#REF!</definedName>
    <definedName name="ép_paroi_vanne">#REF!</definedName>
    <definedName name="ép_paroi_vanne150">#REF!</definedName>
    <definedName name="ép_paroi_vanne300">#REF!</definedName>
    <definedName name="ép_parois">#REF!</definedName>
    <definedName name="ép_parois1">#REF!</definedName>
    <definedName name="ép_radier">#REF!</definedName>
    <definedName name="ép_radier1">#REF!</definedName>
    <definedName name="ép_radier150">#REF!</definedName>
    <definedName name="ép_radier300">#REF!</definedName>
    <definedName name="ép_tour">#REF!</definedName>
    <definedName name="ép_tour150">#REF!</definedName>
    <definedName name="ép_tour300">#REF!</definedName>
    <definedName name="ép_voile">#REF!</definedName>
    <definedName name="ép_voile1">#REF!</definedName>
    <definedName name="ép1">#REF!</definedName>
    <definedName name="ép2">[24]BacheSR3NZ!#REF!</definedName>
    <definedName name="Epai_Dalle_de" localSheetId="3">#REF!</definedName>
    <definedName name="Epai_Dalle_de">#REF!</definedName>
    <definedName name="Essai_etancheité" localSheetId="3">#REF!</definedName>
    <definedName name="Essai_etancheité">#REF!</definedName>
    <definedName name="ETAN" localSheetId="2">#REF!</definedName>
    <definedName name="ETAN" localSheetId="3">#REF!</definedName>
    <definedName name="ETAN" localSheetId="0">#REF!</definedName>
    <definedName name="ETAN">#REF!</definedName>
    <definedName name="Etanchéité">#REF!</definedName>
    <definedName name="Etancheité_couverture">#REF!</definedName>
    <definedName name="Etude_d_exécution">#REF!</definedName>
    <definedName name="ev">'[4]Macro-Long'!$A$12:$B$53</definedName>
    <definedName name="Evacuation_Terres" localSheetId="3">#REF!</definedName>
    <definedName name="Evacuation_Terres">#REF!</definedName>
    <definedName name="Evier_cuisine_gré" localSheetId="3">#REF!</definedName>
    <definedName name="Evier_cuisine_gré">#REF!</definedName>
    <definedName name="Expertise2" localSheetId="3">'[25]Présentation générale du projet'!$G$11</definedName>
    <definedName name="Expertise2">'[26]Présentation générale du projet'!$G$11</definedName>
    <definedName name="Extincteur_10" localSheetId="3">#REF!</definedName>
    <definedName name="Extincteur_10">#REF!</definedName>
    <definedName name="Extra_Pay" localSheetId="3">#REF!</definedName>
    <definedName name="Extra_Pay">#REF!</definedName>
    <definedName name="_xlnm.Extract" localSheetId="3">#REF!</definedName>
    <definedName name="_xlnm.Extract">#REF!</definedName>
    <definedName name="fenerg">#REF!</definedName>
    <definedName name="fenêtre_0.75_1.30">#REF!</definedName>
    <definedName name="Fenêtre_0.75x0.75">#REF!</definedName>
    <definedName name="Fenêtre_1.0x1.25">#REF!</definedName>
    <definedName name="Fenêtre_2.1x1.25">#REF!</definedName>
    <definedName name="feuille" localSheetId="3">'Lot N03 CHARPENTE METALLIQUE '!feuille</definedName>
    <definedName name="feuille" localSheetId="0">'Recap Generale '!feuille</definedName>
    <definedName name="feuille">[0]!feuille</definedName>
    <definedName name="ff" localSheetId="3">'Lot N03 CHARPENTE METALLIQUE '!ff</definedName>
    <definedName name="ff" localSheetId="0">'Recap Generale '!ff</definedName>
    <definedName name="ff">[0]!ff</definedName>
    <definedName name="ffff" localSheetId="3">#REF!</definedName>
    <definedName name="ffff">#REF!</definedName>
    <definedName name="fffff" localSheetId="3">'Lot N03 CHARPENTE METALLIQUE '!fffff</definedName>
    <definedName name="fffff" localSheetId="0">'Recap Generale '!fffff</definedName>
    <definedName name="fffff">[0]!fffff</definedName>
    <definedName name="FLONGRINES" localSheetId="3">#REF!</definedName>
    <definedName name="FLONGRINES">#REF!</definedName>
    <definedName name="_xlnm.Recorder">#REF!</definedName>
    <definedName name="Forme_pente" localSheetId="3">#REF!</definedName>
    <definedName name="Forme_pente">#REF!</definedName>
    <definedName name="Fosse_septique_filtre" localSheetId="3">#REF!</definedName>
    <definedName name="Fosse_septique_filtre">#REF!</definedName>
    <definedName name="Fourreau_100">#REF!</definedName>
    <definedName name="Fourreau_150">#REF!</definedName>
    <definedName name="Fourreau_200">#REF!</definedName>
    <definedName name="Fourreau_60">#REF!</definedName>
    <definedName name="Fourreau_80">#REF!</definedName>
    <definedName name="Foyer_etanche">#REF!</definedName>
    <definedName name="Foyer_simple">#REF!</definedName>
    <definedName name="FP" localSheetId="2">#REF!</definedName>
    <definedName name="FP" localSheetId="0">#REF!</definedName>
    <definedName name="FP">#REF!</definedName>
    <definedName name="fpers">#REF!</definedName>
    <definedName name="FTB" localSheetId="3">'Lot N03 CHARPENTE METALLIQUE '!FTB</definedName>
    <definedName name="FTB" localSheetId="0">'Recap Generale '!FTB</definedName>
    <definedName name="FTB">[0]!FTB</definedName>
    <definedName name="Full_Print" localSheetId="3">#REF!</definedName>
    <definedName name="Full_Print">#REF!</definedName>
    <definedName name="Fût_200" localSheetId="3">#REF!</definedName>
    <definedName name="Fût_200">#REF!</definedName>
    <definedName name="G" localSheetId="3">[1]AN2!#REF!</definedName>
    <definedName name="G">[1]AN2!#REF!</definedName>
    <definedName name="G.OPort" localSheetId="3">#REF!</definedName>
    <definedName name="G.OPort">#REF!</definedName>
    <definedName name="Gargouille" localSheetId="3">#REF!</definedName>
    <definedName name="Gargouille">#REF!</definedName>
    <definedName name="Gazon">#REF!</definedName>
    <definedName name="GDF">#REF!</definedName>
    <definedName name="GDFGDF">#REF!</definedName>
    <definedName name="gfr">'[4]Macro-press'!$A$16:$C$39</definedName>
    <definedName name="GG" localSheetId="3">#REF!</definedName>
    <definedName name="GG">#REF!</definedName>
    <definedName name="GHJ">'[27]GC 150m3 MGHASSINE'!$J$14</definedName>
    <definedName name="GO" localSheetId="2">#REF!</definedName>
    <definedName name="GO" localSheetId="3">#REF!</definedName>
    <definedName name="GO" localSheetId="0">#REF!</definedName>
    <definedName name="GO">#REF!</definedName>
    <definedName name="goaziz" localSheetId="3">#REF!</definedName>
    <definedName name="goaziz">#REF!</definedName>
    <definedName name="gros" localSheetId="3">'Lot N03 CHARPENTE METALLIQUE '!gros</definedName>
    <definedName name="gros" localSheetId="0">'Recap Generale '!gros</definedName>
    <definedName name="gros">[0]!gros</definedName>
    <definedName name="Groupement" localSheetId="3">'[25]Présentation générale du projet'!$G$15</definedName>
    <definedName name="Groupement">'[26]Présentation générale du projet'!$G$15</definedName>
    <definedName name="h">[28]AN2!#REF!</definedName>
    <definedName name="H_acces" localSheetId="3">#REF!</definedName>
    <definedName name="H_acces">#REF!</definedName>
    <definedName name="H_accrot" localSheetId="3">#REF!</definedName>
    <definedName name="H_accrot">#REF!</definedName>
    <definedName name="H_accrot_vanne" localSheetId="3">#REF!</definedName>
    <definedName name="H_accrot_vanne">#REF!</definedName>
    <definedName name="H_accrot_vanne150">#REF!</definedName>
    <definedName name="H_accrot_vanne300">#REF!</definedName>
    <definedName name="H_accrot1">#REF!</definedName>
    <definedName name="H_accrot2">[24]BacheSR3NZ!#REF!</definedName>
    <definedName name="H_accrotère" localSheetId="3">#REF!</definedName>
    <definedName name="H_accrotère">#REF!</definedName>
    <definedName name="H_accrotère150" localSheetId="3">#REF!</definedName>
    <definedName name="H_accrotère150">#REF!</definedName>
    <definedName name="H_accrotère300" localSheetId="3">#REF!</definedName>
    <definedName name="H_accrotère300">#REF!</definedName>
    <definedName name="H_BA_forage">#REF!</definedName>
    <definedName name="H_BA_forage1">#REF!</definedName>
    <definedName name="H_canniveau">#REF!</definedName>
    <definedName name="H_canniveau150">#REF!</definedName>
    <definedName name="H_canniveau300">#REF!</definedName>
    <definedName name="H_ch_sup">#REF!</definedName>
    <definedName name="H_ch_sup150">#REF!</definedName>
    <definedName name="H_ch_sup300">#REF!</definedName>
    <definedName name="H_ch_vanne">#REF!</definedName>
    <definedName name="H_ch_vanne150">#REF!</definedName>
    <definedName name="H_ch_vanne300">#REF!</definedName>
    <definedName name="H_chain">#REF!</definedName>
    <definedName name="H_chainage">#REF!</definedName>
    <definedName name="H_chainage1">#REF!</definedName>
    <definedName name="H_chicane">#REF!</definedName>
    <definedName name="H_dép">#REF!</definedName>
    <definedName name="H_dép2">[24]BacheSR3NZ!#REF!</definedName>
    <definedName name="H_départ" localSheetId="3">#REF!</definedName>
    <definedName name="H_départ">#REF!</definedName>
    <definedName name="H_départ150" localSheetId="3">#REF!</definedName>
    <definedName name="H_départ150">#REF!</definedName>
    <definedName name="H_départ300" localSheetId="3">#REF!</definedName>
    <definedName name="H_départ300">#REF!</definedName>
    <definedName name="h_élév">#REF!</definedName>
    <definedName name="H_escalier">#REF!</definedName>
    <definedName name="H_escalier1">#REF!</definedName>
    <definedName name="H_ext_lantern">#REF!</definedName>
    <definedName name="H_ext_lantern150">#REF!</definedName>
    <definedName name="H_ext_lantern300">#REF!</definedName>
    <definedName name="H_flinkote">#REF!</definedName>
    <definedName name="H_flinkote150">#REF!</definedName>
    <definedName name="H_javel">#REF!</definedName>
    <definedName name="H_javellisation">#REF!</definedName>
    <definedName name="H_L_talon">#REF!</definedName>
    <definedName name="H_L_talon150">#REF!</definedName>
    <definedName name="H_L_talon300">#REF!</definedName>
    <definedName name="H_lantern">#REF!</definedName>
    <definedName name="H_lantern150">#REF!</definedName>
    <definedName name="H_lantern300">#REF!</definedName>
    <definedName name="H_lanterne">#REF!</definedName>
    <definedName name="H_lanterne2">[24]BacheSR3NZ!#REF!</definedName>
    <definedName name="H_pomp" localSheetId="3">#REF!</definedName>
    <definedName name="H_pomp">#REF!</definedName>
    <definedName name="H_pomp1" localSheetId="3">#REF!</definedName>
    <definedName name="H_pomp1">#REF!</definedName>
    <definedName name="H_reprise" localSheetId="3">#REF!</definedName>
    <definedName name="H_reprise">#REF!</definedName>
    <definedName name="H_semelle">#REF!</definedName>
    <definedName name="H_semelle1">#REF!</definedName>
    <definedName name="H_talus">#REF!</definedName>
    <definedName name="H_talus2">[24]BacheSR3NZ!#REF!</definedName>
    <definedName name="H_tour" localSheetId="3">#REF!</definedName>
    <definedName name="H_tour">#REF!</definedName>
    <definedName name="H_tour150" localSheetId="3">#REF!</definedName>
    <definedName name="H_tour150">#REF!</definedName>
    <definedName name="H_tour300" localSheetId="3">#REF!</definedName>
    <definedName name="H_tour300">#REF!</definedName>
    <definedName name="H_voile">#REF!</definedName>
    <definedName name="H_voile_vh_vanne">#REF!</definedName>
    <definedName name="H_voile1">#REF!</definedName>
    <definedName name="H1_talus">#REF!</definedName>
    <definedName name="H1_talus150">#REF!</definedName>
    <definedName name="H2_Talus">#REF!</definedName>
    <definedName name="H2_Talus150">#REF!</definedName>
    <definedName name="HAHA">#REF!</definedName>
    <definedName name="hampe_drapeau">#REF!</definedName>
    <definedName name="Hauteur_Fouilles_sous_dallage_sous_sol" localSheetId="2">'[17]Hypothèses générales'!$B$18</definedName>
    <definedName name="Hauteur_Fouilles_sous_dallage_sous_sol" localSheetId="3">'[17]Hypothèses générales'!$B$18</definedName>
    <definedName name="Hauteur_Fouilles_sous_dallage_sous_sol">'[18]Hypothèses générales'!$B$18</definedName>
    <definedName name="Hauteur_fut_poteau_voile_sous_sol" localSheetId="2">'[17]Hypothèses générales'!$C$26</definedName>
    <definedName name="Hauteur_fut_poteau_voile_sous_sol" localSheetId="3">'[17]Hypothèses générales'!$C$26</definedName>
    <definedName name="Hauteur_fut_poteau_voile_sous_sol">'[18]Hypothèses générales'!$C$26</definedName>
    <definedName name="Hauteur_talus" localSheetId="3">#REF!</definedName>
    <definedName name="Hauteur_talus">#REF!</definedName>
    <definedName name="Hauteur_talus300" localSheetId="3">#REF!</definedName>
    <definedName name="Hauteur_talus300">#REF!</definedName>
    <definedName name="HE" localSheetId="3">#REF!</definedName>
    <definedName name="HE">#REF!</definedName>
    <definedName name="Header_Row">ROW(#REF!)</definedName>
    <definedName name="Herrissonage">#REF!</definedName>
    <definedName name="hgdfs">'[14]ATT INTERNAT'!#REF!</definedName>
    <definedName name="HGE">#N/A</definedName>
    <definedName name="HH">[29]AN3!$H$6</definedName>
    <definedName name="HmoyR" localSheetId="3">#REF!</definedName>
    <definedName name="HmoyR">#REF!</definedName>
    <definedName name="HmoyR150" localSheetId="3">#REF!</definedName>
    <definedName name="HmoyR150">#REF!</definedName>
    <definedName name="hou" localSheetId="3">#REF!</definedName>
    <definedName name="hou">#REF!</definedName>
    <definedName name="Hublot_etanche_L6">#REF!</definedName>
    <definedName name="IGO">[13]CPS1!$B$15</definedName>
    <definedName name="ii">[1]AN2!#REF!</definedName>
    <definedName name="iiiii">#REF!</definedName>
    <definedName name="_xlnm.Print_Titles" localSheetId="5">'Lot N° 05 ELECTRICITE'!$1:$3</definedName>
    <definedName name="_xlnm.Print_Titles" localSheetId="1">'Lot N°01 GROS OEUVRE '!$1:$2</definedName>
    <definedName name="_xlnm.Print_Titles" localSheetId="2">'Lot N°02 ETANCHEITE'!$1:$2</definedName>
    <definedName name="_xlnm.Print_Titles" localSheetId="4">'Lot N°04 FLUIDES'!$1:$4</definedName>
    <definedName name="_xlnm.Print_Titles" localSheetId="3">'Lot N03 CHARPENTE METALLIQUE '!$1:$1</definedName>
    <definedName name="ImpriméMET">[30]Lg!#REF!</definedName>
    <definedName name="Incendie60" localSheetId="3">#REF!</definedName>
    <definedName name="Incendie60">#REF!</definedName>
    <definedName name="index_1">'[16]Données de base'!$L$3:$L$10</definedName>
    <definedName name="INST" localSheetId="1">#REF!</definedName>
    <definedName name="INST" localSheetId="2">#REF!</definedName>
    <definedName name="INST" localSheetId="3">#REF!</definedName>
    <definedName name="INST" localSheetId="0">#REF!</definedName>
    <definedName name="INST">#REF!</definedName>
    <definedName name="Installation" localSheetId="3">#REF!</definedName>
    <definedName name="Installation">#REF!</definedName>
    <definedName name="Installation_elecrique" localSheetId="3">#REF!</definedName>
    <definedName name="Installation_elecrique">#REF!</definedName>
    <definedName name="Installation_plomperie">#REF!</definedName>
    <definedName name="Int">#REF!</definedName>
    <definedName name="Intercalaire">[31]PG!$N$39:$AA$55</definedName>
    <definedName name="Interest_Rate" localSheetId="3">#REF!</definedName>
    <definedName name="Interest_Rate">#REF!</definedName>
    <definedName name="IPN_appareil" localSheetId="3">#REF!</definedName>
    <definedName name="IPN_appareil">#REF!</definedName>
    <definedName name="IPN_ml" localSheetId="3">#REF!</definedName>
    <definedName name="IPN_ml">#REF!</definedName>
    <definedName name="JD_100">#REF!</definedName>
    <definedName name="JD_150">#REF!</definedName>
    <definedName name="JD_200">#REF!</definedName>
    <definedName name="JD_60">#REF!</definedName>
    <definedName name="JD_80">#REF!</definedName>
    <definedName name="jg_100">#REF!</definedName>
    <definedName name="jg_125">#REF!</definedName>
    <definedName name="jg_140">#REF!</definedName>
    <definedName name="jg_200">#REF!</definedName>
    <definedName name="jg_225">#REF!</definedName>
    <definedName name="jg_250">#REF!</definedName>
    <definedName name="jg_300">#REF!</definedName>
    <definedName name="jg_400">#REF!</definedName>
    <definedName name="jg_60">#REF!</definedName>
    <definedName name="jg_80">#REF!</definedName>
    <definedName name="jj">#REF!</definedName>
    <definedName name="JJJ" localSheetId="3">'Lot N03 CHARPENTE METALLIQUE '!JJJ</definedName>
    <definedName name="JJJ" localSheetId="0">'Recap Generale '!JJJ</definedName>
    <definedName name="JJJ">[0]!JJJ</definedName>
    <definedName name="jjjj" localSheetId="3">#REF!</definedName>
    <definedName name="jjjj">#REF!</definedName>
    <definedName name="JJJJJJ" localSheetId="3">'Lot N03 CHARPENTE METALLIQUE '!JJJJJJ</definedName>
    <definedName name="JJJJJJ" localSheetId="0">'Recap Generale '!JJJJJJ</definedName>
    <definedName name="JJJJJJ">[0]!JJJJJJ</definedName>
    <definedName name="JM" localSheetId="3">[1]AN2!#REF!</definedName>
    <definedName name="JM">[1]AN2!#REF!</definedName>
    <definedName name="k" localSheetId="3">#REF!</definedName>
    <definedName name="k">#REF!</definedName>
    <definedName name="khadija" localSheetId="3">'Lot N03 CHARPENTE METALLIQUE '!khadija</definedName>
    <definedName name="khadija" localSheetId="0">'Recap Generale '!khadija</definedName>
    <definedName name="khadija">[0]!khadija</definedName>
    <definedName name="kj" localSheetId="3">[32]AN2!#REF!</definedName>
    <definedName name="kj">[32]AN2!#REF!</definedName>
    <definedName name="kji">'[27]GC 150m3 MGHASSINE'!$J$20</definedName>
    <definedName name="kkkkkkk" localSheetId="3">#REF!</definedName>
    <definedName name="kkkkkkk">#REF!</definedName>
    <definedName name="klm">'[2]Macro-press'!$A$16:$C$39</definedName>
    <definedName name="L_chain" localSheetId="3">#REF!</definedName>
    <definedName name="L_chain">#REF!</definedName>
    <definedName name="L_talus" localSheetId="3">#REF!</definedName>
    <definedName name="L_talus">#REF!</definedName>
    <definedName name="La_dép" localSheetId="3">#REF!</definedName>
    <definedName name="La_dép">#REF!</definedName>
    <definedName name="lar_accrotère">#REF!</definedName>
    <definedName name="lar_accrotère150">#REF!</definedName>
    <definedName name="lar_accrotère300">#REF!</definedName>
    <definedName name="Lar_ch_sup">#REF!</definedName>
    <definedName name="Lar_ch_sup150">#REF!</definedName>
    <definedName name="Lar_ch_sup300">#REF!</definedName>
    <definedName name="Lar_javel">#REF!</definedName>
    <definedName name="Lar_javel1">#REF!</definedName>
    <definedName name="Lar_pomp">#REF!</definedName>
    <definedName name="Lar_pomp1">#REF!</definedName>
    <definedName name="Larg">#REF!</definedName>
    <definedName name="larg_canniveau">#REF!</definedName>
    <definedName name="larg_canniveau150">#REF!</definedName>
    <definedName name="larg_canniveau300">#REF!</definedName>
    <definedName name="Larg_ch_vanne">#REF!</definedName>
    <definedName name="Larg_ch_vanne150">#REF!</definedName>
    <definedName name="Larg_ch_vanne300">#REF!</definedName>
    <definedName name="Larg_chainage">#REF!</definedName>
    <definedName name="larg_chainage_jav_reprise">#REF!</definedName>
    <definedName name="Larg_chainage1">#REF!</definedName>
    <definedName name="larg_chainage150">#REF!</definedName>
    <definedName name="larg_chainage300">#REF!</definedName>
    <definedName name="larg_départ">#REF!</definedName>
    <definedName name="larg_départ150">#REF!</definedName>
    <definedName name="larg_départ300">#REF!</definedName>
    <definedName name="Larg_javellisation">#REF!</definedName>
    <definedName name="Larg_reprise">#REF!</definedName>
    <definedName name="Larg_semelle">#REF!</definedName>
    <definedName name="Larg_semelle1">#REF!</definedName>
    <definedName name="Largeur">#REF!</definedName>
    <definedName name="Largeur_Talus">#REF!</definedName>
    <definedName name="Largeur_Talus300">#REF!</definedName>
    <definedName name="Last_Row">#N/A</definedName>
    <definedName name="Laurier">#REF!</definedName>
    <definedName name="Lavabo_0.6x0.48">#REF!</definedName>
    <definedName name="Lg_dép">#REF!</definedName>
    <definedName name="Lg_javel">#REF!</definedName>
    <definedName name="Lg_javel1">#REF!</definedName>
    <definedName name="Lg_pomp">#REF!</definedName>
    <definedName name="Lg_pomp1">#REF!</definedName>
    <definedName name="Liaison_radio">#REF!</definedName>
    <definedName name="Ligne_élétrique">#REF!</definedName>
    <definedName name="ligne_pilote">#REF!</definedName>
    <definedName name="LIQUIDATION" localSheetId="3">'Lot N03 CHARPENTE METALLIQUE '!LIQUIDATION</definedName>
    <definedName name="LIQUIDATION" localSheetId="0">'Recap Generale '!LIQUIDATION</definedName>
    <definedName name="LIQUIDATION">[0]!LIQUIDATION</definedName>
    <definedName name="lit_de_pose" localSheetId="3">#REF!</definedName>
    <definedName name="lit_de_pose">#REF!</definedName>
    <definedName name="lit_gravier" localSheetId="3">#REF!</definedName>
    <definedName name="lit_gravier">#REF!</definedName>
    <definedName name="lki" localSheetId="3">#REF!</definedName>
    <definedName name="lki">#REF!</definedName>
    <definedName name="lkkkkhgdkokhj">#REF!</definedName>
    <definedName name="llll">#REF!</definedName>
    <definedName name="Loan_Amount">#REF!</definedName>
    <definedName name="Loan_Start">#REF!</definedName>
    <definedName name="Loan_Years">#REF!</definedName>
    <definedName name="Loge_gardien">#REF!</definedName>
    <definedName name="long_ch_vanne">#REF!</definedName>
    <definedName name="long_ch_vanne150">#REF!</definedName>
    <definedName name="long_ch_vanne300">#REF!</definedName>
    <definedName name="Long_chicane">#REF!</definedName>
    <definedName name="Long_javellisation">#REF!</definedName>
    <definedName name="Long_reprise">#REF!</definedName>
    <definedName name="Long2">[24]BacheSR3NZ!#REF!</definedName>
    <definedName name="Longueur" localSheetId="3">#REF!</definedName>
    <definedName name="Longueur">#REF!</definedName>
    <definedName name="MA">[33]SUIVI!$B$24</definedName>
    <definedName name="Maçonnerie" localSheetId="3">#REF!</definedName>
    <definedName name="Maçonnerie">#REF!</definedName>
    <definedName name="Manchette_1.2_100" localSheetId="3">#REF!</definedName>
    <definedName name="Manchette_1.2_100">#REF!</definedName>
    <definedName name="Manchette_1.2_125" localSheetId="3">#REF!</definedName>
    <definedName name="Manchette_1.2_125">#REF!</definedName>
    <definedName name="Manchette_1.2_150">#REF!</definedName>
    <definedName name="Manchette_1.2_200">#REF!</definedName>
    <definedName name="Manchette_1.2_40">#REF!</definedName>
    <definedName name="Manchette_1.2_60">#REF!</definedName>
    <definedName name="Manchette_1.2_80">#REF!</definedName>
    <definedName name="Manchette_100">#REF!</definedName>
    <definedName name="Manchette_150">#REF!</definedName>
    <definedName name="Manchette_2.2_100">#REF!</definedName>
    <definedName name="Manchette_2.2_125">#REF!</definedName>
    <definedName name="Manchette_2.2_150">#REF!</definedName>
    <definedName name="Manchette_2.2_200">#REF!</definedName>
    <definedName name="Manchette_2.2_40">#REF!</definedName>
    <definedName name="Manchette_2.2_60">#REF!</definedName>
    <definedName name="Manchette_2.2_80">#REF!</definedName>
    <definedName name="Manchette_200">#REF!</definedName>
    <definedName name="Manchette_250">#REF!</definedName>
    <definedName name="Manchette_40">#REF!</definedName>
    <definedName name="Manchette_60">#REF!</definedName>
    <definedName name="Manchette_80">#REF!</definedName>
    <definedName name="Manomètre">#REF!</definedName>
    <definedName name="manostat">#REF!</definedName>
    <definedName name="Maziz">#REF!</definedName>
    <definedName name="mb">[34]AN2!#REF!</definedName>
    <definedName name="MC" localSheetId="1">#REF!</definedName>
    <definedName name="MC" localSheetId="2">#REF!</definedName>
    <definedName name="MC" localSheetId="3">#REF!</definedName>
    <definedName name="MC">#REF!</definedName>
    <definedName name="MDP" localSheetId="1">#REF!</definedName>
    <definedName name="MDP" localSheetId="2">#REF!</definedName>
    <definedName name="MDP" localSheetId="3">#REF!</definedName>
    <definedName name="MDP">#REF!</definedName>
    <definedName name="MET" localSheetId="2">#REF!</definedName>
    <definedName name="MET" localSheetId="3">#REF!</definedName>
    <definedName name="MET">#REF!</definedName>
    <definedName name="Mise_à_niveau">#REF!</definedName>
    <definedName name="mlj">#N/A</definedName>
    <definedName name="MLK">'[35]RE SEV 50'!#REF!</definedName>
    <definedName name="mlo" localSheetId="3">#REF!</definedName>
    <definedName name="mlo">#REF!</definedName>
    <definedName name="mm" localSheetId="3">#REF!</definedName>
    <definedName name="mm">#REF!</definedName>
    <definedName name="mo">'[36]EST CONF'!$A$8:$F$273</definedName>
    <definedName name="Montage_javillisation" localSheetId="3">#REF!</definedName>
    <definedName name="Montage_javillisation">#REF!</definedName>
    <definedName name="montage_mécanique" localSheetId="3">#REF!</definedName>
    <definedName name="montage_mécanique">#REF!</definedName>
    <definedName name="montage_station" localSheetId="3">#REF!</definedName>
    <definedName name="montage_station">#REF!</definedName>
    <definedName name="mp">#REF!</definedName>
    <definedName name="Mur_agglos">#REF!</definedName>
    <definedName name="N___Prix">[21]S.P1!$A$7</definedName>
    <definedName name="N_lot">[9]Para!$B$7</definedName>
    <definedName name="nbvvvvvvv" localSheetId="3">#REF!</definedName>
    <definedName name="nbvvvvvvv">#REF!</definedName>
    <definedName name="NOMAFFAIRE">[37]GARDE!$M$6</definedName>
    <definedName name="Npoteaux" localSheetId="3">#REF!</definedName>
    <definedName name="Npoteaux">#REF!</definedName>
    <definedName name="NUL" localSheetId="1">#REF!</definedName>
    <definedName name="NUL" localSheetId="2">#REF!</definedName>
    <definedName name="NUL" localSheetId="3">#REF!</definedName>
    <definedName name="NUL" localSheetId="0">#REF!</definedName>
    <definedName name="NUL">#REF!</definedName>
    <definedName name="Num_Pmt_Per_Year" localSheetId="3">#REF!</definedName>
    <definedName name="Num_Pmt_Per_Year">#REF!</definedName>
    <definedName name="Number_of_Payments" localSheetId="3">MATCH(0.01,'Lot N03 CHARPENTE METALLIQUE '!End_Bal,-1)+1</definedName>
    <definedName name="Number_of_Payments" localSheetId="0">MATCH(0.01,End_Bal,-1)+1</definedName>
    <definedName name="Number_of_Payments">MATCH(0.01,End_Bal,-1)+1</definedName>
    <definedName name="oooo">#REF!</definedName>
    <definedName name="opp">#REF!</definedName>
    <definedName name="oui">'[2]Macro-press'!$A$16:$C$39</definedName>
    <definedName name="p">[38]AN3!$K$11</definedName>
    <definedName name="P_canniveau" localSheetId="3">#REF!</definedName>
    <definedName name="P_canniveau">#REF!</definedName>
    <definedName name="P_canniveau200" localSheetId="3">#REF!</definedName>
    <definedName name="P_canniveau200">#REF!</definedName>
    <definedName name="P_drainage" localSheetId="3">#REF!</definedName>
    <definedName name="P_drainage">#REF!</definedName>
    <definedName name="P_talus">#REF!</definedName>
    <definedName name="P_talus300">#REF!</definedName>
    <definedName name="P150_">#REF!</definedName>
    <definedName name="P200_">#REF!</definedName>
    <definedName name="P300_">#REF!</definedName>
    <definedName name="Page_Garde">[31]PG!$A$1:$M$38</definedName>
    <definedName name="Page1" localSheetId="3">#REF!</definedName>
    <definedName name="Page1">#REF!</definedName>
    <definedName name="Page2">[39]Assn!#REF!</definedName>
    <definedName name="Pannaux" localSheetId="3">#REF!</definedName>
    <definedName name="Pannaux">#REF!</definedName>
    <definedName name="Passivité_armature" localSheetId="3">#REF!</definedName>
    <definedName name="Passivité_armature">#REF!</definedName>
    <definedName name="Pay_Date" localSheetId="3">#REF!</definedName>
    <definedName name="Pay_Date">#REF!</definedName>
    <definedName name="Pay_Num">#REF!</definedName>
    <definedName name="Payment_Date" localSheetId="5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3">DATE(YEAR(Loan_Start),MONTH(Loan_Start)+Payment_Number,DAY(Loan_Start))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ayment_Needed">"Paiement dû"</definedName>
    <definedName name="PEIN" localSheetId="1">#REF!</definedName>
    <definedName name="PEIN" localSheetId="2">#REF!</definedName>
    <definedName name="PEIN" localSheetId="3">#REF!</definedName>
    <definedName name="PEIN">#REF!</definedName>
    <definedName name="Peinture" localSheetId="3">#REF!</definedName>
    <definedName name="Peinture">#REF!</definedName>
    <definedName name="Peinture_bois" localSheetId="3">#REF!</definedName>
    <definedName name="Peinture_bois">#REF!</definedName>
    <definedName name="Peinture_extérieur">#REF!</definedName>
    <definedName name="Peinture_inté_laquée">#REF!</definedName>
    <definedName name="Peinture_intérieur">#REF!</definedName>
    <definedName name="Peinture_métal">#REF!</definedName>
    <definedName name="Peinture_métal_m2">#REF!</definedName>
    <definedName name="pente">#REF!</definedName>
    <definedName name="pente2">[24]BacheSR3NZ!#REF!</definedName>
    <definedName name="Pér_canniveau" localSheetId="3">#REF!</definedName>
    <definedName name="Pér_canniveau">#REF!</definedName>
    <definedName name="PF">'[40]ATT INTERNAT'!#REF!</definedName>
    <definedName name="phase1" localSheetId="3">#REF!</definedName>
    <definedName name="phase1">#REF!</definedName>
    <definedName name="phase2" localSheetId="3">#REF!</definedName>
    <definedName name="phase2">#REF!</definedName>
    <definedName name="phase3" localSheetId="3">#REF!</definedName>
    <definedName name="phase3">#REF!</definedName>
    <definedName name="pièce_de_rech_élec">#REF!</definedName>
    <definedName name="piste_carrossable">#REF!</definedName>
    <definedName name="Plafonnier_L3">#REF!</definedName>
    <definedName name="Plan_recollement">#REF!</definedName>
    <definedName name="Plaque_pleine_100">#REF!</definedName>
    <definedName name="Plaque_pleine_125">#REF!</definedName>
    <definedName name="Plaque_pleine_150">#REF!</definedName>
    <definedName name="Plaque_pleine_200">#REF!</definedName>
    <definedName name="Plaque_pleine_250">#REF!</definedName>
    <definedName name="Plaque_pleine_300">#REF!</definedName>
    <definedName name="Plaque_pleine_40">#REF!</definedName>
    <definedName name="Plaque_pleine_60">#REF!</definedName>
    <definedName name="Plaque_pleine_80">#REF!</definedName>
    <definedName name="Plinthe">#REF!</definedName>
    <definedName name="Plus_value">#REF!</definedName>
    <definedName name="plus_value_rocher">#REF!</definedName>
    <definedName name="plus_value_rocher1">#REF!</definedName>
    <definedName name="Plus_value150">#REF!</definedName>
    <definedName name="Plus_value300">#REF!</definedName>
    <definedName name="PM">#REF!</definedName>
    <definedName name="pmlo">#REF!</definedName>
    <definedName name="Pompes_doseuses">#REF!</definedName>
    <definedName name="Portail_2x1.5">#REF!</definedName>
    <definedName name="Portail_fer_1.95_3.00">#REF!</definedName>
    <definedName name="Porte_0.7x2.1">#REF!</definedName>
    <definedName name="Porte_1.0x1.9_plaquard">#REF!</definedName>
    <definedName name="Porte_1.0x2.1">#REF!</definedName>
    <definedName name="Porte_1.0x2.1_plaquard">#REF!</definedName>
    <definedName name="Porte_1.20x2.20_Metal">#REF!</definedName>
    <definedName name="portillon_fer_1.95_1.1">#REF!</definedName>
    <definedName name="poteau">#REF!</definedName>
    <definedName name="Pourcentage_de_rocher_dans_le_sol" localSheetId="2">'[17]Hypothèses générales'!$B$20</definedName>
    <definedName name="Pourcentage_de_rocher_dans_le_sol" localSheetId="3">'[17]Hypothèses générales'!$B$20</definedName>
    <definedName name="Pourcentage_de_rocher_dans_le_sol">'[18]Hypothèses générales'!$B$20</definedName>
    <definedName name="pourtour" localSheetId="3">#REF!</definedName>
    <definedName name="pourtour">#REF!</definedName>
    <definedName name="pourtour1" localSheetId="3">#REF!</definedName>
    <definedName name="pourtour1">#REF!</definedName>
    <definedName name="PP" localSheetId="3">#REF!</definedName>
    <definedName name="PP">#REF!</definedName>
    <definedName name="PPP">#REF!</definedName>
    <definedName name="pppp">#REF!</definedName>
    <definedName name="Prépartion_surface_sablage">#REF!</definedName>
    <definedName name="Pressosat">#REF!</definedName>
    <definedName name="Princ">#REF!</definedName>
    <definedName name="Print_Area_Reset" localSheetId="3">OFFSET('Lot N03 CHARPENTE METALLIQUE '!Full_Print,0,0,Last_Row)</definedName>
    <definedName name="Print_Area_Reset" localSheetId="0">OFFSET(Full_Print,0,0,Last_Row)</definedName>
    <definedName name="Print_Area_Reset">OFFSET(Full_Print,0,0,Last_Row)</definedName>
    <definedName name="Prise_courant" localSheetId="3">#REF!</definedName>
    <definedName name="Prise_courant">#REF!</definedName>
    <definedName name="Prise_courant_simple">#REF!</definedName>
    <definedName name="Prise_courant_Tetra">#REF!</definedName>
    <definedName name="prise_de_courant">#REF!</definedName>
    <definedName name="Prix_Total__HT">[21]S.P1!$G$7</definedName>
    <definedName name="Prix_Unitaire___HT">[21]S.P1!$E$7</definedName>
    <definedName name="PRIX_UNITAIRES" localSheetId="2">#REF!</definedName>
    <definedName name="PRIX_UNITAIRES" localSheetId="3">#REF!</definedName>
    <definedName name="PRIX_UNITAIRES" localSheetId="0">#REF!</definedName>
    <definedName name="PRIX_UNITAIRES">#REF!</definedName>
    <definedName name="Prof_150" localSheetId="3">#REF!</definedName>
    <definedName name="Prof_150">#REF!</definedName>
    <definedName name="Prof_200" localSheetId="3">#REF!</definedName>
    <definedName name="Prof_200">#REF!</definedName>
    <definedName name="Prof_300">#REF!</definedName>
    <definedName name="prof_ch_vanne">#REF!</definedName>
    <definedName name="prof_ch_vanne150">#REF!</definedName>
    <definedName name="prof_ch_vanne300">#REF!</definedName>
    <definedName name="prof_chainage">#REF!</definedName>
    <definedName name="prof_chainage_jav_reprise">#REF!</definedName>
    <definedName name="prof_chainage150">#REF!</definedName>
    <definedName name="prof_chainage300">#REF!</definedName>
    <definedName name="prof_javellisation">#REF!</definedName>
    <definedName name="prof_reprise">#REF!</definedName>
    <definedName name="ProfT">#REF!</definedName>
    <definedName name="Projet">[9]Para!$B$3</definedName>
    <definedName name="Puit_perdu_2.50" localSheetId="3">#REF!</definedName>
    <definedName name="Puit_perdu_2.50">#REF!</definedName>
    <definedName name="PV_brut_décoffrage" localSheetId="3">#REF!</definedName>
    <definedName name="PV_brut_décoffrage">#REF!</definedName>
    <definedName name="PV_produit_acide" localSheetId="3">#REF!</definedName>
    <definedName name="PV_produit_acide">#REF!</definedName>
    <definedName name="PV_Terrassement">#REF!</definedName>
    <definedName name="QQ">#REF!</definedName>
    <definedName name="QSADZ">'[4]Macro-press'!$A$16:$C$39</definedName>
    <definedName name="qsd">'[2]Macro-Long'!$A$12:$B$53</definedName>
    <definedName name="qsda">'[2]Macro-Dexterne'!$A$12</definedName>
    <definedName name="Qté">[21]S.P1!$D$7</definedName>
    <definedName name="R_acces" localSheetId="3">#REF!</definedName>
    <definedName name="R_acces">#REF!</definedName>
    <definedName name="R_coupole" localSheetId="3">#REF!</definedName>
    <definedName name="R_coupole">#REF!</definedName>
    <definedName name="R_coupole150" localSheetId="3">#REF!</definedName>
    <definedName name="R_coupole150">#REF!</definedName>
    <definedName name="R_coupole300">#REF!</definedName>
    <definedName name="R_ext_lantern">#REF!</definedName>
    <definedName name="R_ext_lantern150">#REF!</definedName>
    <definedName name="R_ext_lantern300">#REF!</definedName>
    <definedName name="R_int_lantern">#REF!</definedName>
    <definedName name="R_int_lantern150">#REF!</definedName>
    <definedName name="R_int_lantern300">#REF!</definedName>
    <definedName name="R_lanterne">#REF!</definedName>
    <definedName name="R_PEC_40">#REF!</definedName>
    <definedName name="R_PEC_40_Colliet">#REF!</definedName>
    <definedName name="R_PEC_40_Té">#REF!</definedName>
    <definedName name="R_SBAC40">#REF!</definedName>
    <definedName name="R_SR_110">#REF!</definedName>
    <definedName name="R_SR_50">#REF!</definedName>
    <definedName name="R_SR_63">#REF!</definedName>
    <definedName name="R_SR_75">#REF!</definedName>
    <definedName name="R_SR_90">#REF!</definedName>
    <definedName name="Raccord_bridé_200">#REF!</definedName>
    <definedName name="Raccord_bridé_250">#REF!</definedName>
    <definedName name="Raccord_bridé_300">#REF!</definedName>
    <definedName name="Raccord_bridé_400">#REF!</definedName>
    <definedName name="Rapport">#REF!</definedName>
    <definedName name="Ravalement_section_friable">#REF!</definedName>
    <definedName name="recap_DP">[39]Elvt!#REF!</definedName>
    <definedName name="recape" localSheetId="3">'Lot N03 CHARPENTE METALLIQUE '!recape</definedName>
    <definedName name="recape" localSheetId="0">'Recap Generale '!recape</definedName>
    <definedName name="recape">[0]!recape</definedName>
    <definedName name="recape2" localSheetId="3">'Lot N03 CHARPENTE METALLIQUE '!recape2</definedName>
    <definedName name="recape2" localSheetId="0">'Recap Generale '!recape2</definedName>
    <definedName name="recape2">[0]!recape2</definedName>
    <definedName name="RECAVRD" localSheetId="3">#REF!</definedName>
    <definedName name="RECAVRD">#REF!</definedName>
    <definedName name="rechange_électrique" localSheetId="3">#REF!</definedName>
    <definedName name="rechange_électrique">#REF!</definedName>
    <definedName name="Rechange_javillisation" localSheetId="3">#REF!</definedName>
    <definedName name="Rechange_javillisation">#REF!</definedName>
    <definedName name="rechange_mécanique">#REF!</definedName>
    <definedName name="Recorder">#REF!</definedName>
    <definedName name="réducteur40">#REF!</definedName>
    <definedName name="réducteur60">#REF!</definedName>
    <definedName name="Regard_100_100_120">#REF!</definedName>
    <definedName name="Regard_300_150_120">#REF!</definedName>
    <definedName name="Regard_60x60">#REF!</definedName>
    <definedName name="Regard_70x70">#REF!</definedName>
    <definedName name="Regard_90_90">#REF!</definedName>
    <definedName name="Regard_vent_vanne">#REF!</definedName>
    <definedName name="Regard_vidange">#REF!</definedName>
    <definedName name="Reimbursement">"Remboursement"</definedName>
    <definedName name="Remblai_compacté">#REF!</definedName>
    <definedName name="REPERAGE_DES_LONGRINES">#REF!</definedName>
    <definedName name="Reprise_partielle_enduit">#REF!</definedName>
    <definedName name="REV" localSheetId="2">#REF!</definedName>
    <definedName name="REV" localSheetId="0">#REF!</definedName>
    <definedName name="REV">#REF!</definedName>
    <definedName name="reve" localSheetId="3">'Lot N03 CHARPENTE METALLIQUE '!reve</definedName>
    <definedName name="reve" localSheetId="0">'Recap Generale '!reve</definedName>
    <definedName name="reve">[0]!reve</definedName>
    <definedName name="revêtem_carreaux" localSheetId="3">#REF!</definedName>
    <definedName name="revêtem_carreaux">#REF!</definedName>
    <definedName name="revêtement_faince" localSheetId="3">#REF!</definedName>
    <definedName name="revêtement_faince">#REF!</definedName>
    <definedName name="Revêtement_resine" localSheetId="3">#REF!</definedName>
    <definedName name="Revêtement_resine">#REF!</definedName>
    <definedName name="RF_100">#REF!</definedName>
    <definedName name="RF_150">#REF!</definedName>
    <definedName name="RF_200">#REF!</definedName>
    <definedName name="RF_60">#REF!</definedName>
    <definedName name="RF_80">#REF!</definedName>
    <definedName name="Rideau_lamé_1.00x1.26">#REF!</definedName>
    <definedName name="Rideau_lamé_2.00x1.25">#REF!</definedName>
    <definedName name="rien">#REF!</definedName>
    <definedName name="Rinçage_stérilisation">#REF!</definedName>
    <definedName name="Rinçage_stérilisation_m3">#REF!</definedName>
    <definedName name="Robinet_arrêt">#REF!</definedName>
    <definedName name="Robinet_arrosage">#REF!</definedName>
    <definedName name="Robinet_puisage">#REF!</definedName>
    <definedName name="rocher">#REF!</definedName>
    <definedName name="Rose_variés">#REF!</definedName>
    <definedName name="RR">[41]AN2!#REF!</definedName>
    <definedName name="RRR" localSheetId="3">#REF!</definedName>
    <definedName name="RRR">#REF!</definedName>
    <definedName name="RV_100" localSheetId="3">#REF!</definedName>
    <definedName name="RV_100">#REF!</definedName>
    <definedName name="RV_150" localSheetId="3">#REF!</definedName>
    <definedName name="RV_150">#REF!</definedName>
    <definedName name="RV_200">#REF!</definedName>
    <definedName name="RV_250">#REF!</definedName>
    <definedName name="RV_300">#REF!</definedName>
    <definedName name="RV_40">#REF!</definedName>
    <definedName name="RV_60">#REF!</definedName>
    <definedName name="RV_80">#REF!</definedName>
    <definedName name="s">#N/A</definedName>
    <definedName name="S150_">#REF!</definedName>
    <definedName name="S200_">#REF!</definedName>
    <definedName name="S300_">#REF!</definedName>
    <definedName name="salu" localSheetId="3">'Lot N03 CHARPENTE METALLIQUE '!salu</definedName>
    <definedName name="salu" localSheetId="0">'Recap Generale '!salu</definedName>
    <definedName name="salu">[0]!salu</definedName>
    <definedName name="Sched_Pay" localSheetId="3">#REF!</definedName>
    <definedName name="Sched_Pay">#REF!</definedName>
    <definedName name="Scheduled_Extra_Payments" localSheetId="3">#REF!</definedName>
    <definedName name="Scheduled_Extra_Payments">#REF!</definedName>
    <definedName name="Scheduled_Interest_Rate" localSheetId="3">#REF!</definedName>
    <definedName name="Scheduled_Interest_Rate">#REF!</definedName>
    <definedName name="Scheduled_Monthly_Payment">#REF!</definedName>
    <definedName name="SCHEMA_piscine">#REF!</definedName>
    <definedName name="SCHÉMAS_DE_PRINCIPE">#REF!</definedName>
    <definedName name="sde">'[27]GC 150m3 MGHASSINE'!$J$38</definedName>
    <definedName name="sdf">'[4]Macro-press'!$A$16:$C$39</definedName>
    <definedName name="sdgfczj">'[35]RE SEV 50'!#REF!</definedName>
    <definedName name="SGG" localSheetId="3">#REF!</definedName>
    <definedName name="SGG">#REF!</definedName>
    <definedName name="Silicon_béton" localSheetId="3">#REF!</definedName>
    <definedName name="Silicon_béton">#REF!</definedName>
    <definedName name="SO" localSheetId="2">#REF!</definedName>
    <definedName name="SO" localSheetId="3">#REF!</definedName>
    <definedName name="SO" localSheetId="0">#REF!</definedName>
    <definedName name="SO">#REF!</definedName>
    <definedName name="Solins">#REF!</definedName>
    <definedName name="Sonnerie">#REF!</definedName>
    <definedName name="sor">'[3]Macro-cons'!$A$10</definedName>
    <definedName name="sortie">'[3]Macro-colbrook'!$A$87:$E$111</definedName>
    <definedName name="SORTIE1">'[3]Macro-press'!$A$42:$A$65</definedName>
    <definedName name="source" localSheetId="3">#REF!</definedName>
    <definedName name="source">#REF!</definedName>
    <definedName name="sqr">#N/A</definedName>
    <definedName name="ss" localSheetId="3">#REF!</definedName>
    <definedName name="ss">#REF!</definedName>
    <definedName name="Stabilisateur_100" localSheetId="3">#REF!</definedName>
    <definedName name="Stabilisateur_100">#REF!</definedName>
    <definedName name="Stabilisateur_150">#REF!</definedName>
    <definedName name="Stabilisateur_200">#REF!</definedName>
    <definedName name="Stabilisateur_40">#REF!</definedName>
    <definedName name="Stabilisateur_50">#REF!</definedName>
    <definedName name="Stabilisateur_60">#REF!</definedName>
    <definedName name="Stabilisateur_80">#REF!</definedName>
    <definedName name="Summary">#REF!</definedName>
    <definedName name="t">#REF!</definedName>
    <definedName name="T_R">'[42]Bache 50 m3_SR1'!$H$11</definedName>
    <definedName name="ta" localSheetId="3">#REF!</definedName>
    <definedName name="ta">#REF!</definedName>
    <definedName name="tanger" localSheetId="3">'Lot N03 CHARPENTE METALLIQUE '!tanger</definedName>
    <definedName name="tanger" localSheetId="0">'Recap Generale '!tanger</definedName>
    <definedName name="tanger">[0]!tanger</definedName>
    <definedName name="tayeb" localSheetId="3">#REF!</definedName>
    <definedName name="tayeb">#REF!</definedName>
    <definedName name="TE_BB_TB_100" localSheetId="3">#REF!</definedName>
    <definedName name="TE_BB_TB_100">#REF!</definedName>
    <definedName name="TE_BB_TB_150" localSheetId="3">#REF!</definedName>
    <definedName name="TE_BB_TB_150">#REF!</definedName>
    <definedName name="TE_BB_TB_200">#REF!</definedName>
    <definedName name="TE_BB_TB_60">#REF!</definedName>
    <definedName name="TE_BB_TB_75">#REF!</definedName>
    <definedName name="TE_BB_TB_80">#REF!</definedName>
    <definedName name="TE_BB_TB_90">#REF!</definedName>
    <definedName name="TE_BE_TB_110">#REF!</definedName>
    <definedName name="TE_BE_TB_125">#REF!</definedName>
    <definedName name="TE_BE_TB_140">#REF!</definedName>
    <definedName name="TE_BE_TB_160">#REF!</definedName>
    <definedName name="TE_BE_TB_75">#REF!</definedName>
    <definedName name="TE_BE_TB_90">#REF!</definedName>
    <definedName name="TE_BE_TE_110">#REF!</definedName>
    <definedName name="TE_BE_TE_125">#REF!</definedName>
    <definedName name="TE_BE_TE_140">#REF!</definedName>
    <definedName name="TE_BE_TE_160">#REF!</definedName>
    <definedName name="TE_BE_TE_200">#REF!</definedName>
    <definedName name="TE_BE_TE_63">#REF!</definedName>
    <definedName name="TE_BE_TE_75">#REF!</definedName>
    <definedName name="TE_BE_TE_90">#REF!</definedName>
    <definedName name="Té_bridé_100">#REF!</definedName>
    <definedName name="Té_bridé_125">#REF!</definedName>
    <definedName name="Té_bridé_150">#REF!</definedName>
    <definedName name="Té_bridé_200">#REF!</definedName>
    <definedName name="Té_bridé_250">#REF!</definedName>
    <definedName name="Té_bridé_300">#REF!</definedName>
    <definedName name="Té_bridé_40">#REF!</definedName>
    <definedName name="Té_bridé_60">#REF!</definedName>
    <definedName name="Té_bridé_80">#REF!</definedName>
    <definedName name="Té_SR_110">#REF!</definedName>
    <definedName name="Té_SR_50">#REF!</definedName>
    <definedName name="Té_SR_63">#REF!</definedName>
    <definedName name="Té_SR_75">#REF!</definedName>
    <definedName name="Té_SR_90">#REF!</definedName>
    <definedName name="Technoprom__SAV_007_97_TECHNOPROM_DEVIS_REPARATION_Liste">#REF!</definedName>
    <definedName name="terr">[43]Récap!$C$3</definedName>
    <definedName name="Terrassement" localSheetId="3">#REF!</definedName>
    <definedName name="Terrassement">#REF!</definedName>
    <definedName name="TES_BB_TB" localSheetId="3">#REF!</definedName>
    <definedName name="TES_BB_TB">#REF!</definedName>
    <definedName name="téta0" localSheetId="3">#REF!</definedName>
    <definedName name="téta0">#REF!</definedName>
    <definedName name="Tête_portail">#REF!</definedName>
    <definedName name="Texc">#REF!</definedName>
    <definedName name="Ti">#REF!</definedName>
    <definedName name="titre">#REF!</definedName>
    <definedName name="tl">#N/A</definedName>
    <definedName name="Total_A1">#N/A</definedName>
    <definedName name="Total_A2">#N/A</definedName>
    <definedName name="Total_Interest">#REF!</definedName>
    <definedName name="Total_Pay">#REF!</definedName>
    <definedName name="Total_Payment" localSheetId="5">Scheduled_Payment+Extra_Payment</definedName>
    <definedName name="Total_Payment" localSheetId="1">Scheduled_Payment+Extra_Payment</definedName>
    <definedName name="Total_Payment" localSheetId="3">Scheduled_Payment+Extra_Payment</definedName>
    <definedName name="Total_Payment" localSheetId="0">Scheduled_Payment+Extra_Payment</definedName>
    <definedName name="Total_Payment">Scheduled_Payment+Extra_Payment</definedName>
    <definedName name="TOTDEBPRIBOR">[37]DET!$H$2</definedName>
    <definedName name="TOTFRAISFIXES">[37]FRAISFIX!$E$2</definedName>
    <definedName name="TOTFRAISSG">[37]SERVGEN!$E$2</definedName>
    <definedName name="TOTMATERIEL">[37]MATERIEL!$J$1</definedName>
    <definedName name="TOTPERSONNEL">[37]PERSONNEL!$I$2</definedName>
    <definedName name="totpvstttc">'[37]SOUS-TRT'!$AJ$1</definedName>
    <definedName name="tr">#N/A</definedName>
    <definedName name="Transformateur_100">#REF!</definedName>
    <definedName name="Transformateur_150">#REF!</definedName>
    <definedName name="Transformateur_50">#REF!</definedName>
    <definedName name="Traversé_oued">#REF!</definedName>
    <definedName name="Traversé_piste">#REF!</definedName>
    <definedName name="trocher">#REF!</definedName>
    <definedName name="tt">[44]AN3!$H$6</definedName>
    <definedName name="tttt" localSheetId="3">#REF!</definedName>
    <definedName name="tttt">#REF!</definedName>
    <definedName name="Tuyautrie_javillisation" localSheetId="3">#REF!</definedName>
    <definedName name="Tuyautrie_javillisation">#REF!</definedName>
    <definedName name="typ" localSheetId="3">#REF!</definedName>
    <definedName name="typ">#REF!</definedName>
    <definedName name="U">#REF!</definedName>
    <definedName name="ù" localSheetId="3">'Lot N03 CHARPENTE METALLIQUE '!ù</definedName>
    <definedName name="ù" localSheetId="0">'Recap Generale '!ù</definedName>
    <definedName name="ù">[0]!ù</definedName>
    <definedName name="uhg" localSheetId="3">'Lot N03 CHARPENTE METALLIQUE '!uhg</definedName>
    <definedName name="uhg" localSheetId="0">'Recap Generale '!uhg</definedName>
    <definedName name="uhg">[0]!uhg</definedName>
    <definedName name="Unité">[21]S.P1!$C$7</definedName>
    <definedName name="uuu" localSheetId="3">#REF!</definedName>
    <definedName name="uuu">#REF!</definedName>
    <definedName name="V">[5]AN2!#REF!</definedName>
    <definedName name="Values_Entered" localSheetId="3">IF(Loan_Amount*'Lot N03 CHARPENTE METALLIQUE '!Interest_Rate*Loan_Years*Loan_Start&gt;0,1,0)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CX" localSheetId="3">'Lot N03 CHARPENTE METALLIQUE '!VCX</definedName>
    <definedName name="VCX" localSheetId="0">'Recap Generale '!VCX</definedName>
    <definedName name="VCX">[0]!VCX</definedName>
    <definedName name="Ventilateur" localSheetId="3">#REF!</definedName>
    <definedName name="Ventilateur">#REF!</definedName>
    <definedName name="ventouse25" localSheetId="3">#REF!</definedName>
    <definedName name="ventouse25">#REF!</definedName>
    <definedName name="ventouse40" localSheetId="3">#REF!</definedName>
    <definedName name="ventouse40">#REF!</definedName>
    <definedName name="ventouse60">#REF!</definedName>
    <definedName name="ventouseT40">#REF!</definedName>
    <definedName name="ventouseT60">#REF!</definedName>
    <definedName name="verre_double">#REF!</definedName>
    <definedName name="vvvvvvvvv">#REF!</definedName>
    <definedName name="WC_gré_0.70x0.60">#REF!</definedName>
    <definedName name="WIN">#N/A</definedName>
    <definedName name="ww">#REF!</definedName>
    <definedName name="x">#REF!</definedName>
    <definedName name="XWWC">#REF!</definedName>
    <definedName name="xx">#REF!</definedName>
    <definedName name="xyz">'[2]Macro-press'!$A$16:$C$39</definedName>
    <definedName name="y" localSheetId="3">#REF!</definedName>
    <definedName name="y">#REF!</definedName>
    <definedName name="Yens">[21]S.P1!$A$7:$G$7</definedName>
    <definedName name="YY" localSheetId="3">#REF!</definedName>
    <definedName name="YY">#REF!</definedName>
    <definedName name="Z" localSheetId="3">#REF!</definedName>
    <definedName name="Z">#REF!</definedName>
    <definedName name="zone" localSheetId="3">#REF!</definedName>
    <definedName name="zone">#REF!</definedName>
    <definedName name="_xlnm.Print_Area" localSheetId="5">'Lot N° 05 ELECTRICITE'!$A$1:$G$256</definedName>
    <definedName name="_xlnm.Print_Area" localSheetId="6">'Lot N° 06 REVETEMENT'!$A$1:$G$35</definedName>
    <definedName name="_xlnm.Print_Area" localSheetId="7">'Lot N° 07 MENUISERIE BOIS'!$A$1:$G$19</definedName>
    <definedName name="_xlnm.Print_Area" localSheetId="8">'Lot N° 08 MENUISERIE ALUM'!$A$1:$G$22</definedName>
    <definedName name="_xlnm.Print_Area" localSheetId="9">'Lot N° 09 MENUISERIE METAL'!$A$1:$G$54</definedName>
    <definedName name="_xlnm.Print_Area" localSheetId="1">'Lot N°01 GROS OEUVRE '!$A$1:$G$130</definedName>
    <definedName name="_xlnm.Print_Area" localSheetId="2">'Lot N°02 ETANCHEITE'!$A$1:$G$18</definedName>
    <definedName name="_xlnm.Print_Area" localSheetId="4">'Lot N°04 FLUIDES'!$A$1:$G$349</definedName>
    <definedName name="_xlnm.Print_Area" localSheetId="10">'Lot N°10 FAUX PLAFOND'!$A$1:$G$16</definedName>
    <definedName name="_xlnm.Print_Area" localSheetId="11">'Lot N°11 PEINTURE'!$A$1:$G$24</definedName>
    <definedName name="_xlnm.Print_Area" localSheetId="3">'Lot N03 CHARPENTE METALLIQUE '!$A$1:$G$26</definedName>
    <definedName name="Zone_impres_MI" localSheetId="1">#REF!</definedName>
    <definedName name="Zone_impres_MI" localSheetId="2">#REF!</definedName>
    <definedName name="Zone_impres_MI" localSheetId="3">#REF!</definedName>
    <definedName name="Zone_impres_MI" localSheetId="0">#REF!</definedName>
    <definedName name="Zone_impres_MI">#REF!</definedName>
    <definedName name="zz" localSheetId="3">#REF!</definedName>
    <definedName name="zz">#REF!</definedName>
    <definedName name="zzz" localSheetId="3">#REF!</definedName>
    <definedName name="zzz">#REF!</definedName>
    <definedName name="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1" i="87" l="1"/>
  <c r="G315" i="87"/>
  <c r="G313" i="87"/>
  <c r="G311" i="87"/>
  <c r="G324" i="87" s="1"/>
  <c r="G342" i="87" s="1"/>
  <c r="G303" i="87"/>
  <c r="G305" i="87" s="1"/>
  <c r="G340" i="87" s="1"/>
  <c r="G295" i="87"/>
  <c r="G293" i="87"/>
  <c r="G291" i="87"/>
  <c r="G287" i="87"/>
  <c r="G283" i="87"/>
  <c r="G281" i="87"/>
  <c r="G277" i="87"/>
  <c r="G273" i="87"/>
  <c r="G271" i="87"/>
  <c r="G267" i="87"/>
  <c r="G264" i="87"/>
  <c r="G262" i="87"/>
  <c r="G260" i="87"/>
  <c r="G256" i="87"/>
  <c r="G254" i="87"/>
  <c r="G250" i="87"/>
  <c r="G248" i="87"/>
  <c r="G246" i="87"/>
  <c r="G240" i="87"/>
  <c r="G238" i="87"/>
  <c r="G236" i="87"/>
  <c r="G234" i="87"/>
  <c r="G232" i="87"/>
  <c r="G224" i="87"/>
  <c r="G216" i="87"/>
  <c r="G212" i="87"/>
  <c r="G209" i="87"/>
  <c r="G206" i="87"/>
  <c r="G204" i="87"/>
  <c r="G202" i="87"/>
  <c r="G198" i="87"/>
  <c r="G196" i="87"/>
  <c r="G188" i="87"/>
  <c r="G186" i="87"/>
  <c r="G184" i="87"/>
  <c r="G180" i="87"/>
  <c r="G178" i="87"/>
  <c r="G172" i="87"/>
  <c r="G163" i="87"/>
  <c r="G160" i="87"/>
  <c r="G156" i="87"/>
  <c r="G153" i="87"/>
  <c r="G150" i="87"/>
  <c r="G147" i="87"/>
  <c r="G137" i="87"/>
  <c r="G135" i="87"/>
  <c r="G130" i="87"/>
  <c r="G128" i="87"/>
  <c r="G124" i="87"/>
  <c r="G122" i="87"/>
  <c r="G113" i="87"/>
  <c r="G111" i="87"/>
  <c r="G109" i="87"/>
  <c r="G103" i="87"/>
  <c r="G99" i="87"/>
  <c r="G97" i="87"/>
  <c r="G95" i="87"/>
  <c r="G82" i="87"/>
  <c r="G77" i="87"/>
  <c r="G75" i="87"/>
  <c r="G73" i="87"/>
  <c r="G69" i="87"/>
  <c r="G67" i="87"/>
  <c r="G63" i="87"/>
  <c r="G61" i="87"/>
  <c r="G59" i="87"/>
  <c r="G50" i="87"/>
  <c r="G43" i="87"/>
  <c r="G40" i="87"/>
  <c r="G32" i="87"/>
  <c r="G27" i="87"/>
  <c r="G25" i="87"/>
  <c r="G23" i="87"/>
  <c r="G19" i="87"/>
  <c r="G16" i="87"/>
  <c r="G12" i="87"/>
  <c r="G9" i="87"/>
  <c r="G90" i="87" l="1"/>
  <c r="G330" i="87" s="1"/>
  <c r="G115" i="87"/>
  <c r="G332" i="87" s="1"/>
  <c r="G165" i="87"/>
  <c r="G334" i="87" s="1"/>
  <c r="G297" i="87"/>
  <c r="G338" i="87" s="1"/>
  <c r="G226" i="87"/>
  <c r="G336" i="87" s="1"/>
  <c r="G52" i="87"/>
  <c r="G328" i="87" s="1"/>
  <c r="G344" i="87" l="1"/>
  <c r="G9" i="80"/>
  <c r="G13" i="84"/>
  <c r="C21" i="78" s="1"/>
  <c r="E21" i="78" s="1"/>
  <c r="F21" i="78" s="1"/>
  <c r="G11" i="84"/>
  <c r="G19" i="82"/>
  <c r="C19" i="78" s="1"/>
  <c r="E19" i="78" s="1"/>
  <c r="F19" i="78" s="1"/>
  <c r="G12" i="81"/>
  <c r="G10" i="81"/>
  <c r="G17" i="85"/>
  <c r="G15" i="85"/>
  <c r="G19" i="85" s="1"/>
  <c r="G8" i="85"/>
  <c r="G10" i="85" s="1"/>
  <c r="B14" i="84"/>
  <c r="G9" i="84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4" i="80"/>
  <c r="G222" i="80"/>
  <c r="G220" i="80"/>
  <c r="G47" i="83"/>
  <c r="G45" i="83"/>
  <c r="G49" i="83" s="1"/>
  <c r="G39" i="83"/>
  <c r="G41" i="83" s="1"/>
  <c r="G33" i="83"/>
  <c r="G31" i="83"/>
  <c r="G29" i="83"/>
  <c r="G27" i="83"/>
  <c r="G35" i="83" s="1"/>
  <c r="G20" i="83"/>
  <c r="G18" i="83"/>
  <c r="G16" i="83"/>
  <c r="G13" i="83"/>
  <c r="G11" i="83"/>
  <c r="G9" i="83"/>
  <c r="G15" i="82"/>
  <c r="G17" i="82" s="1"/>
  <c r="G9" i="82"/>
  <c r="G11" i="82" s="1"/>
  <c r="B17" i="81"/>
  <c r="G215" i="80"/>
  <c r="G213" i="80"/>
  <c r="G211" i="80"/>
  <c r="G209" i="80"/>
  <c r="G207" i="80"/>
  <c r="G204" i="80"/>
  <c r="G202" i="80"/>
  <c r="G200" i="80"/>
  <c r="G197" i="80"/>
  <c r="G193" i="80"/>
  <c r="G191" i="80"/>
  <c r="G189" i="80"/>
  <c r="G186" i="80"/>
  <c r="G184" i="80"/>
  <c r="G182" i="80"/>
  <c r="G179" i="80"/>
  <c r="G177" i="80"/>
  <c r="G173" i="80"/>
  <c r="G171" i="80"/>
  <c r="G169" i="80"/>
  <c r="G167" i="80"/>
  <c r="G164" i="80"/>
  <c r="G162" i="80"/>
  <c r="G160" i="80"/>
  <c r="G158" i="80"/>
  <c r="G156" i="80"/>
  <c r="G154" i="80"/>
  <c r="G152" i="80"/>
  <c r="G149" i="80"/>
  <c r="G147" i="80"/>
  <c r="G140" i="80"/>
  <c r="G138" i="80"/>
  <c r="G135" i="80"/>
  <c r="G132" i="80"/>
  <c r="G130" i="80"/>
  <c r="G128" i="80"/>
  <c r="G125" i="80"/>
  <c r="G123" i="80"/>
  <c r="G121" i="80"/>
  <c r="G118" i="80"/>
  <c r="G115" i="80"/>
  <c r="G113" i="80"/>
  <c r="G111" i="80"/>
  <c r="G109" i="80"/>
  <c r="G107" i="80"/>
  <c r="G105" i="80"/>
  <c r="G102" i="80"/>
  <c r="G100" i="80"/>
  <c r="G98" i="80"/>
  <c r="G95" i="80"/>
  <c r="G93" i="80"/>
  <c r="G91" i="80"/>
  <c r="G88" i="80"/>
  <c r="G86" i="80"/>
  <c r="G84" i="80"/>
  <c r="G82" i="80"/>
  <c r="G80" i="80"/>
  <c r="G78" i="80"/>
  <c r="G76" i="80"/>
  <c r="G74" i="80"/>
  <c r="G72" i="80"/>
  <c r="G70" i="80"/>
  <c r="G68" i="80"/>
  <c r="G66" i="80"/>
  <c r="G64" i="80"/>
  <c r="G62" i="80"/>
  <c r="G60" i="80"/>
  <c r="G58" i="80"/>
  <c r="G55" i="80"/>
  <c r="G53" i="80"/>
  <c r="G50" i="80"/>
  <c r="G48" i="80"/>
  <c r="G46" i="80"/>
  <c r="G44" i="80"/>
  <c r="G42" i="80"/>
  <c r="D40" i="80"/>
  <c r="G40" i="80" s="1"/>
  <c r="G38" i="80"/>
  <c r="G36" i="80"/>
  <c r="G33" i="80"/>
  <c r="G31" i="80"/>
  <c r="G29" i="80"/>
  <c r="G27" i="80"/>
  <c r="G25" i="80"/>
  <c r="G23" i="80"/>
  <c r="G21" i="80"/>
  <c r="G19" i="80"/>
  <c r="G16" i="80"/>
  <c r="G14" i="80"/>
  <c r="G11" i="80"/>
  <c r="G21" i="85" l="1"/>
  <c r="C22" i="78" s="1"/>
  <c r="E22" i="78" s="1"/>
  <c r="F22" i="78" s="1"/>
  <c r="G15" i="84"/>
  <c r="G22" i="83"/>
  <c r="G14" i="81"/>
  <c r="G16" i="81" s="1"/>
  <c r="G251" i="80"/>
  <c r="G142" i="80"/>
  <c r="G253" i="80" s="1"/>
  <c r="C16" i="78" s="1"/>
  <c r="E16" i="78" s="1"/>
  <c r="F16" i="78" s="1"/>
  <c r="G345" i="87"/>
  <c r="C15" i="78"/>
  <c r="E15" i="78" s="1"/>
  <c r="F15" i="78" s="1"/>
  <c r="G346" i="87"/>
  <c r="G51" i="83"/>
  <c r="C20" i="78" s="1"/>
  <c r="G14" i="84"/>
  <c r="G22" i="85" l="1"/>
  <c r="G23" i="85" s="1"/>
  <c r="C18" i="78"/>
  <c r="E18" i="78" s="1"/>
  <c r="F18" i="78" s="1"/>
  <c r="G17" i="81"/>
  <c r="G18" i="81" s="1"/>
  <c r="E20" i="78"/>
  <c r="F20" i="78" s="1"/>
  <c r="G254" i="80"/>
  <c r="G255" i="80" s="1"/>
  <c r="G52" i="83"/>
  <c r="G53" i="83" s="1"/>
  <c r="G20" i="82"/>
  <c r="G21" i="82" s="1"/>
  <c r="B32" i="79" l="1"/>
  <c r="G26" i="79"/>
  <c r="G28" i="79" s="1"/>
  <c r="G20" i="79"/>
  <c r="G22" i="79" s="1"/>
  <c r="G14" i="79"/>
  <c r="G12" i="79"/>
  <c r="G10" i="79"/>
  <c r="G8" i="79"/>
  <c r="G16" i="79" s="1"/>
  <c r="G31" i="79" l="1"/>
  <c r="C17" i="78"/>
  <c r="E17" i="78" s="1"/>
  <c r="F17" i="78" s="1"/>
  <c r="G32" i="79" l="1"/>
  <c r="G33" i="79" s="1"/>
  <c r="G83" i="76"/>
  <c r="G45" i="76"/>
  <c r="G42" i="76"/>
  <c r="G65" i="76"/>
  <c r="D14" i="76"/>
  <c r="G63" i="76"/>
  <c r="G10" i="77"/>
  <c r="G67" i="76" l="1"/>
  <c r="G52" i="76" l="1"/>
  <c r="G121" i="76" l="1"/>
  <c r="G119" i="76"/>
  <c r="G117" i="76"/>
  <c r="G115" i="76"/>
  <c r="G113" i="76"/>
  <c r="G111" i="76"/>
  <c r="G109" i="76"/>
  <c r="G107" i="76"/>
  <c r="G124" i="76" s="1"/>
  <c r="G81" i="76"/>
  <c r="G79" i="76"/>
  <c r="G77" i="76"/>
  <c r="G69" i="76"/>
  <c r="G60" i="76"/>
  <c r="G72" i="76" s="1"/>
  <c r="G54" i="76"/>
  <c r="G50" i="76"/>
  <c r="G47" i="76"/>
  <c r="G40" i="76"/>
  <c r="G34" i="76"/>
  <c r="G31" i="76"/>
  <c r="G29" i="76"/>
  <c r="G27" i="76"/>
  <c r="G21" i="76"/>
  <c r="G23" i="76" s="1"/>
  <c r="G12" i="76"/>
  <c r="G10" i="76"/>
  <c r="G36" i="76" l="1"/>
  <c r="G57" i="76"/>
  <c r="G86" i="76"/>
  <c r="G101" i="76"/>
  <c r="G99" i="76"/>
  <c r="G103" i="76" s="1"/>
  <c r="G93" i="76"/>
  <c r="G90" i="76"/>
  <c r="G95" i="76" s="1"/>
  <c r="G8" i="76" l="1"/>
  <c r="B25" i="77" l="1"/>
  <c r="G20" i="77"/>
  <c r="G18" i="77"/>
  <c r="G16" i="77"/>
  <c r="G14" i="77"/>
  <c r="G12" i="77"/>
  <c r="G8" i="77"/>
  <c r="G6" i="77"/>
  <c r="G22" i="77" s="1"/>
  <c r="G24" i="77" s="1"/>
  <c r="G25" i="77" l="1"/>
  <c r="G26" i="77" s="1"/>
  <c r="C14" i="78"/>
  <c r="G14" i="76"/>
  <c r="G17" i="76" s="1"/>
  <c r="G127" i="76" s="1"/>
  <c r="E14" i="78" l="1"/>
  <c r="F14" i="78"/>
  <c r="C12" i="78"/>
  <c r="G128" i="76"/>
  <c r="G129" i="76" s="1"/>
  <c r="G7" i="75"/>
  <c r="E12" i="78" l="1"/>
  <c r="B128" i="76"/>
  <c r="F12" i="78" l="1"/>
  <c r="G11" i="75"/>
  <c r="G14" i="75" s="1"/>
  <c r="G16" i="75" s="1"/>
  <c r="G17" i="75" l="1"/>
  <c r="G18" i="75" s="1"/>
  <c r="C13" i="78"/>
  <c r="B17" i="75"/>
  <c r="E13" i="78" l="1"/>
  <c r="C23" i="78"/>
  <c r="F13" i="78" l="1"/>
  <c r="F23" i="78" s="1"/>
  <c r="E23" i="78"/>
</calcChain>
</file>

<file path=xl/sharedStrings.xml><?xml version="1.0" encoding="utf-8"?>
<sst xmlns="http://schemas.openxmlformats.org/spreadsheetml/2006/main" count="1548" uniqueCount="768">
  <si>
    <t>U</t>
  </si>
  <si>
    <t>Remblaiement ou évacuation aux décharges publiques</t>
  </si>
  <si>
    <t>MACONNERIE EN FONDATIONS</t>
  </si>
  <si>
    <t>BETON EN FONDATIONS POUR TOUT OUVRAGE</t>
  </si>
  <si>
    <t>Armatures en aciers HA en fondations</t>
  </si>
  <si>
    <t>TERRASSEMENT</t>
  </si>
  <si>
    <t>DIVERS</t>
  </si>
  <si>
    <t>DESIGNATION DES PRESTATIONS</t>
  </si>
  <si>
    <t>Prix unitaires en chiffres en MAD</t>
  </si>
  <si>
    <t>Prix unitaires en lettres</t>
  </si>
  <si>
    <t>GROS OEUVRE</t>
  </si>
  <si>
    <t>01.1</t>
  </si>
  <si>
    <t>01.1.1</t>
  </si>
  <si>
    <t xml:space="preserve">F    </t>
  </si>
  <si>
    <t xml:space="preserve">M3   </t>
  </si>
  <si>
    <t>Le mètre cube</t>
  </si>
  <si>
    <t>Fouilles en rigoles ou en tranchées ou en puits dans tout terrain y/c rocher</t>
  </si>
  <si>
    <t>Total MACONNERIE EN FONDATIONS</t>
  </si>
  <si>
    <t>01.2</t>
  </si>
  <si>
    <t>01.2.1</t>
  </si>
  <si>
    <t>Béton de propreté de 10 cm</t>
  </si>
  <si>
    <t xml:space="preserve">ML   </t>
  </si>
  <si>
    <t>01.3</t>
  </si>
  <si>
    <t>01.3.1</t>
  </si>
  <si>
    <t>Béton pour tout ouvrage en fondations</t>
  </si>
  <si>
    <t>01.3.2</t>
  </si>
  <si>
    <t xml:space="preserve">Kg   </t>
  </si>
  <si>
    <t>Total BETON EN FONDATIONS POUR TOUT OUVRAGE</t>
  </si>
  <si>
    <t>01.4</t>
  </si>
  <si>
    <t>RESEAU D'ASSANISSEMENT ET OUVRAGES ANNEXES</t>
  </si>
  <si>
    <t>01.4.1</t>
  </si>
  <si>
    <t>Canalisations en PVC pour évacuations</t>
  </si>
  <si>
    <t>Le mètre linéaire</t>
  </si>
  <si>
    <t>01.4.2</t>
  </si>
  <si>
    <t>Regards pour évacuation</t>
  </si>
  <si>
    <t xml:space="preserve">U    </t>
  </si>
  <si>
    <t>L'unité</t>
  </si>
  <si>
    <t>01.4.3</t>
  </si>
  <si>
    <t>Mise a la terre</t>
  </si>
  <si>
    <t>01.4.4</t>
  </si>
  <si>
    <t>Branchements aux réseaux existants</t>
  </si>
  <si>
    <t>Total RESEAU D'ASSANISSEMENT ET OUVRAGES ANNEXES</t>
  </si>
  <si>
    <t>01.5</t>
  </si>
  <si>
    <t>SOLS ET DALLAGES</t>
  </si>
  <si>
    <t>01.5.1</t>
  </si>
  <si>
    <t xml:space="preserve">M²   </t>
  </si>
  <si>
    <t>Le mètre carré</t>
  </si>
  <si>
    <t>01.5.2</t>
  </si>
  <si>
    <t>Armatures pour dallage</t>
  </si>
  <si>
    <t>Le Kilogramme</t>
  </si>
  <si>
    <t>Total SOLS ET DALLAGES</t>
  </si>
  <si>
    <t>01.7</t>
  </si>
  <si>
    <t>MACONNERIE</t>
  </si>
  <si>
    <t>Total MACONNERIE</t>
  </si>
  <si>
    <t>01.8</t>
  </si>
  <si>
    <t>ENDUITS</t>
  </si>
  <si>
    <t>01.8.1</t>
  </si>
  <si>
    <t>01.8.2</t>
  </si>
  <si>
    <t>Total ENDUITS</t>
  </si>
  <si>
    <t>01.9</t>
  </si>
  <si>
    <t>01.9.1</t>
  </si>
  <si>
    <t>01.9.2</t>
  </si>
  <si>
    <t>01.9.4</t>
  </si>
  <si>
    <t>Souche d’aération</t>
  </si>
  <si>
    <t>Niches compteurs</t>
  </si>
  <si>
    <t>Total DIVERS</t>
  </si>
  <si>
    <t>Montant HT du Lot N°01 GROS OEUVRE</t>
  </si>
  <si>
    <t>Montant TTC</t>
  </si>
  <si>
    <t>TVA</t>
  </si>
  <si>
    <t>Affaire :</t>
  </si>
  <si>
    <t>Liste des lots :</t>
  </si>
  <si>
    <t>01.9.3</t>
  </si>
  <si>
    <t xml:space="preserve">        Le mètre cube</t>
  </si>
  <si>
    <t xml:space="preserve">        Le mètre linéaire</t>
  </si>
  <si>
    <t xml:space="preserve">        L'unité</t>
  </si>
  <si>
    <t xml:space="preserve">        Le mètre carré</t>
  </si>
  <si>
    <t xml:space="preserve">Dallage de forme </t>
  </si>
  <si>
    <t>01.1.2</t>
  </si>
  <si>
    <t>01.9.5</t>
  </si>
  <si>
    <t>CH3</t>
  </si>
  <si>
    <t>CH4</t>
  </si>
  <si>
    <t>ART</t>
  </si>
  <si>
    <t>M2</t>
  </si>
  <si>
    <t>STOT</t>
  </si>
  <si>
    <t>TOTHT</t>
  </si>
  <si>
    <t>TOTTTC</t>
  </si>
  <si>
    <t xml:space="preserve">        Pour fouilles en puits</t>
  </si>
  <si>
    <t xml:space="preserve">        Pour buse de diamètre 200 mm</t>
  </si>
  <si>
    <t xml:space="preserve">        Pour buse de diamètre 300 mm</t>
  </si>
  <si>
    <t xml:space="preserve">        Mise à la terre périphérie du bâtiment</t>
  </si>
  <si>
    <t>Le Forfait</t>
  </si>
  <si>
    <t xml:space="preserve">      Niche compteur Électricité</t>
  </si>
  <si>
    <t xml:space="preserve">      Niche compteur d'eau</t>
  </si>
  <si>
    <t xml:space="preserve">     Niche compteur d'incendie</t>
  </si>
  <si>
    <t xml:space="preserve">        Pour fût de poteaux</t>
  </si>
  <si>
    <t xml:space="preserve">        Pour longrines</t>
  </si>
  <si>
    <t>01.5.3</t>
  </si>
  <si>
    <t>Enduit extérieur sur murs au mortier bâtard</t>
  </si>
  <si>
    <t>Enduit intérieur sur murs au mortier bâtard</t>
  </si>
  <si>
    <t>01.6</t>
  </si>
  <si>
    <t>BETON EN ELEVATION POUR TOUT OUVRAGE</t>
  </si>
  <si>
    <t>01.6.1</t>
  </si>
  <si>
    <t>Béton en élévation pour tout ouvrage</t>
  </si>
  <si>
    <t>01.6.2</t>
  </si>
  <si>
    <t>Armature en acier HA pour béton en élévation</t>
  </si>
  <si>
    <t>KG</t>
  </si>
  <si>
    <t>Total BETON EN ELEVATION POUR TOUT OUVRAGE</t>
  </si>
  <si>
    <t xml:space="preserve">Pour poteaux </t>
  </si>
  <si>
    <t xml:space="preserve">Total TERRASSEMENT </t>
  </si>
  <si>
    <t>01.7.2</t>
  </si>
  <si>
    <t>LOT N°02 / ETANCHEITE</t>
  </si>
  <si>
    <t>CH2</t>
  </si>
  <si>
    <t>ETANC</t>
  </si>
  <si>
    <t>02.1</t>
  </si>
  <si>
    <t>ETANCHEITE SUR SUPPORT BETON</t>
  </si>
  <si>
    <t>000-A128</t>
  </si>
  <si>
    <t>000-A129</t>
  </si>
  <si>
    <t>000-A141</t>
  </si>
  <si>
    <t>000-A136</t>
  </si>
  <si>
    <t>02.2</t>
  </si>
  <si>
    <t>02.2.1</t>
  </si>
  <si>
    <t>Total ETANCHEITE SUR SUPPORT BETON</t>
  </si>
  <si>
    <t>Montant HT du Lot N°02 ETANCHEITE</t>
  </si>
  <si>
    <t>01.1.3</t>
  </si>
  <si>
    <t>Entrée d'eau pluviale diamètre 200 mm</t>
  </si>
  <si>
    <t xml:space="preserve">      Le mètre carré</t>
  </si>
  <si>
    <t xml:space="preserve">        Pour agglo de 20 cm y/c raidisseur et chainage </t>
  </si>
  <si>
    <t xml:space="preserve"> Pour poutres</t>
  </si>
  <si>
    <t xml:space="preserve">        Pour fouilles en rigole</t>
  </si>
  <si>
    <t xml:space="preserve">Hourdis creux 15+5 </t>
  </si>
  <si>
    <t xml:space="preserve">Plancher en hourdis creux y compris dalle de compression et poutrelles </t>
  </si>
  <si>
    <t>Décapage de la terre végétale de 40 cm y/c évacuation</t>
  </si>
  <si>
    <t>01.9.6</t>
  </si>
  <si>
    <t>ML</t>
  </si>
  <si>
    <t>M²</t>
  </si>
  <si>
    <t>Socle anti-vibratile</t>
  </si>
  <si>
    <t xml:space="preserve">        Regard 60x60 cm non visitable</t>
  </si>
  <si>
    <t xml:space="preserve">        Regard 60x60 cm  visitable </t>
  </si>
  <si>
    <t>03.1</t>
  </si>
  <si>
    <t>CHARPENTE METALLIQUE</t>
  </si>
  <si>
    <t>03.1.1</t>
  </si>
  <si>
    <t>Structure métallique galvanisé à chaud y/c peinture en polyuréthane</t>
  </si>
  <si>
    <t>Le kilogramme</t>
  </si>
  <si>
    <t>Kg</t>
  </si>
  <si>
    <t>03.1.2</t>
  </si>
  <si>
    <t>03.1.3</t>
  </si>
  <si>
    <t>Fourniture et pose des platine métalliques</t>
  </si>
  <si>
    <t>L`unité</t>
  </si>
  <si>
    <t>03.1.4</t>
  </si>
  <si>
    <t>000-A130</t>
  </si>
  <si>
    <t>03.1.5</t>
  </si>
  <si>
    <t xml:space="preserve">Gargouille en plomb pour tous diamètres </t>
  </si>
  <si>
    <t>03.1.6</t>
  </si>
  <si>
    <t>03.1.7</t>
  </si>
  <si>
    <t>Descente d`eau pluviale en PVC diamètre 200 mm</t>
  </si>
  <si>
    <t>Chêneau en tôle galvanisée y/c étanchéité</t>
  </si>
  <si>
    <t xml:space="preserve">Étanchéité pour structure métallique y/c isolation </t>
  </si>
  <si>
    <t>Étanchéité légère des salles d’eau</t>
  </si>
  <si>
    <t>Maçonnerie d'agglomérés creux de ciment intérieur</t>
  </si>
  <si>
    <t>Couverture en tôle Toitesco y/c peinture</t>
  </si>
  <si>
    <t>01.4.5</t>
  </si>
  <si>
    <t>Fosse step de dimension ( 1.10 m x 1.10 m x 2.00 m )</t>
  </si>
  <si>
    <t xml:space="preserve">Quantité  </t>
  </si>
  <si>
    <t xml:space="preserve">Total H.T en MAD </t>
  </si>
  <si>
    <t xml:space="preserve">        Pour semelles isolées </t>
  </si>
  <si>
    <t xml:space="preserve">        Pour dallage de forme de 25 cm</t>
  </si>
  <si>
    <t xml:space="preserve">QUANTITE </t>
  </si>
  <si>
    <t xml:space="preserve">Total Global H.T en MAD </t>
  </si>
  <si>
    <t xml:space="preserve">Quantité </t>
  </si>
  <si>
    <t>Couverture en auto portantes</t>
  </si>
  <si>
    <t xml:space="preserve">        Pour dallage de forme de13 cm</t>
  </si>
  <si>
    <t>03.1.8</t>
  </si>
  <si>
    <t xml:space="preserve">        Pour dallage de forme de15 cm</t>
  </si>
  <si>
    <t>Prix unitaires en lettres MAD</t>
  </si>
  <si>
    <t>01.7.1</t>
  </si>
  <si>
    <t>Prix unitaires en lettres en MAD</t>
  </si>
  <si>
    <t xml:space="preserve">Montant HT du Lot N°03 CHARPENTE METALLIQUE </t>
  </si>
  <si>
    <t>01.6.3</t>
  </si>
  <si>
    <t xml:space="preserve">Simple cloison de 10 cm </t>
  </si>
  <si>
    <t>Aide à la pose faux cadre en bois sapin rouge</t>
  </si>
  <si>
    <t>Aide à la pose de précadres métalliques</t>
  </si>
  <si>
    <t>Aide à la pose des appareils sanitaires pour tout type de sanitaires</t>
  </si>
  <si>
    <t>06</t>
  </si>
  <si>
    <t xml:space="preserve">REVETEMENT </t>
  </si>
  <si>
    <t>06.1</t>
  </si>
  <si>
    <t xml:space="preserve">REVETEMENT DE SOL </t>
  </si>
  <si>
    <t>06.1.1</t>
  </si>
  <si>
    <t>06.1.2</t>
  </si>
  <si>
    <t>Revêtement de sol en terre battue</t>
  </si>
  <si>
    <t>06.1.3</t>
  </si>
  <si>
    <t xml:space="preserve">Revêtement de sol en béton lisse </t>
  </si>
  <si>
    <t>06.1.4</t>
  </si>
  <si>
    <t xml:space="preserve">Total REVETEMENT DE SOL </t>
  </si>
  <si>
    <t>06.2</t>
  </si>
  <si>
    <t xml:space="preserve">REVETEMENT MURAL </t>
  </si>
  <si>
    <t>06.2.1</t>
  </si>
  <si>
    <t xml:space="preserve">Total REVETEMENT MURAL </t>
  </si>
  <si>
    <t>06.3</t>
  </si>
  <si>
    <t xml:space="preserve">PLINTHE </t>
  </si>
  <si>
    <t>06.3.1</t>
  </si>
  <si>
    <t xml:space="preserve">Plinthe en carrelage de 10 cm </t>
  </si>
  <si>
    <t xml:space="preserve">Total PLINTHE </t>
  </si>
  <si>
    <t xml:space="preserve">Montant HT du Lot N°06 REVETEMENT </t>
  </si>
  <si>
    <t>QTE BIO TECH</t>
  </si>
  <si>
    <t xml:space="preserve">Total H.T en MAD    </t>
  </si>
  <si>
    <t>5.1</t>
  </si>
  <si>
    <t>LOT  ELECTRICITE CFO</t>
  </si>
  <si>
    <t>5.1.1</t>
  </si>
  <si>
    <t xml:space="preserve">ARMOIRES GENERALES DE PROTECTION </t>
  </si>
  <si>
    <t>a</t>
  </si>
  <si>
    <t>Armoire AGP</t>
  </si>
  <si>
    <r>
      <rPr>
        <u/>
        <sz val="10"/>
        <rFont val="Century Gothic"/>
        <family val="2"/>
      </rPr>
      <t>L'UNITE</t>
    </r>
    <r>
      <rPr>
        <sz val="10"/>
        <rFont val="Arial"/>
        <family val="2"/>
      </rPr>
      <t xml:space="preserve"> : </t>
    </r>
  </si>
  <si>
    <t>b</t>
  </si>
  <si>
    <t xml:space="preserve">Liaison BT AGP/TGBT </t>
  </si>
  <si>
    <r>
      <rPr>
        <u/>
        <sz val="10"/>
        <rFont val="Century Gothic"/>
        <family val="2"/>
      </rPr>
      <t>LE METRE LINEAIRE</t>
    </r>
    <r>
      <rPr>
        <sz val="10"/>
        <rFont val="Arial"/>
        <family val="2"/>
      </rPr>
      <t xml:space="preserve"> :</t>
    </r>
  </si>
  <si>
    <t>Ens</t>
  </si>
  <si>
    <t>5.1.2</t>
  </si>
  <si>
    <t>ARMOIRES TGBT, AIS ET ACA</t>
  </si>
  <si>
    <t>Armoire TGBT-N</t>
  </si>
  <si>
    <r>
      <rPr>
        <u/>
        <sz val="10"/>
        <rFont val="Century Gothic"/>
        <family val="2"/>
      </rPr>
      <t>L'UNITE</t>
    </r>
    <r>
      <rPr>
        <sz val="10"/>
        <rFont val="Century Gothic"/>
        <family val="2"/>
      </rPr>
      <t xml:space="preserve"> : </t>
    </r>
  </si>
  <si>
    <t xml:space="preserve">Armoire ACA </t>
  </si>
  <si>
    <t>5.1.3</t>
  </si>
  <si>
    <t>ARMOIRES ET COFFRETS DE PROTECTION</t>
  </si>
  <si>
    <t>Armoire de protection Ecl &amp; Force</t>
  </si>
  <si>
    <t>TE POULE PONDEUDE</t>
  </si>
  <si>
    <t>c</t>
  </si>
  <si>
    <t>TE POULE DE CHAIR</t>
  </si>
  <si>
    <t>d</t>
  </si>
  <si>
    <t>TE POULE DE CHAIR BIS</t>
  </si>
  <si>
    <t>e</t>
  </si>
  <si>
    <t xml:space="preserve">TE UNITE ELEVAGE PORCINE </t>
  </si>
  <si>
    <t>f</t>
  </si>
  <si>
    <t>TE UNITE ELEVAGE PORCINE BIS</t>
  </si>
  <si>
    <t>g</t>
  </si>
  <si>
    <t>TE UNITE BOVIN</t>
  </si>
  <si>
    <t>h</t>
  </si>
  <si>
    <t xml:space="preserve">TE UNITE BOVIN BIS </t>
  </si>
  <si>
    <t>5.1.4</t>
  </si>
  <si>
    <t>CABLES DE DISTRIBUTION</t>
  </si>
  <si>
    <t>U 1000 RO2V 1x240 mm2</t>
  </si>
  <si>
    <r>
      <rPr>
        <u/>
        <sz val="10"/>
        <rFont val="Century Gothic"/>
        <family val="2"/>
      </rPr>
      <t>LE METRE LINEAIRE</t>
    </r>
    <r>
      <rPr>
        <sz val="10"/>
        <rFont val="Century Gothic"/>
        <family val="2"/>
      </rPr>
      <t xml:space="preserve"> :</t>
    </r>
  </si>
  <si>
    <t>U 1000 RO2V 1x150 mm2</t>
  </si>
  <si>
    <t>U 1000 RO2V 1x120 mm2</t>
  </si>
  <si>
    <t>U 1000 RO2V 5G50 mm2</t>
  </si>
  <si>
    <t>U 1000 RO2V 5G10 mm2</t>
  </si>
  <si>
    <t>U 1000 RO2V 5G2,5 mm2</t>
  </si>
  <si>
    <t>U 1000 RO2V 3G2.5 mm2</t>
  </si>
  <si>
    <t>U 1000 RO2V 3G1.5 mm2</t>
  </si>
  <si>
    <t>5.1.5</t>
  </si>
  <si>
    <t>CHEMINS DE CABLES</t>
  </si>
  <si>
    <t>215 x 63 mm</t>
  </si>
  <si>
    <t>305 x 63 mm</t>
  </si>
  <si>
    <t>5.1.6</t>
  </si>
  <si>
    <t>LIGNES TERMINALES</t>
  </si>
  <si>
    <t>1 foyer sur S.A</t>
  </si>
  <si>
    <t>1 foyer sur D.V.V</t>
  </si>
  <si>
    <t>1 foyer sur V.V.</t>
  </si>
  <si>
    <t>1 foyer sur B.P</t>
  </si>
  <si>
    <t>Ciruit sur détécteur</t>
  </si>
  <si>
    <t>1 foyer télécommandé (sur minuterie, télérupteur,…etc.)</t>
  </si>
  <si>
    <t>1 foyer supplémentaire (sur SA, VV, Télécomandé)</t>
  </si>
  <si>
    <t>Circuit P.C 2x16 A+T</t>
  </si>
  <si>
    <t>Circuit BAES Y/C télécommande</t>
  </si>
  <si>
    <t>i</t>
  </si>
  <si>
    <t>Circuit BLOC D'AMBIANCE Y/C télécommande</t>
  </si>
  <si>
    <t>j</t>
  </si>
  <si>
    <t xml:space="preserve">L'UNITE : </t>
  </si>
  <si>
    <t>k</t>
  </si>
  <si>
    <t>l</t>
  </si>
  <si>
    <t>m</t>
  </si>
  <si>
    <t>n</t>
  </si>
  <si>
    <t>Interrupteur S.A étanche(E)</t>
  </si>
  <si>
    <t>o</t>
  </si>
  <si>
    <t>Interrupteur V.V étanche(E)</t>
  </si>
  <si>
    <t>p</t>
  </si>
  <si>
    <t>Interrupteur V.V.D étanche(E)</t>
  </si>
  <si>
    <t>Bouton Poussoir étanche(E)</t>
  </si>
  <si>
    <t xml:space="preserve">Prise de courant 2x16 A+T étanche </t>
  </si>
  <si>
    <t>Détecteur de mouvement 180°</t>
  </si>
  <si>
    <t>5.1.7</t>
  </si>
  <si>
    <t>Fourniture et pose LUSTRERIE</t>
  </si>
  <si>
    <t xml:space="preserve">Spot étanche </t>
  </si>
  <si>
    <t xml:space="preserve">Armature industrielle </t>
  </si>
  <si>
    <t xml:space="preserve">Réglette </t>
  </si>
  <si>
    <t>5.1.8</t>
  </si>
  <si>
    <t>ECLAIRAGE DE SECURITE</t>
  </si>
  <si>
    <t>Bloc d’évacuation  60Lm</t>
  </si>
  <si>
    <t>Bloc d’ambiance</t>
  </si>
  <si>
    <t>Bloc BAPI</t>
  </si>
  <si>
    <t>5.1.9</t>
  </si>
  <si>
    <t>TUBAGE COURANT FAIBLE</t>
  </si>
  <si>
    <t>Colonne Téléphone / Informatique</t>
  </si>
  <si>
    <t>Colonne Détection incendie ou alarme</t>
  </si>
  <si>
    <t>Tubage  attente détection incendie ou alarme</t>
  </si>
  <si>
    <t>Tubage Circuit prise téléphone ou informatique</t>
  </si>
  <si>
    <t>Prise téléphone/informatique cat 6A (Etanche)</t>
  </si>
  <si>
    <t>5.1.11</t>
  </si>
  <si>
    <t>ONDULEUR 5KVA - 10 min</t>
  </si>
  <si>
    <t>5.1.12</t>
  </si>
  <si>
    <t>ONDULEURS</t>
  </si>
  <si>
    <t>Onduleur 15KVA - 10 min</t>
  </si>
  <si>
    <t>5.1.13</t>
  </si>
  <si>
    <t>MISE A LA TERRE</t>
  </si>
  <si>
    <t>Piquet de terre</t>
  </si>
  <si>
    <t>Câble U500V 1x25mm2</t>
  </si>
  <si>
    <t>5.1.14</t>
  </si>
  <si>
    <t>BARRETTE DE MESURE DE TERRE</t>
  </si>
  <si>
    <t>5.1.15</t>
  </si>
  <si>
    <t>TRANCHEES</t>
  </si>
  <si>
    <t xml:space="preserve">Tranchée </t>
  </si>
  <si>
    <t>Tube DP D110 mm</t>
  </si>
  <si>
    <t>Tube DP D50 mm</t>
  </si>
  <si>
    <t>5.1.16</t>
  </si>
  <si>
    <t>REGARD DE TIRAGE</t>
  </si>
  <si>
    <t xml:space="preserve">Regard 0,80 x 0,80 x 0,80 m </t>
  </si>
  <si>
    <t>5.1.17</t>
  </si>
  <si>
    <t>BORNE DE RECHARGE ELECTRIQUES IP55</t>
  </si>
  <si>
    <t>Borne de recharge électrique 22KW</t>
  </si>
  <si>
    <t>5.1.18</t>
  </si>
  <si>
    <t>PARATONNERRE</t>
  </si>
  <si>
    <t>Total Lot / ELECTRICITE CFO</t>
  </si>
  <si>
    <t>5.2</t>
  </si>
  <si>
    <t>LOT / ELECTRICITE CFA</t>
  </si>
  <si>
    <t>5.2.1</t>
  </si>
  <si>
    <t>PRE-CABLAGE INFORMATIQUE/TELEPHONIQUE</t>
  </si>
  <si>
    <t>5.2.1.1</t>
  </si>
  <si>
    <t>ARMOIRE REPARTITEUR GENERAL TELEPHONE/INFORMATIQUE 42U</t>
  </si>
  <si>
    <t>5.2.1.2</t>
  </si>
  <si>
    <t>ARMOIRE SOUS-REPARTITEUR (SR) 24U</t>
  </si>
  <si>
    <t>5.2.1.3</t>
  </si>
  <si>
    <t xml:space="preserve">EQUIPEMENTS REPARTITEURS </t>
  </si>
  <si>
    <t>Panneau de brassage 48 ports cat. 6A</t>
  </si>
  <si>
    <t>Panneau de brassage 24 ports cat. 6A</t>
  </si>
  <si>
    <t>Cordon de brassage Cat 6A</t>
  </si>
  <si>
    <t>Switch 48 ports POE+</t>
  </si>
  <si>
    <t>Switch 24 ports POE+</t>
  </si>
  <si>
    <t>Tiroirs optiques</t>
  </si>
  <si>
    <t>Jarretières optiques</t>
  </si>
  <si>
    <t>5.2.1.4</t>
  </si>
  <si>
    <t>POINT D'ACCES WIFI</t>
  </si>
  <si>
    <t>Point d'accès WIFI à haute densité</t>
  </si>
  <si>
    <t>5.2.1.5</t>
  </si>
  <si>
    <t>TEST DE COUVERTURE</t>
  </si>
  <si>
    <t>5.2.1.6</t>
  </si>
  <si>
    <t>CABLAGE DE DISTRIBUTION 4 PAIRES F/UTP – CAT 6A</t>
  </si>
  <si>
    <r>
      <rPr>
        <u/>
        <sz val="10"/>
        <rFont val="Century Gothic"/>
        <family val="2"/>
      </rPr>
      <t>L'ENSEMBLE</t>
    </r>
    <r>
      <rPr>
        <sz val="10"/>
        <rFont val="Century Gothic"/>
        <family val="2"/>
      </rPr>
      <t xml:space="preserve"> :</t>
    </r>
  </si>
  <si>
    <t>5.2.1.7</t>
  </si>
  <si>
    <t>CABLE FIBRE OPTIQUE 12 BRINS</t>
  </si>
  <si>
    <t>5.2.2</t>
  </si>
  <si>
    <t>DETECTION INCENDIE</t>
  </si>
  <si>
    <t>5.2.2.1</t>
  </si>
  <si>
    <t xml:space="preserve">CENTRALE PRINCIPALE DE DETECTION INCENDIE ADRESSABLE </t>
  </si>
  <si>
    <t>L'ENSEMBLE :</t>
  </si>
  <si>
    <t>5.2.2.2</t>
  </si>
  <si>
    <t>TABLEAU DE REPORT D'ALARME</t>
  </si>
  <si>
    <r>
      <rPr>
        <u/>
        <sz val="10"/>
        <rFont val="Century Gothic"/>
        <family val="2"/>
      </rPr>
      <t>L'UNITE</t>
    </r>
    <r>
      <rPr>
        <sz val="10"/>
        <rFont val="Arial"/>
        <family val="2"/>
      </rPr>
      <t xml:space="preserve"> :</t>
    </r>
  </si>
  <si>
    <t>5.2.2.3</t>
  </si>
  <si>
    <t>LES DETECTEURS AUTOMATIQUES / MANUELS D'INCENDIE</t>
  </si>
  <si>
    <t>Détecteur optique de fumée adressable</t>
  </si>
  <si>
    <t xml:space="preserve">Détecteur optique de fumée linéaire </t>
  </si>
  <si>
    <t>5.2.2.4</t>
  </si>
  <si>
    <t>DECLENCHEUR MANUEL ADRESSABLE</t>
  </si>
  <si>
    <t>5.2.2.5</t>
  </si>
  <si>
    <t>AVERTISSEUR SONORE ET SONORE -VISUEL</t>
  </si>
  <si>
    <t>Avertisseur sonore</t>
  </si>
  <si>
    <t>5.2.2.6</t>
  </si>
  <si>
    <t>COMMANDE ET CONTRÔLE DES ASSERVISSEMENTS</t>
  </si>
  <si>
    <t>5.2.2.7</t>
  </si>
  <si>
    <t>CABLAGE SSI y compris câble de report vers la gérite</t>
  </si>
  <si>
    <t>5.2.3</t>
  </si>
  <si>
    <t>CONTRÔLE D'ACCES</t>
  </si>
  <si>
    <t>5.2.3.1</t>
  </si>
  <si>
    <t>BADGES</t>
  </si>
  <si>
    <t>5.2.3.2</t>
  </si>
  <si>
    <t>CONTROLEURS D'ACCES</t>
  </si>
  <si>
    <t>Centrale TCP/IP</t>
  </si>
  <si>
    <t>Module extension</t>
  </si>
  <si>
    <r>
      <rPr>
        <u/>
        <sz val="10"/>
        <rFont val="Century Gothic"/>
        <family val="2"/>
      </rPr>
      <t>L'UNITE</t>
    </r>
    <r>
      <rPr>
        <sz val="10"/>
        <color indexed="10"/>
        <rFont val="Arial"/>
        <family val="2"/>
      </rPr>
      <t xml:space="preserve"> :</t>
    </r>
  </si>
  <si>
    <t>5.2.3.3</t>
  </si>
  <si>
    <t>TERMINAL DE CONTRÔLE D'ACCES A DOUBLE TECHNOLOGIE</t>
  </si>
  <si>
    <t>5.2.3.4</t>
  </si>
  <si>
    <t>COMMANDE DES PORTES</t>
  </si>
  <si>
    <t>Bouton poussoir en INOX</t>
  </si>
  <si>
    <t xml:space="preserve">Déclencheur manuel ouverture porte </t>
  </si>
  <si>
    <t>5.2.3.5</t>
  </si>
  <si>
    <t>EQUIPEMENT DES PORTES</t>
  </si>
  <si>
    <t>5.2.3.6</t>
  </si>
  <si>
    <t>CÂBLAGE DES EQUIPEMENTS DE CONTRÔLE D'ACCES</t>
  </si>
  <si>
    <t>L'ENSEMBLE</t>
  </si>
  <si>
    <t>5.2.3.7</t>
  </si>
  <si>
    <t>LOGICIEL DE CONTROLE D’ACCES</t>
  </si>
  <si>
    <t>Total Lot / ELECTRICITE CFA</t>
  </si>
  <si>
    <t>TVA 20 %</t>
  </si>
  <si>
    <t>Montant HT du Lot N°05 ELECTRICITE CFO - CFA</t>
  </si>
  <si>
    <t>07</t>
  </si>
  <si>
    <t xml:space="preserve">MENUISERIE EN BOIS </t>
  </si>
  <si>
    <t>07.1</t>
  </si>
  <si>
    <t xml:space="preserve">PORTE ISOPLANE EN BOIS </t>
  </si>
  <si>
    <t>07.1.1</t>
  </si>
  <si>
    <t xml:space="preserve">Porte isoplane en bois finition chêne à un vantail ouvrant à la française </t>
  </si>
  <si>
    <t xml:space="preserve">         L'unité</t>
  </si>
  <si>
    <t>Total PORTE ISOPLANE EN BOIS</t>
  </si>
  <si>
    <t xml:space="preserve">Montant HT du Lot N°07 MENUISERIE EN BOIS </t>
  </si>
  <si>
    <t>MENUISERIE EN ALUMINUIM</t>
  </si>
  <si>
    <t>08.1</t>
  </si>
  <si>
    <t xml:space="preserve">CHASSIS EN ALUMINUIM </t>
  </si>
  <si>
    <t>08.1.1</t>
  </si>
  <si>
    <t>Châssis fixe en aluminium</t>
  </si>
  <si>
    <t xml:space="preserve">         Type F03 dimension de 0,60 m x 0,60m</t>
  </si>
  <si>
    <t xml:space="preserve">       L'unité</t>
  </si>
  <si>
    <t xml:space="preserve">Total CHASSIS EN ALUMINUIM </t>
  </si>
  <si>
    <t>09.2</t>
  </si>
  <si>
    <t>PANNEAU SANDWICH EN ALUMINIUM</t>
  </si>
  <si>
    <t>09.2.1</t>
  </si>
  <si>
    <t xml:space="preserve">Panneau sandiwich </t>
  </si>
  <si>
    <t>Total PANNEAU SANDWICH EN ALUMINIUM</t>
  </si>
  <si>
    <t>Montant HT du Lot N°08 MENUISERIE ALUMINIUM</t>
  </si>
  <si>
    <t>TVA (20%)</t>
  </si>
  <si>
    <t>MENUISERIE METALLIQUE</t>
  </si>
  <si>
    <t>09.1</t>
  </si>
  <si>
    <t>PORTE METALLIQUE OUVRANT A LA FRANCAISE</t>
  </si>
  <si>
    <t>09.1.1</t>
  </si>
  <si>
    <t>Porte métallique a un vantail  à un vantail ouvrant à la française</t>
  </si>
  <si>
    <t>Porte métallique a deux vanteaux ouvrant à la française</t>
  </si>
  <si>
    <t>PORTE METALLIQUE GRILLAGEE</t>
  </si>
  <si>
    <t>Total PORTE METALLIQUE OUVRANTS</t>
  </si>
  <si>
    <t>09.3</t>
  </si>
  <si>
    <t xml:space="preserve">CORNADIS EN METALLIQUE </t>
  </si>
  <si>
    <t>09.3.1</t>
  </si>
  <si>
    <t xml:space="preserve">Total CORNADIS EN METALLIQUE </t>
  </si>
  <si>
    <t>09.4</t>
  </si>
  <si>
    <t xml:space="preserve">MUR GRILLAGE </t>
  </si>
  <si>
    <t>09.4.1</t>
  </si>
  <si>
    <t>Mur grillage de 1,50 m</t>
  </si>
  <si>
    <t>09.4.2</t>
  </si>
  <si>
    <t>Mur grillage de 3,00m</t>
  </si>
  <si>
    <t xml:space="preserve">Total MUR GRILLAGE </t>
  </si>
  <si>
    <t>Montant HT du Lot N°09 MENUISERIE METALLIQUE</t>
  </si>
  <si>
    <t>5.2.4</t>
  </si>
  <si>
    <t>VIDEOSURVEILLANCE</t>
  </si>
  <si>
    <t>5.2.4.1</t>
  </si>
  <si>
    <t xml:space="preserve">CAMERAS DE SURVEILLANCE </t>
  </si>
  <si>
    <t xml:space="preserve">Camera IP  intérieure fixe ou mini dome interieur </t>
  </si>
  <si>
    <t xml:space="preserve">Camera IP fixe extérieure </t>
  </si>
  <si>
    <t xml:space="preserve">CLAVIER JOYSTICK </t>
  </si>
  <si>
    <t>EQUIPEMENT DU REPARTITEUR DEDIEE A LA VIDEOSURVEILLANCE</t>
  </si>
  <si>
    <t xml:space="preserve">Panneau de brassage 24 ports - catégorie FO </t>
  </si>
  <si>
    <t xml:space="preserve">Cordons de brassage S/FTP- 6A </t>
  </si>
  <si>
    <t xml:space="preserve">Serveur de gestion video </t>
  </si>
  <si>
    <t xml:space="preserve">Baie de stockage video </t>
  </si>
  <si>
    <t>Logiciel de gestion</t>
  </si>
  <si>
    <t>Switch 24 ports  fibre optique</t>
  </si>
  <si>
    <t>PC DE CONTROLE MULTIMEDIA</t>
  </si>
  <si>
    <t>MUR D’IMAGE 4 ECRANS 55’’</t>
  </si>
  <si>
    <t>CABLAGE DE DISTRIBUTION 4 PAIRES – CAT 6A - S/FTP</t>
  </si>
  <si>
    <t>ENS</t>
  </si>
  <si>
    <t>CABLE FIBRE OPTIQUE 1 BRINS</t>
  </si>
  <si>
    <t>010</t>
  </si>
  <si>
    <t xml:space="preserve">FAUX PLAFOND </t>
  </si>
  <si>
    <t>10.1</t>
  </si>
  <si>
    <t>FAUX PLAFOND EN BA13</t>
  </si>
  <si>
    <t>10.1.1</t>
  </si>
  <si>
    <t xml:space="preserve">Faux plafond BA13 hydrofuge </t>
  </si>
  <si>
    <t xml:space="preserve">Montant HT du Lot N°10 FAUX PLAFOND </t>
  </si>
  <si>
    <t>11</t>
  </si>
  <si>
    <t>PEINTURE</t>
  </si>
  <si>
    <t>11.1</t>
  </si>
  <si>
    <t>PEINTURE EXTERIEURE</t>
  </si>
  <si>
    <t>11.1.1</t>
  </si>
  <si>
    <t>Peinture ocre  sur façades extérieures</t>
  </si>
  <si>
    <t>Le mètre carre</t>
  </si>
  <si>
    <t>11.2</t>
  </si>
  <si>
    <t>PEINTURE INTERIEURE</t>
  </si>
  <si>
    <t>11.2.1</t>
  </si>
  <si>
    <t xml:space="preserve">Peinture vinylique intérieure </t>
  </si>
  <si>
    <t xml:space="preserve">           Peinture vinylique sur murs</t>
  </si>
  <si>
    <t xml:space="preserve">       Le mètre carre</t>
  </si>
  <si>
    <t>11.2.2</t>
  </si>
  <si>
    <t xml:space="preserve">Peinture Glycéro intérieur sur faux plafond hydrofuge </t>
  </si>
  <si>
    <t>Montant HT du Lot N°11 PEINTURE</t>
  </si>
  <si>
    <t>5.2.4.2</t>
  </si>
  <si>
    <t>5.2.4.3</t>
  </si>
  <si>
    <t>5.2.4.4</t>
  </si>
  <si>
    <t>5.2.4.5</t>
  </si>
  <si>
    <t>5.2.4.6</t>
  </si>
  <si>
    <t>5.2.4.7</t>
  </si>
  <si>
    <t xml:space="preserve">Revêtement de sol en caillebotis sur vide sanitaire </t>
  </si>
  <si>
    <t>Revêtement mural en carrelage dimension de 60 x 60 cm</t>
  </si>
  <si>
    <t xml:space="preserve">         Type PB1 dimension de 0,98 x 2,14 m</t>
  </si>
  <si>
    <t xml:space="preserve">         Type PB2 dimension de 0,78 x 2,14 m</t>
  </si>
  <si>
    <t>08.2</t>
  </si>
  <si>
    <t>08.2.1</t>
  </si>
  <si>
    <t xml:space="preserve">       Type PMG02 dimension de 1,60 x 2,20 m</t>
  </si>
  <si>
    <t xml:space="preserve">       Type PMG03 dimension de 1,80 x 1,50 m</t>
  </si>
  <si>
    <t xml:space="preserve">       Type PMG04 dimension de 1,20 x 1,20 m</t>
  </si>
  <si>
    <t xml:space="preserve">       Type PMG1 dimension de 3,00 x 3,00 m</t>
  </si>
  <si>
    <t xml:space="preserve">       Type PM01 dimension de 1,60 x 2,20 m</t>
  </si>
  <si>
    <t xml:space="preserve">       Type PM02 dimension de 1,80 x 2,20 m</t>
  </si>
  <si>
    <t xml:space="preserve">       Type PM03 dimension de 2,20 x 2,20 m</t>
  </si>
  <si>
    <t xml:space="preserve">       Type PM04 dimension de 0,88 x 2,24 m</t>
  </si>
  <si>
    <t xml:space="preserve">       Type PM05 dimension de 0,98 x 2,24 m</t>
  </si>
  <si>
    <t xml:space="preserve">       Type PM06 dimension de 1,18 x 2,24 m</t>
  </si>
  <si>
    <t>Total FAUX PLAFOND EN BA13</t>
  </si>
  <si>
    <t>Total PEINTURE EXTERIEURE</t>
  </si>
  <si>
    <t>Total PEINTURE INTERIEURE</t>
  </si>
  <si>
    <t xml:space="preserve">LOT  ELECTRICITE </t>
  </si>
  <si>
    <t xml:space="preserve">TOTAL CHARPENTE METALLIQUE </t>
  </si>
  <si>
    <t>Montant HT en MAD</t>
  </si>
  <si>
    <t>Montant TVA en MAD</t>
  </si>
  <si>
    <t>Montant TTC en MAD</t>
  </si>
  <si>
    <t xml:space="preserve">TOTAL LOT N° 01 GROS ŒUVRE </t>
  </si>
  <si>
    <t xml:space="preserve">TOTAL LOT N° 02 ETANCHEITE </t>
  </si>
  <si>
    <t>TOTAL LOT N° 03 CHARPENTE METALLIQUE</t>
  </si>
  <si>
    <t>TOTAL LOT N° 04 FLUIDES</t>
  </si>
  <si>
    <t>TOTAL LOT N° 05 ELECTRICITE CFO-CFA</t>
  </si>
  <si>
    <t>TOTAL LOT N° 06 REVETEMENT</t>
  </si>
  <si>
    <t>TOTAL LOT N° 07 MENUISERIE BOIS</t>
  </si>
  <si>
    <t>TOTALLOT N° 08  MENUISERIE ALUMINIUM</t>
  </si>
  <si>
    <t>TOTAL LOT N° 09 MENUISERIE METALLIQUE</t>
  </si>
  <si>
    <t>TOTAL LOT N° 10 FAUX PLAFOND</t>
  </si>
  <si>
    <t>TOTAL LOT N° 11 PEINTURE</t>
  </si>
  <si>
    <t xml:space="preserve">Total : </t>
  </si>
  <si>
    <t>Couche de tout venant de 20 cm d'épaisseur y/c film de polyane</t>
  </si>
  <si>
    <t xml:space="preserve">    L'unité</t>
  </si>
  <si>
    <t xml:space="preserve">   L'unité</t>
  </si>
  <si>
    <t>02.1.1</t>
  </si>
  <si>
    <t>Revêtement de sol en carrelage dimension de 60 x 60 cm</t>
  </si>
  <si>
    <t>Porte métallique  grillagé à deux vantaux ouvrant à la française</t>
  </si>
  <si>
    <t>09.1.2</t>
  </si>
  <si>
    <t>Cornadis métallique dimension de 2,50 x 1,50 m</t>
  </si>
  <si>
    <t>N°</t>
  </si>
  <si>
    <t>Désignations des ouvrages</t>
  </si>
  <si>
    <t>QUANTITE FERME EXPERIMENTALE</t>
  </si>
  <si>
    <t>P.U. HT en chiffres</t>
  </si>
  <si>
    <t>P.U. HT en lettres</t>
  </si>
  <si>
    <t>TOTAL. HT</t>
  </si>
  <si>
    <t>4.1</t>
  </si>
  <si>
    <t>RESEAUX D'EAU FROIDE ET EAU CHAUDE SANITAIRE</t>
  </si>
  <si>
    <t>4.1.1</t>
  </si>
  <si>
    <t>BÂCHES EN PEHD ACS DE 15 M³ POUR EAU POTABLE ET INCENDIE</t>
  </si>
  <si>
    <t>l'ensemble</t>
  </si>
  <si>
    <t>E</t>
  </si>
  <si>
    <t>4.1.2</t>
  </si>
  <si>
    <t>GROUPE DE SURPRESSION EAU FROIDE</t>
  </si>
  <si>
    <t>4.1.3</t>
  </si>
  <si>
    <t>TRAITEMENT  D'EAU POTABLE</t>
  </si>
  <si>
    <t xml:space="preserve">Filtre autonettoyant automatique </t>
  </si>
  <si>
    <t>4.1.4</t>
  </si>
  <si>
    <t>SOUS COMPTEUR D'EAU</t>
  </si>
  <si>
    <t>4.1.5</t>
  </si>
  <si>
    <t>CANALISATION EAU POTABLE EN POLYPROPYLENE PN 20</t>
  </si>
  <si>
    <t>diamètre 20x3.4 (Int 13) à diamètre 32x 5.4 (Int 20)</t>
  </si>
  <si>
    <t>le mètre linéaire</t>
  </si>
  <si>
    <t>diamètre 40 x 6.7 (Int 25) à 50 x 8.3 (Int 32)</t>
  </si>
  <si>
    <t>diamètre 63 x 10.5 (Int 42)à diamètre 75 x 12.5 (Int 50)</t>
  </si>
  <si>
    <t xml:space="preserve">	DN 100 à DN 125</t>
  </si>
  <si>
    <t>PM</t>
  </si>
  <si>
    <t>4.1.6</t>
  </si>
  <si>
    <t xml:space="preserve">CALORIFUGE EN CAOUTCHOUC SYNTHETIQUE   </t>
  </si>
  <si>
    <t>4.1.7</t>
  </si>
  <si>
    <t>TUYAU EN POLYETHYLENE RETICULE POUR  DISTRIBUTION SECONDAIRE</t>
  </si>
  <si>
    <t>Douche</t>
  </si>
  <si>
    <t xml:space="preserve">l'unité </t>
  </si>
  <si>
    <t>Eviers</t>
  </si>
  <si>
    <t>4.1.8</t>
  </si>
  <si>
    <t>ROBINET DE PUISAGE</t>
  </si>
  <si>
    <t>l'unité</t>
  </si>
  <si>
    <t>4.1.9</t>
  </si>
  <si>
    <t xml:space="preserve">	MITIGEUR THERMOSTATIQUE</t>
  </si>
  <si>
    <t>4.1.10</t>
  </si>
  <si>
    <t>BOUCHE D’ARROSAGE</t>
  </si>
  <si>
    <t>4.1.11</t>
  </si>
  <si>
    <t>CHAUFFE-EAU ELECTRIQUE</t>
  </si>
  <si>
    <t>Capacité 100 litres</t>
  </si>
  <si>
    <t>TOTAL H.T / RESEAUX D'EAU FROIDE  ET EAU CHAUDE SANITAIRE</t>
  </si>
  <si>
    <t>4.2</t>
  </si>
  <si>
    <t xml:space="preserve">EVACUATION DES EAUX USEES - </t>
  </si>
  <si>
    <t xml:space="preserve">EAUX PLUVIALES - EAUX VANNES </t>
  </si>
  <si>
    <t>4.2.1</t>
  </si>
  <si>
    <t>CHUTES ET COLLECTEURS EN PVC POUR EU - EV – EP</t>
  </si>
  <si>
    <t>PVC diamètre  75 à 110</t>
  </si>
  <si>
    <t>PVC diamètre 125 à 160</t>
  </si>
  <si>
    <t>PVC diamètre 200 à 300</t>
  </si>
  <si>
    <t>4.2.2</t>
  </si>
  <si>
    <t>GARGOUILLE EN TERRASSE (PRISE EP)</t>
  </si>
  <si>
    <t>Ø 200 à  Ø 250</t>
  </si>
  <si>
    <t>l'unité d'ensemble</t>
  </si>
  <si>
    <t>Gueulard et TP  Ø 100</t>
  </si>
  <si>
    <t>4.2.3</t>
  </si>
  <si>
    <t>SIPHON DE SOL EN INOX</t>
  </si>
  <si>
    <t>150 x 150 en inox</t>
  </si>
  <si>
    <t>200 x 200 en inox</t>
  </si>
  <si>
    <t>Diamètre 75 à 100 marque Nicoll</t>
  </si>
  <si>
    <t>Caniveau 1m de marque Nicoll</t>
  </si>
  <si>
    <t>4.2.4</t>
  </si>
  <si>
    <t xml:space="preserve">SIPHON DE SOL EN FONTE </t>
  </si>
  <si>
    <t>4.2.5</t>
  </si>
  <si>
    <t xml:space="preserve">RELEVAGE DES EAUX USEES </t>
  </si>
  <si>
    <t>Débit : 50 à 60 m3/h par pompes 3 pompes</t>
  </si>
  <si>
    <t xml:space="preserve">PM </t>
  </si>
  <si>
    <t>Débit : 25 à 35 m3/h par pompe 2 pompes</t>
  </si>
  <si>
    <t xml:space="preserve">TOTAL H.T / EVACUATION DES EAUX USEES -  EAUX PLUVIALES - EAUX VANNES </t>
  </si>
  <si>
    <t>4.3</t>
  </si>
  <si>
    <t>PROTECTION INCENDIE :</t>
  </si>
  <si>
    <t>4.3.1</t>
  </si>
  <si>
    <t>TUBE FER GALVANISE APPARENT ET ENCASTRE, Y  COMPRIS BANDE DE PROTECTION (ALIMENTATION RIA)</t>
  </si>
  <si>
    <t>Ø 40/50</t>
  </si>
  <si>
    <t>Ø 50/60</t>
  </si>
  <si>
    <t>Ø 66/75</t>
  </si>
  <si>
    <t>4.3.2</t>
  </si>
  <si>
    <t xml:space="preserve">POSTE ROBINET INCENDIE ARME </t>
  </si>
  <si>
    <t>DN 25</t>
  </si>
  <si>
    <t>l’unité</t>
  </si>
  <si>
    <t>DN 33</t>
  </si>
  <si>
    <t>4.3.3</t>
  </si>
  <si>
    <t>EXTINCTEURS PORTATIFS</t>
  </si>
  <si>
    <t>Extincteur à poudre polyvalente-ABC de 6 kg</t>
  </si>
  <si>
    <t>Extincteur à eau pulvérisé  de 6 L</t>
  </si>
  <si>
    <t>Extincteur à CO2 de 5 kg</t>
  </si>
  <si>
    <t xml:space="preserve"> </t>
  </si>
  <si>
    <t>TOTAL H.T / PROTECTION INCENDIE :</t>
  </si>
  <si>
    <t>4.4</t>
  </si>
  <si>
    <t xml:space="preserve">APPAREILS SANITAIRES </t>
  </si>
  <si>
    <t>FOURNITURE ET POSE + ALIMENATION + EVCAUTIONS</t>
  </si>
  <si>
    <t>4.4.1</t>
  </si>
  <si>
    <t>ENSEMBLE WC A L'ANGLAISE</t>
  </si>
  <si>
    <t>Fourniture y compris robinetterie Marque ROCA GAP</t>
  </si>
  <si>
    <t xml:space="preserve">Pose y compris accessoires </t>
  </si>
  <si>
    <t>4.4.2</t>
  </si>
  <si>
    <t>LAVABO MURAL</t>
  </si>
  <si>
    <t>Fourniture y compris robinetterie marque Roca Economique</t>
  </si>
  <si>
    <t>4.4.3</t>
  </si>
  <si>
    <t>DOUCHE</t>
  </si>
  <si>
    <t xml:space="preserve">Fourniture y compris robinetterie </t>
  </si>
  <si>
    <t>4.4.4</t>
  </si>
  <si>
    <t>TOTEM D'ABLUTION</t>
  </si>
  <si>
    <t>Fourniture y compris robinetterie</t>
  </si>
  <si>
    <t>4.4.5</t>
  </si>
  <si>
    <t>SECHE MAINS ELECTRIQUE A AIR PULSE</t>
  </si>
  <si>
    <t>l'unité d 'ensemble</t>
  </si>
  <si>
    <t>4.4.6</t>
  </si>
  <si>
    <t>PORTE PAPIER ROULEAU HYGIENIQUE</t>
  </si>
  <si>
    <t>4.4.7</t>
  </si>
  <si>
    <t xml:space="preserve">
DISTRIBUTEUR DE SAVON LIQUIDE
</t>
  </si>
  <si>
    <t>4.4.8</t>
  </si>
  <si>
    <t>POUBELLE</t>
  </si>
  <si>
    <t>4.4.9</t>
  </si>
  <si>
    <t xml:space="preserve">GLACE  MIROIR </t>
  </si>
  <si>
    <t>Dimensions : 60 x 75 x 1 cm -Référence : 00940900</t>
  </si>
  <si>
    <t>4.4.10</t>
  </si>
  <si>
    <t>DOUCHETTE D'ABLUTION</t>
  </si>
  <si>
    <t xml:space="preserve">TOTAL H.T / APPAREILS SANITAIRES </t>
  </si>
  <si>
    <t>4.5</t>
  </si>
  <si>
    <t xml:space="preserve">CLIMATISATION DES LOCAUX </t>
  </si>
  <si>
    <t>4.5.1</t>
  </si>
  <si>
    <t>GROUPE D’EAU GLACÉE</t>
  </si>
  <si>
    <t>Puissance frigorifique : 75Kwf  Le taux de glycol sera justifier par note de calcul en phase exe</t>
  </si>
  <si>
    <t>4.5.2</t>
  </si>
  <si>
    <t>CENTRALES DE TRAITEMENT D’AIR (CTA) À EAU GLACÉE GLYCOLÉE</t>
  </si>
  <si>
    <t>Pu : 10 à 15 Kwf</t>
  </si>
  <si>
    <t>l' ensemble</t>
  </si>
  <si>
    <t>Pu : 20 à 30 Kwf</t>
  </si>
  <si>
    <t>4.5.3</t>
  </si>
  <si>
    <t>CANALISATION EAU POTABLE EN POLYPROPYLENE PN 20 CALORIFUGEE</t>
  </si>
  <si>
    <t>diamètre 90x15.0 (Int 60)à 125x20.3 (Int 83)</t>
  </si>
  <si>
    <t>4.5.4</t>
  </si>
  <si>
    <t>CENTRALE DE TRAITEMENT D’AIR A DETENTE DIRECTE Y COMPRIS REGULATION ET GROUPE DE CONDENSATION INVERTER</t>
  </si>
  <si>
    <t>Débit 1400 à 2500 m3/h Pu : 15 à 20 Kwf</t>
  </si>
  <si>
    <t>4.5.5</t>
  </si>
  <si>
    <t>CLIMATISEUR SPLIT-SYSTEM REVERSIBLE AU R410A/R32 INVERTER</t>
  </si>
  <si>
    <t>Pu= 5.60 Kwf (Gainable)  INVERTER</t>
  </si>
  <si>
    <t>Pu = 7.60 Kwf (Gainable)   INVERTER</t>
  </si>
  <si>
    <t>Pu = 9.60 Kwf (Gainable)   INVERTER</t>
  </si>
  <si>
    <t>Pu= 5.60 Kwf (Mural) ON/OFF</t>
  </si>
  <si>
    <t>Pu = 7.60 Kwf (Mural)  ON/OFF</t>
  </si>
  <si>
    <t>Pu = 3.60 Kwf (Mural)   INVERTER</t>
  </si>
  <si>
    <t>4.5.6</t>
  </si>
  <si>
    <t xml:space="preserve">GAINES EN TOLE RECTANGULAIRE EN DOUBLE PEAU  </t>
  </si>
  <si>
    <t>le mètre carré</t>
  </si>
  <si>
    <t>4.5.7</t>
  </si>
  <si>
    <t>GAINES EN FIBRES DE VERRE</t>
  </si>
  <si>
    <t>4.5.8</t>
  </si>
  <si>
    <t>GAINES FLEXIBLES CALORIFUGÉES</t>
  </si>
  <si>
    <t>diamètre  125 a 250 mm</t>
  </si>
  <si>
    <t>4.5.9</t>
  </si>
  <si>
    <t>DIFFUSEUR PLAFONNIER CARRE ET CIRCULAIRE</t>
  </si>
  <si>
    <t xml:space="preserve">Débit d'air : 200 à 1500 m3/h  </t>
  </si>
  <si>
    <t>4.5.10</t>
  </si>
  <si>
    <t xml:space="preserve">DIFFUSEUR PLAFONNIER LINEAIRE </t>
  </si>
  <si>
    <t xml:space="preserve">Diffuseur longueur 1.5 m à 2m à 2 fentes Débit d'air : 300 à 1200 m3/h  </t>
  </si>
  <si>
    <t xml:space="preserve">TOTAL H.T / CLIMATISATION DES LOCAUX </t>
  </si>
  <si>
    <t>4.6</t>
  </si>
  <si>
    <t>VENTILATION MÉCANIQUE:</t>
  </si>
  <si>
    <t>4.6.1</t>
  </si>
  <si>
    <t>CAISSONS D’EXTRACTION</t>
  </si>
  <si>
    <t xml:space="preserve">Extracteur/Ventilateur type silencieux débit : 100 à 1500 m3/h </t>
  </si>
  <si>
    <t xml:space="preserve">Extracteur  débit : 1000 à 2500 m3/h </t>
  </si>
  <si>
    <t xml:space="preserve">Extracteur  débit : 3000 à 7000 m3/h </t>
  </si>
  <si>
    <t xml:space="preserve">Extracteur  débit : 9000 à 15000 m3/h </t>
  </si>
  <si>
    <t xml:space="preserve">Extracteur  débit : 25000 à 45000 m3/h </t>
  </si>
  <si>
    <t>4.6.2</t>
  </si>
  <si>
    <t>CAISSON D'AIR NEUF</t>
  </si>
  <si>
    <t xml:space="preserve">Caisson débit de 2600 à 3800 m3/h </t>
  </si>
  <si>
    <t xml:space="preserve">	Fourniture, pose, raccordement et mise en service d’un caisson de traitement d’air adiabatique, à installer en toiture technique, en terrasse ou local technique, assurant un rafraîchissement naturel de l’air par évaporation d’eau, pour un débit de 2000 à 4000 m³/h</t>
  </si>
  <si>
    <t xml:space="preserve">	Fourniture, pose, raccordement et mise en service d’un caisson de traitement d’air adiabatique, à installer en toiture technique, en terrasse ou local technique, assurant un rafraîchissement naturel de l’air par évaporation d’eau, pour un débit de 5000 à 7000 m³/h</t>
  </si>
  <si>
    <t xml:space="preserve">	Fourniture, pose, raccordement et mise en service d’un caisson de traitement d’air adiabatique, à installer en toiture technique, en terrasse ou local technique, assurant un rafraîchissement naturel de l’air par évaporation d’eau, pour un débit de 9000 à 15000 m³/h</t>
  </si>
  <si>
    <t>4.6.3</t>
  </si>
  <si>
    <t xml:space="preserve">GAINES CIRCULAIRES EN TOLE SPIRALÉE </t>
  </si>
  <si>
    <t>diamètre 100 à 160</t>
  </si>
  <si>
    <t>diamètre 200 à 250</t>
  </si>
  <si>
    <t>4.6.4</t>
  </si>
  <si>
    <t>GAINES CIRCULAIRES EN TOLE SPIRALÉE CALORIFUGEE</t>
  </si>
  <si>
    <t>diamètre 315 à 400</t>
  </si>
  <si>
    <t>4.6.5</t>
  </si>
  <si>
    <t>GAINE EN TOLE D'ACIER GALVANISE</t>
  </si>
  <si>
    <t>4.6.6</t>
  </si>
  <si>
    <t xml:space="preserve">GAINES FLEXIBLES NUES EN ALUMINIUM </t>
  </si>
  <si>
    <t>diamètre 100 à 125</t>
  </si>
  <si>
    <t>diamètre 160 à 250</t>
  </si>
  <si>
    <t>4.6.7</t>
  </si>
  <si>
    <t xml:space="preserve">BOUCHE D'EXTRACTION  </t>
  </si>
  <si>
    <t>Débit : 30 à 90m3/h</t>
  </si>
  <si>
    <t>4.6.8</t>
  </si>
  <si>
    <t>GRILLE EXTERIEURE</t>
  </si>
  <si>
    <t>Section 0.01 à 0.3m²</t>
  </si>
  <si>
    <t>Section 0.35 à 0.5m²</t>
  </si>
  <si>
    <t>4.6.9</t>
  </si>
  <si>
    <t>GRILLE DE REPRISE OU DE SOUFFLAGE</t>
  </si>
  <si>
    <t xml:space="preserve">Débit d'air  : 100 à 2000 m3/h  </t>
  </si>
  <si>
    <t>4.6.10</t>
  </si>
  <si>
    <t xml:space="preserve">VOLET DE REGLAGE </t>
  </si>
  <si>
    <t>Section de 0.01m2 à 0.20m2</t>
  </si>
  <si>
    <t>Section de 0.25m2 à 0.50m2</t>
  </si>
  <si>
    <t>Section de 0.55m2 à 0.580m2</t>
  </si>
  <si>
    <t>TOTAL / VENTILATION MÉCANIQUE :</t>
  </si>
  <si>
    <t>4.7</t>
  </si>
  <si>
    <t>ARMOIRE ÉLECTRIQUE ET CÂBLAGE :</t>
  </si>
  <si>
    <t>4.7.1</t>
  </si>
  <si>
    <t xml:space="preserve">ARMOIRE ÉLECTRIQUE ET CÂBLAGE </t>
  </si>
  <si>
    <t>Armoires électriques Climatisation, Ventilation</t>
  </si>
  <si>
    <t>TOTAL HT / ARMOIRE ÉLECTRIQUE ET CÂBLAGE :</t>
  </si>
  <si>
    <t>4.8</t>
  </si>
  <si>
    <t>DESENFUMAGE :</t>
  </si>
  <si>
    <t>4.8.1</t>
  </si>
  <si>
    <t>CLAPET TERMINAL COUPE-FEU SUR GAINES DE VENTILATION</t>
  </si>
  <si>
    <t>Section : 0.01 à 0.40m2</t>
  </si>
  <si>
    <t>Section : 0.45 à 0.8m2</t>
  </si>
  <si>
    <t>Section : 0.9 à 1.2m2</t>
  </si>
  <si>
    <t>Auto-commandé Section : 0.01 à 0.6m2</t>
  </si>
  <si>
    <t>4.8.2</t>
  </si>
  <si>
    <t>EXUTOIRE DE DESENFUMAGE</t>
  </si>
  <si>
    <t xml:space="preserve"> Surface utile 1m²</t>
  </si>
  <si>
    <t>TOTAL HT/ DESENFUMAGE</t>
  </si>
  <si>
    <t>RECAPITULATIF GENERALE</t>
  </si>
  <si>
    <t xml:space="preserve">        RESEAUX D'EAU FROIDE ET EAU CHAUDE SANITAIRE......................................................................................................................................................................................</t>
  </si>
  <si>
    <t xml:space="preserve"> = </t>
  </si>
  <si>
    <t xml:space="preserve">        EVACUATION DES EAUX USEES -EAUX PLUVIALES - EAUX VANNES......................................................................................................................................................................................</t>
  </si>
  <si>
    <t xml:space="preserve">        PROTECTION INCENDIE  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</si>
  <si>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APPAREILS SANITAIRES  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</si>
  <si>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CLIMATISATION DES LOCAUX...............................................................................................................................................................................................................................................................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</si>
  <si>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VENTILATION MÉCANIQUE....................................................................................................................................................................................................................................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</si>
  <si>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ARMOIRE ÉLECTRIQUE ET CÂBLAGE...........................................................................................................................................................................................................................</t>
  </si>
  <si>
    <t xml:space="preserve">        DESENFUMAGE  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</si>
  <si>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NOTA : « LES PRIX DU PRESENT BORDEREAU S’ENTENDENT TOUTES SUJETIONS COMPRISES POUR UNE INSTALLATION LIVREE, FINIE, PRETE A L’EXPLOITATION ET LE MAITRE D’OUVRAGE,  L’ARCHITECTE, LE BUREAU D’ETUDE + BUREAU DE CONTROLE. » </t>
  </si>
  <si>
    <t>Montant HT du Lot N°04 FLUIDES</t>
  </si>
  <si>
    <t xml:space="preserve">Construction d’une ferme expérimentale - ITX BENGUERIR
</t>
  </si>
  <si>
    <t xml:space="preserve">Date: 16/02/2026
</t>
  </si>
  <si>
    <t xml:space="preserve">Maître d'ouvrage : ITX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</si>
</sst>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F_-;\-* #,##0.00\ _F_-;_-* &quot;-&quot;??\ _F_-;_-@_-"/>
    <numFmt numFmtId="166" formatCode="General_)"/>
    <numFmt numFmtId="167" formatCode="#,##0.00;\-#,##0.00;"/>
    <numFmt numFmtId="168" formatCode="#,##0.00\ _F"/>
    <numFmt numFmtId="169" formatCode="#,##0.00_ ;\-#,##0.00\ "/>
    <numFmt numFmtId="170" formatCode="_-* #,##0\ _€_-;\-* #,##0\ _€_-;_-* &quot;-&quot;\ _€_-;_-@_-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b/>
      <sz val="10"/>
      <name val="Helv"/>
    </font>
    <font>
      <sz val="10"/>
      <color rgb="FF000000"/>
      <name val="Calibri"/>
      <family val="1"/>
    </font>
    <font>
      <sz val="9"/>
      <color rgb="FF000000"/>
      <name val="Calibri"/>
      <family val="1"/>
    </font>
    <font>
      <b/>
      <sz val="12"/>
      <color rgb="FF000000"/>
      <name val="Calibri"/>
      <family val="1"/>
    </font>
    <font>
      <b/>
      <u/>
      <sz val="11"/>
      <color rgb="FF000000"/>
      <name val="Calibri"/>
      <family val="1"/>
    </font>
    <font>
      <b/>
      <sz val="9"/>
      <color rgb="FF000000"/>
      <name val="Calibri"/>
      <family val="1"/>
    </font>
    <font>
      <b/>
      <sz val="11"/>
      <color rgb="FF000000"/>
      <name val="Calibri"/>
      <family val="1"/>
    </font>
    <font>
      <sz val="10"/>
      <name val="Courier"/>
    </font>
    <font>
      <sz val="10"/>
      <name val="MS Sans Serif"/>
      <family val="2"/>
    </font>
    <font>
      <b/>
      <sz val="12"/>
      <color rgb="FFFF003F"/>
      <name val="Arial"/>
      <family val="1"/>
    </font>
    <font>
      <i/>
      <sz val="10"/>
      <color rgb="FF5B5B5B"/>
      <name val="Arial"/>
      <family val="1"/>
    </font>
    <font>
      <b/>
      <sz val="12"/>
      <color rgb="FFFF0000"/>
      <name val="Arial"/>
      <family val="1"/>
    </font>
    <font>
      <sz val="11"/>
      <color rgb="FFFF0000"/>
      <name val="Arial"/>
      <family val="1"/>
    </font>
    <font>
      <sz val="10"/>
      <color rgb="FF000000"/>
      <name val="Arial Rounded MT Bold"/>
      <family val="1"/>
    </font>
    <font>
      <sz val="10"/>
      <color rgb="FF000000"/>
      <name val="Arial"/>
      <family val="1"/>
    </font>
    <font>
      <sz val="11"/>
      <color rgb="FF000000"/>
      <name val="Arial"/>
      <family val="1"/>
    </font>
    <font>
      <i/>
      <sz val="10"/>
      <color rgb="FFFF0000"/>
      <name val="Arial"/>
      <family val="1"/>
    </font>
    <font>
      <sz val="9"/>
      <color rgb="FFFF0000"/>
      <name val="Arial Narrow"/>
      <family val="1"/>
    </font>
    <font>
      <sz val="9"/>
      <color rgb="FF5B5B5B"/>
      <name val="Arial"/>
      <family val="1"/>
    </font>
    <font>
      <sz val="10"/>
      <color rgb="FF5B5B5B"/>
      <name val="Arial"/>
      <family val="1"/>
    </font>
    <font>
      <b/>
      <sz val="9"/>
      <color rgb="FF000000"/>
      <name val="Arial"/>
      <family val="1"/>
    </font>
    <font>
      <sz val="10"/>
      <color rgb="FFFF0000"/>
      <name val="Arial"/>
      <family val="1"/>
    </font>
    <font>
      <i/>
      <sz val="8"/>
      <color rgb="FFFF0000"/>
      <name val="Arial"/>
      <family val="1"/>
    </font>
    <font>
      <sz val="8"/>
      <color rgb="FF000000"/>
      <name val="Arial"/>
      <family val="1"/>
    </font>
    <font>
      <sz val="9"/>
      <color rgb="FF000000"/>
      <name val="Arial Narrow"/>
      <family val="1"/>
    </font>
    <font>
      <sz val="8"/>
      <color rgb="FF000000"/>
      <name val="Arial Narrow"/>
      <family val="1"/>
    </font>
    <font>
      <sz val="8"/>
      <color rgb="FF5B5B5B"/>
      <name val="Arial Narrow"/>
      <family val="1"/>
    </font>
    <font>
      <sz val="7"/>
      <color rgb="FF000000"/>
      <name val="Arial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Calibri"/>
      <family val="2"/>
    </font>
    <font>
      <sz val="9"/>
      <color theme="1"/>
      <name val="Calibri"/>
      <family val="1"/>
    </font>
    <font>
      <sz val="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name val="Calibri"/>
      <family val="2"/>
      <scheme val="minor"/>
    </font>
    <font>
      <u/>
      <sz val="10"/>
      <name val="Century Gothic"/>
      <family val="2"/>
    </font>
    <font>
      <b/>
      <sz val="10"/>
      <color theme="1"/>
      <name val="Century Gothic"/>
      <family val="2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10"/>
      <name val="Arial"/>
      <family val="2"/>
    </font>
    <font>
      <sz val="11"/>
      <color rgb="FF000000"/>
      <name val="Calibri"/>
      <family val="1"/>
    </font>
    <font>
      <sz val="9"/>
      <color rgb="FFFF0000"/>
      <name val="Calibri"/>
      <family val="2"/>
    </font>
    <font>
      <b/>
      <sz val="11"/>
      <name val="Calibri"/>
      <family val="1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b/>
      <u/>
      <sz val="7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E3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5B5B5B"/>
      </right>
      <top style="thin">
        <color rgb="FF5B5B5B"/>
      </top>
      <bottom style="thin">
        <color rgb="FF5B5B5B"/>
      </bottom>
      <diagonal/>
    </border>
    <border>
      <left style="thin">
        <color rgb="FF000000"/>
      </left>
      <right/>
      <top style="thin">
        <color rgb="FF5B5B5B"/>
      </top>
      <bottom/>
      <diagonal/>
    </border>
    <border>
      <left/>
      <right style="hair">
        <color rgb="FF000000"/>
      </right>
      <top style="thin">
        <color rgb="FF5B5B5B"/>
      </top>
      <bottom/>
      <diagonal/>
    </border>
    <border>
      <left style="thin">
        <color rgb="FF000000"/>
      </left>
      <right/>
      <top/>
      <bottom style="thin">
        <color rgb="FF5B5B5B"/>
      </bottom>
      <diagonal/>
    </border>
    <border>
      <left/>
      <right style="hair">
        <color rgb="FF000000"/>
      </right>
      <top/>
      <bottom style="thin">
        <color rgb="FF5B5B5B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5B5B5B"/>
      </top>
      <bottom style="thin">
        <color rgb="FF5B5B5B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5B5B5B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5B5B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5B5B5B"/>
      </top>
      <bottom style="thin">
        <color rgb="FF5B5B5B"/>
      </bottom>
      <diagonal/>
    </border>
    <border>
      <left/>
      <right style="hair">
        <color auto="1"/>
      </right>
      <top/>
      <bottom/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rgb="FF000000"/>
      </bottom>
      <diagonal/>
    </border>
    <border>
      <left/>
      <right style="hair">
        <color rgb="FF5B5B5B"/>
      </right>
      <top style="thin">
        <color rgb="FF5B5B5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93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6" fillId="0" borderId="0" applyFill="0">
      <alignment horizontal="left" vertical="top" wrapText="1"/>
    </xf>
    <xf numFmtId="0" fontId="7" fillId="0" borderId="0" applyFill="0">
      <alignment horizontal="left" vertical="top" wrapText="1" indent="3"/>
    </xf>
    <xf numFmtId="0" fontId="1" fillId="0" borderId="0" applyFill="0"/>
    <xf numFmtId="0" fontId="7" fillId="0" borderId="0" applyFill="0">
      <alignment horizontal="left" vertical="top" wrapText="1"/>
    </xf>
    <xf numFmtId="0" fontId="8" fillId="2" borderId="0">
      <alignment horizontal="center" vertical="top" wrapText="1"/>
    </xf>
    <xf numFmtId="0" fontId="9" fillId="3" borderId="0">
      <alignment horizontal="center" vertical="top" wrapText="1"/>
    </xf>
    <xf numFmtId="0" fontId="10" fillId="0" borderId="0" applyFill="0">
      <alignment horizontal="left" vertical="top" wrapText="1" indent="3"/>
    </xf>
    <xf numFmtId="0" fontId="11" fillId="0" borderId="0" applyFill="0">
      <alignment horizontal="center" vertical="top" wrapText="1" indent="2"/>
    </xf>
    <xf numFmtId="166" fontId="12" fillId="0" borderId="0"/>
    <xf numFmtId="40" fontId="13" fillId="0" borderId="0" applyFont="0" applyFill="0" applyBorder="0" applyAlignment="0" applyProtection="0"/>
    <xf numFmtId="0" fontId="1" fillId="0" borderId="0" applyFill="0"/>
    <xf numFmtId="0" fontId="1" fillId="0" borderId="0" applyFill="0"/>
    <xf numFmtId="0" fontId="14" fillId="0" borderId="0" applyFill="0">
      <alignment horizontal="left" vertical="top" wrapText="1"/>
    </xf>
    <xf numFmtId="0" fontId="15" fillId="0" borderId="0" applyFill="0">
      <alignment horizontal="left" vertical="top" wrapText="1"/>
    </xf>
    <xf numFmtId="0" fontId="16" fillId="4" borderId="0">
      <alignment horizontal="left" vertical="top" wrapText="1"/>
    </xf>
    <xf numFmtId="0" fontId="17" fillId="0" borderId="0" applyFill="0">
      <alignment horizontal="left" vertical="top" wrapText="1"/>
    </xf>
    <xf numFmtId="0" fontId="18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0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1" fillId="0" borderId="0" applyFill="0">
      <alignment horizontal="left" vertical="top" wrapText="1"/>
    </xf>
    <xf numFmtId="0" fontId="22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3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4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5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6" fillId="0" borderId="0" applyFill="0">
      <alignment horizontal="left" vertical="top" wrapText="1"/>
    </xf>
    <xf numFmtId="0" fontId="27" fillId="0" borderId="0" applyFill="0">
      <alignment horizontal="left" vertical="top" wrapText="1"/>
    </xf>
    <xf numFmtId="0" fontId="28" fillId="0" borderId="0" applyFill="0">
      <alignment horizontal="left" vertical="top" wrapText="1"/>
    </xf>
    <xf numFmtId="0" fontId="28" fillId="0" borderId="0" applyFill="0">
      <alignment horizontal="left" vertical="top" wrapText="1"/>
    </xf>
    <xf numFmtId="0" fontId="28" fillId="0" borderId="0" applyFill="0">
      <alignment horizontal="left" vertical="top" wrapText="1"/>
    </xf>
    <xf numFmtId="0" fontId="28" fillId="0" borderId="0" applyFill="0">
      <alignment horizontal="left" vertical="top" wrapText="1"/>
    </xf>
    <xf numFmtId="0" fontId="28" fillId="0" borderId="0" applyFill="0">
      <alignment horizontal="left" vertical="top" wrapText="1"/>
    </xf>
    <xf numFmtId="0" fontId="29" fillId="0" borderId="0" applyFill="0">
      <alignment horizontal="left" vertical="top" wrapText="1" indent="1"/>
    </xf>
    <xf numFmtId="0" fontId="30" fillId="0" borderId="0" applyFill="0">
      <alignment horizontal="left" vertical="top" wrapText="1" indent="1"/>
    </xf>
    <xf numFmtId="0" fontId="31" fillId="0" borderId="0" applyFill="0">
      <alignment horizontal="left" vertical="top" wrapText="1" indent="1"/>
    </xf>
    <xf numFmtId="0" fontId="32" fillId="0" borderId="0" applyFill="0">
      <alignment horizontal="left" vertical="top" wrapText="1"/>
    </xf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164" fontId="1" fillId="0" borderId="0" applyFont="0" applyFill="0" applyBorder="0" applyAlignment="0" applyProtection="0"/>
    <xf numFmtId="0" fontId="6" fillId="0" borderId="0" applyFill="0">
      <alignment horizontal="left" vertical="top" wrapText="1"/>
    </xf>
    <xf numFmtId="0" fontId="7" fillId="0" borderId="0" applyFill="0">
      <alignment horizontal="left" vertical="top" wrapText="1" indent="3"/>
    </xf>
    <xf numFmtId="4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3" borderId="0">
      <alignment horizontal="center" vertical="top" wrapText="1"/>
    </xf>
    <xf numFmtId="0" fontId="41" fillId="0" borderId="0" applyFill="0"/>
    <xf numFmtId="43" fontId="41" fillId="0" borderId="0" applyFont="0" applyFill="0" applyBorder="0" applyAlignment="0" applyProtection="0"/>
    <xf numFmtId="0" fontId="42" fillId="0" borderId="0" applyFill="0">
      <alignment horizontal="left" vertical="top" wrapText="1"/>
    </xf>
    <xf numFmtId="0" fontId="43" fillId="3" borderId="0">
      <alignment horizontal="center" vertical="top" wrapText="1"/>
    </xf>
    <xf numFmtId="0" fontId="44" fillId="0" borderId="0" applyFill="0">
      <alignment horizontal="left" vertical="top" wrapText="1"/>
    </xf>
    <xf numFmtId="0" fontId="45" fillId="0" borderId="0" applyFill="0">
      <alignment horizontal="left" vertical="top" wrapText="1" indent="3"/>
    </xf>
    <xf numFmtId="0" fontId="46" fillId="0" borderId="0" applyFill="0">
      <alignment horizontal="center" vertical="top" wrapText="1" indent="2"/>
    </xf>
    <xf numFmtId="0" fontId="1" fillId="0" borderId="0" applyFill="0"/>
  </cellStyleXfs>
  <cellXfs count="557">
    <xf numFmtId="0" fontId="0" fillId="0" borderId="0" xfId="0"/>
    <xf numFmtId="0" fontId="1" fillId="0" borderId="0" xfId="68" applyAlignment="1">
      <alignment vertical="center"/>
    </xf>
    <xf numFmtId="0" fontId="34" fillId="0" borderId="1" xfId="68" applyFont="1" applyBorder="1" applyAlignment="1">
      <alignment horizontal="left" vertical="center" wrapText="1"/>
    </xf>
    <xf numFmtId="0" fontId="34" fillId="0" borderId="4" xfId="68" applyFont="1" applyBorder="1" applyAlignment="1">
      <alignment horizontal="center" vertical="center" wrapText="1"/>
    </xf>
    <xf numFmtId="0" fontId="35" fillId="0" borderId="5" xfId="68" applyFont="1" applyBorder="1" applyAlignment="1">
      <alignment horizontal="center" vertical="center" wrapText="1"/>
    </xf>
    <xf numFmtId="3" fontId="35" fillId="0" borderId="5" xfId="68" applyNumberFormat="1" applyFont="1" applyBorder="1" applyAlignment="1">
      <alignment horizontal="center" vertical="center" wrapText="1"/>
    </xf>
    <xf numFmtId="164" fontId="34" fillId="0" borderId="5" xfId="73" applyFont="1" applyBorder="1" applyAlignment="1" applyProtection="1">
      <alignment horizontal="center" vertical="center" wrapText="1"/>
    </xf>
    <xf numFmtId="0" fontId="34" fillId="0" borderId="5" xfId="68" applyFont="1" applyBorder="1" applyAlignment="1">
      <alignment horizontal="center" vertical="center" wrapText="1"/>
    </xf>
    <xf numFmtId="0" fontId="1" fillId="0" borderId="8" xfId="68" applyBorder="1" applyAlignment="1">
      <alignment horizontal="left" vertical="center" wrapText="1"/>
    </xf>
    <xf numFmtId="0" fontId="1" fillId="0" borderId="9" xfId="68" applyBorder="1" applyAlignment="1">
      <alignment horizontal="left" vertical="center" wrapText="1"/>
    </xf>
    <xf numFmtId="0" fontId="33" fillId="0" borderId="10" xfId="68" applyFont="1" applyBorder="1" applyAlignment="1">
      <alignment horizontal="center" vertical="center" wrapText="1"/>
    </xf>
    <xf numFmtId="164" fontId="0" fillId="0" borderId="10" xfId="73" applyFont="1" applyBorder="1" applyAlignment="1" applyProtection="1">
      <alignment horizontal="center" vertical="center" wrapText="1"/>
    </xf>
    <xf numFmtId="0" fontId="1" fillId="0" borderId="10" xfId="68" applyBorder="1" applyAlignment="1">
      <alignment horizontal="center" vertical="center" wrapText="1"/>
    </xf>
    <xf numFmtId="0" fontId="7" fillId="2" borderId="7" xfId="22" applyFill="1" applyBorder="1" applyAlignment="1">
      <alignment horizontal="left" vertical="center" wrapText="1"/>
    </xf>
    <xf numFmtId="0" fontId="8" fillId="2" borderId="12" xfId="23" applyBorder="1" applyAlignment="1">
      <alignment horizontal="left" vertical="center" wrapText="1"/>
    </xf>
    <xf numFmtId="0" fontId="33" fillId="0" borderId="13" xfId="68" applyFont="1" applyFill="1" applyBorder="1" applyAlignment="1">
      <alignment horizontal="left" vertical="center" wrapText="1"/>
    </xf>
    <xf numFmtId="3" fontId="33" fillId="0" borderId="13" xfId="68" applyNumberFormat="1" applyFont="1" applyFill="1" applyBorder="1" applyAlignment="1">
      <alignment horizontal="center" vertical="center" wrapText="1"/>
    </xf>
    <xf numFmtId="164" fontId="0" fillId="0" borderId="13" xfId="73" applyFont="1" applyFill="1" applyBorder="1" applyAlignment="1" applyProtection="1">
      <alignment horizontal="center" vertical="center" wrapText="1"/>
    </xf>
    <xf numFmtId="0" fontId="1" fillId="0" borderId="13" xfId="68" applyFill="1" applyBorder="1" applyAlignment="1">
      <alignment horizontal="center" vertical="center" wrapText="1"/>
    </xf>
    <xf numFmtId="49" fontId="1" fillId="0" borderId="0" xfId="68" applyNumberFormat="1" applyFill="1" applyAlignment="1">
      <alignment horizontal="left" vertical="center" wrapText="1"/>
    </xf>
    <xf numFmtId="0" fontId="7" fillId="3" borderId="7" xfId="22" applyFill="1" applyBorder="1" applyAlignment="1">
      <alignment horizontal="left" vertical="center" wrapText="1"/>
    </xf>
    <xf numFmtId="0" fontId="9" fillId="3" borderId="12" xfId="24" applyBorder="1" applyAlignment="1">
      <alignment horizontal="left" vertical="center" wrapText="1"/>
    </xf>
    <xf numFmtId="0" fontId="7" fillId="6" borderId="7" xfId="22" applyFill="1" applyBorder="1" applyAlignment="1">
      <alignment horizontal="left" vertical="center" wrapText="1"/>
    </xf>
    <xf numFmtId="0" fontId="6" fillId="0" borderId="12" xfId="19" applyFill="1" applyBorder="1" applyAlignment="1">
      <alignment horizontal="left" vertical="center" wrapText="1"/>
    </xf>
    <xf numFmtId="0" fontId="7" fillId="0" borderId="7" xfId="22" applyFill="1" applyBorder="1" applyAlignment="1">
      <alignment horizontal="left" vertical="center" wrapText="1"/>
    </xf>
    <xf numFmtId="0" fontId="7" fillId="0" borderId="12" xfId="20" applyFill="1" applyBorder="1" applyAlignment="1">
      <alignment horizontal="left" vertical="center" wrapText="1"/>
    </xf>
    <xf numFmtId="0" fontId="33" fillId="0" borderId="13" xfId="68" applyFont="1" applyFill="1" applyBorder="1" applyAlignment="1" applyProtection="1">
      <alignment horizontal="center" vertical="center"/>
      <protection locked="0"/>
    </xf>
    <xf numFmtId="0" fontId="1" fillId="0" borderId="13" xfId="68" applyFill="1" applyBorder="1" applyAlignment="1" applyProtection="1">
      <alignment horizontal="center" vertical="center"/>
      <protection locked="0"/>
    </xf>
    <xf numFmtId="0" fontId="36" fillId="0" borderId="7" xfId="68" applyFont="1" applyFill="1" applyBorder="1" applyAlignment="1">
      <alignment horizontal="left" vertical="center" wrapText="1"/>
    </xf>
    <xf numFmtId="0" fontId="10" fillId="0" borderId="12" xfId="25" applyFill="1" applyBorder="1" applyAlignment="1">
      <alignment horizontal="left" vertical="center" wrapText="1"/>
    </xf>
    <xf numFmtId="0" fontId="10" fillId="0" borderId="0" xfId="25" applyFill="1" applyAlignment="1">
      <alignment horizontal="left" vertical="center" wrapText="1"/>
    </xf>
    <xf numFmtId="0" fontId="11" fillId="0" borderId="15" xfId="26" applyFill="1" applyBorder="1" applyAlignment="1">
      <alignment horizontal="center" vertical="center" wrapText="1"/>
    </xf>
    <xf numFmtId="0" fontId="33" fillId="0" borderId="13" xfId="68" applyFont="1" applyFill="1" applyBorder="1" applyAlignment="1">
      <alignment horizontal="center" vertical="center" wrapText="1"/>
    </xf>
    <xf numFmtId="0" fontId="36" fillId="0" borderId="16" xfId="68" applyFont="1" applyFill="1" applyBorder="1" applyAlignment="1">
      <alignment horizontal="left" vertical="center" wrapText="1"/>
    </xf>
    <xf numFmtId="0" fontId="1" fillId="0" borderId="17" xfId="68" applyFill="1" applyBorder="1" applyAlignment="1">
      <alignment horizontal="left" vertical="center" wrapText="1"/>
    </xf>
    <xf numFmtId="0" fontId="36" fillId="0" borderId="18" xfId="68" applyFont="1" applyFill="1" applyBorder="1" applyAlignment="1">
      <alignment horizontal="left" vertical="center" wrapText="1"/>
    </xf>
    <xf numFmtId="0" fontId="1" fillId="0" borderId="19" xfId="68" applyFill="1" applyBorder="1" applyAlignment="1">
      <alignment horizontal="left" vertical="center" wrapText="1"/>
    </xf>
    <xf numFmtId="0" fontId="36" fillId="0" borderId="21" xfId="68" applyFont="1" applyFill="1" applyBorder="1" applyAlignment="1">
      <alignment horizontal="left" vertical="center" wrapText="1"/>
    </xf>
    <xf numFmtId="0" fontId="33" fillId="0" borderId="23" xfId="68" applyFont="1" applyFill="1" applyBorder="1" applyAlignment="1">
      <alignment horizontal="left" vertical="center" wrapText="1"/>
    </xf>
    <xf numFmtId="164" fontId="0" fillId="0" borderId="23" xfId="73" applyFont="1" applyFill="1" applyBorder="1" applyAlignment="1" applyProtection="1">
      <alignment horizontal="center" vertical="center" wrapText="1"/>
    </xf>
    <xf numFmtId="0" fontId="1" fillId="0" borderId="23" xfId="68" applyFill="1" applyBorder="1" applyAlignment="1">
      <alignment horizontal="center" vertical="center" wrapText="1"/>
    </xf>
    <xf numFmtId="0" fontId="1" fillId="0" borderId="0" xfId="68" applyFill="1" applyAlignment="1">
      <alignment vertical="center"/>
    </xf>
    <xf numFmtId="0" fontId="1" fillId="0" borderId="22" xfId="68" applyFill="1" applyBorder="1" applyAlignment="1">
      <alignment horizontal="left" vertical="center" wrapText="1"/>
    </xf>
    <xf numFmtId="0" fontId="1" fillId="0" borderId="24" xfId="68" applyFill="1" applyBorder="1" applyAlignment="1">
      <alignment horizontal="left" vertical="center" wrapText="1"/>
    </xf>
    <xf numFmtId="0" fontId="33" fillId="0" borderId="24" xfId="68" applyFont="1" applyFill="1" applyBorder="1" applyAlignment="1">
      <alignment horizontal="left" vertical="center" wrapText="1"/>
    </xf>
    <xf numFmtId="164" fontId="0" fillId="0" borderId="24" xfId="73" applyFont="1" applyFill="1" applyBorder="1" applyAlignment="1" applyProtection="1">
      <alignment horizontal="left" vertical="center" wrapText="1"/>
    </xf>
    <xf numFmtId="0" fontId="34" fillId="0" borderId="0" xfId="68" applyFont="1" applyAlignment="1">
      <alignment horizontal="left" vertical="center" wrapText="1"/>
    </xf>
    <xf numFmtId="164" fontId="0" fillId="0" borderId="0" xfId="73" applyFont="1" applyAlignment="1" applyProtection="1">
      <alignment vertical="center"/>
    </xf>
    <xf numFmtId="0" fontId="33" fillId="0" borderId="0" xfId="68" applyFont="1" applyAlignment="1">
      <alignment vertical="center"/>
    </xf>
    <xf numFmtId="0" fontId="1" fillId="0" borderId="25" xfId="68" applyFill="1" applyBorder="1" applyAlignment="1">
      <alignment horizontal="center" vertical="center" wrapText="1"/>
    </xf>
    <xf numFmtId="0" fontId="6" fillId="0" borderId="12" xfId="74" applyFill="1" applyBorder="1">
      <alignment horizontal="left" vertical="top" wrapText="1"/>
    </xf>
    <xf numFmtId="0" fontId="7" fillId="5" borderId="7" xfId="22" applyFill="1" applyBorder="1" applyAlignment="1">
      <alignment horizontal="left" vertical="center" wrapText="1"/>
    </xf>
    <xf numFmtId="0" fontId="9" fillId="5" borderId="12" xfId="24" applyFill="1" applyBorder="1" applyAlignment="1">
      <alignment horizontal="left" vertical="center" wrapText="1"/>
    </xf>
    <xf numFmtId="0" fontId="33" fillId="5" borderId="13" xfId="68" applyFont="1" applyFill="1" applyBorder="1" applyAlignment="1">
      <alignment horizontal="left" vertical="center" wrapText="1"/>
    </xf>
    <xf numFmtId="0" fontId="1" fillId="5" borderId="13" xfId="68" applyFill="1" applyBorder="1" applyAlignment="1">
      <alignment horizontal="center" vertical="center" wrapText="1"/>
    </xf>
    <xf numFmtId="0" fontId="1" fillId="5" borderId="0" xfId="68" applyFill="1" applyAlignment="1">
      <alignment vertical="center"/>
    </xf>
    <xf numFmtId="49" fontId="1" fillId="5" borderId="0" xfId="68" applyNumberFormat="1" applyFill="1" applyAlignment="1">
      <alignment horizontal="left" vertical="center" wrapText="1"/>
    </xf>
    <xf numFmtId="164" fontId="0" fillId="0" borderId="13" xfId="73" applyFont="1" applyFill="1" applyBorder="1" applyAlignment="1" applyProtection="1">
      <alignment horizontal="left" wrapText="1"/>
      <protection locked="0"/>
    </xf>
    <xf numFmtId="0" fontId="7" fillId="5" borderId="12" xfId="20" applyFill="1" applyBorder="1" applyAlignment="1">
      <alignment horizontal="left" vertical="center" wrapText="1"/>
    </xf>
    <xf numFmtId="164" fontId="0" fillId="0" borderId="13" xfId="73" applyFont="1" applyFill="1" applyBorder="1" applyAlignment="1" applyProtection="1">
      <alignment horizontal="center" vertical="center" wrapText="1"/>
      <protection locked="0"/>
    </xf>
    <xf numFmtId="0" fontId="1" fillId="0" borderId="0" xfId="21" applyAlignment="1">
      <alignment vertical="center"/>
    </xf>
    <xf numFmtId="3" fontId="33" fillId="0" borderId="13" xfId="2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21"/>
    <xf numFmtId="0" fontId="35" fillId="0" borderId="5" xfId="21" applyFont="1" applyBorder="1" applyAlignment="1">
      <alignment horizontal="center" vertical="center" wrapText="1"/>
    </xf>
    <xf numFmtId="0" fontId="33" fillId="0" borderId="13" xfId="21" applyFont="1" applyFill="1" applyBorder="1" applyAlignment="1" applyProtection="1">
      <alignment horizontal="center" vertical="center"/>
      <protection locked="0"/>
    </xf>
    <xf numFmtId="0" fontId="6" fillId="5" borderId="12" xfId="19" applyFill="1" applyBorder="1" applyAlignment="1">
      <alignment horizontal="left" vertical="center" wrapText="1"/>
    </xf>
    <xf numFmtId="0" fontId="7" fillId="0" borderId="12" xfId="75" applyFill="1" applyBorder="1">
      <alignment horizontal="left" vertical="top" wrapText="1" indent="3"/>
    </xf>
    <xf numFmtId="0" fontId="10" fillId="0" borderId="12" xfId="25" applyFill="1" applyBorder="1">
      <alignment horizontal="left" vertical="top" wrapText="1" indent="3"/>
    </xf>
    <xf numFmtId="0" fontId="7" fillId="0" borderId="26" xfId="26" applyFont="1" applyFill="1" applyBorder="1" applyAlignment="1">
      <alignment horizontal="left" vertical="center" wrapText="1"/>
    </xf>
    <xf numFmtId="0" fontId="7" fillId="0" borderId="0" xfId="20" applyFill="1" applyAlignment="1">
      <alignment horizontal="left" vertical="center" wrapText="1"/>
    </xf>
    <xf numFmtId="0" fontId="10" fillId="0" borderId="0" xfId="25" applyFill="1">
      <alignment horizontal="left" vertical="top" wrapText="1" indent="3"/>
    </xf>
    <xf numFmtId="0" fontId="7" fillId="0" borderId="7" xfId="26" applyFont="1" applyFill="1" applyBorder="1" applyAlignment="1">
      <alignment horizontal="left" vertical="center" wrapText="1"/>
    </xf>
    <xf numFmtId="0" fontId="11" fillId="0" borderId="0" xfId="26" applyFill="1" applyAlignment="1">
      <alignment horizontal="center" vertical="center" wrapText="1"/>
    </xf>
    <xf numFmtId="164" fontId="0" fillId="0" borderId="13" xfId="73" applyFont="1" applyFill="1" applyBorder="1" applyAlignment="1" applyProtection="1">
      <alignment horizontal="left" vertical="center" wrapText="1"/>
    </xf>
    <xf numFmtId="164" fontId="0" fillId="0" borderId="13" xfId="73" applyFont="1" applyFill="1" applyBorder="1" applyAlignment="1" applyProtection="1">
      <alignment horizontal="left" vertical="center"/>
      <protection locked="0"/>
    </xf>
    <xf numFmtId="0" fontId="35" fillId="0" borderId="1" xfId="21" applyFont="1" applyBorder="1" applyAlignment="1">
      <alignment horizontal="left" vertical="center" wrapText="1"/>
    </xf>
    <xf numFmtId="0" fontId="35" fillId="0" borderId="4" xfId="21" applyFont="1" applyBorder="1" applyAlignment="1">
      <alignment horizontal="center" vertical="center" wrapText="1"/>
    </xf>
    <xf numFmtId="0" fontId="0" fillId="0" borderId="8" xfId="21" applyFont="1" applyBorder="1" applyAlignment="1">
      <alignment horizontal="left" vertical="top" wrapText="1"/>
    </xf>
    <xf numFmtId="0" fontId="0" fillId="0" borderId="9" xfId="21" applyFont="1" applyBorder="1" applyAlignment="1">
      <alignment horizontal="left" vertical="top" wrapText="1"/>
    </xf>
    <xf numFmtId="0" fontId="33" fillId="0" borderId="10" xfId="21" applyFont="1" applyBorder="1" applyAlignment="1">
      <alignment horizontal="center" vertical="top" wrapText="1"/>
    </xf>
    <xf numFmtId="0" fontId="0" fillId="0" borderId="10" xfId="21" applyFont="1" applyBorder="1" applyAlignment="1">
      <alignment horizontal="center" vertical="top" wrapText="1"/>
    </xf>
    <xf numFmtId="0" fontId="7" fillId="2" borderId="7" xfId="22" applyFill="1" applyBorder="1">
      <alignment horizontal="left" vertical="top" wrapText="1"/>
    </xf>
    <xf numFmtId="0" fontId="8" fillId="2" borderId="12" xfId="23" applyBorder="1" applyAlignment="1">
      <alignment horizontal="left" vertical="top" wrapText="1"/>
    </xf>
    <xf numFmtId="0" fontId="33" fillId="0" borderId="13" xfId="21" applyFont="1" applyFill="1" applyBorder="1" applyAlignment="1">
      <alignment horizontal="left" vertical="top" wrapText="1"/>
    </xf>
    <xf numFmtId="0" fontId="0" fillId="0" borderId="13" xfId="21" applyFont="1" applyFill="1" applyBorder="1" applyAlignment="1">
      <alignment horizontal="center" vertical="top" wrapText="1"/>
    </xf>
    <xf numFmtId="49" fontId="0" fillId="0" borderId="0" xfId="21" applyNumberFormat="1" applyFont="1" applyFill="1" applyAlignment="1">
      <alignment horizontal="left" vertical="top" wrapText="1"/>
    </xf>
    <xf numFmtId="0" fontId="7" fillId="3" borderId="7" xfId="22" applyFill="1" applyBorder="1">
      <alignment horizontal="left" vertical="top" wrapText="1"/>
    </xf>
    <xf numFmtId="0" fontId="9" fillId="3" borderId="12" xfId="84" applyBorder="1" applyAlignment="1">
      <alignment horizontal="left" vertical="top" wrapText="1"/>
    </xf>
    <xf numFmtId="0" fontId="7" fillId="6" borderId="7" xfId="22" applyFill="1" applyBorder="1">
      <alignment horizontal="left" vertical="top" wrapText="1"/>
    </xf>
    <xf numFmtId="0" fontId="33" fillId="0" borderId="13" xfId="21" applyFont="1" applyFill="1" applyBorder="1" applyAlignment="1" applyProtection="1">
      <alignment horizontal="center" vertical="top"/>
      <protection locked="0"/>
    </xf>
    <xf numFmtId="167" fontId="0" fillId="0" borderId="13" xfId="21" applyNumberFormat="1" applyFont="1" applyFill="1" applyBorder="1" applyAlignment="1" applyProtection="1">
      <alignment horizontal="center" vertical="top" wrapText="1"/>
      <protection locked="0"/>
    </xf>
    <xf numFmtId="0" fontId="36" fillId="0" borderId="7" xfId="21" applyFont="1" applyFill="1" applyBorder="1" applyAlignment="1">
      <alignment horizontal="left" vertical="top" wrapText="1"/>
    </xf>
    <xf numFmtId="0" fontId="10" fillId="0" borderId="12" xfId="25" applyFill="1" applyBorder="1" applyAlignment="1">
      <alignment vertical="top" wrapText="1"/>
    </xf>
    <xf numFmtId="0" fontId="7" fillId="5" borderId="7" xfId="22" applyFill="1" applyBorder="1">
      <alignment horizontal="left" vertical="top" wrapText="1"/>
    </xf>
    <xf numFmtId="0" fontId="37" fillId="5" borderId="18" xfId="21" applyFont="1" applyFill="1" applyBorder="1" applyAlignment="1">
      <alignment horizontal="left" vertical="top" wrapText="1"/>
    </xf>
    <xf numFmtId="0" fontId="39" fillId="5" borderId="13" xfId="21" applyFont="1" applyFill="1" applyBorder="1" applyAlignment="1">
      <alignment horizontal="left" vertical="top" wrapText="1"/>
    </xf>
    <xf numFmtId="0" fontId="38" fillId="5" borderId="13" xfId="21" applyFont="1" applyFill="1" applyBorder="1" applyAlignment="1">
      <alignment horizontal="center" vertical="top" wrapText="1"/>
    </xf>
    <xf numFmtId="0" fontId="33" fillId="0" borderId="0" xfId="21" applyFont="1"/>
    <xf numFmtId="0" fontId="34" fillId="0" borderId="0" xfId="68" applyFont="1" applyAlignment="1">
      <alignment vertical="center" wrapText="1"/>
    </xf>
    <xf numFmtId="0" fontId="37" fillId="0" borderId="12" xfId="20" applyFont="1" applyFill="1" applyBorder="1" applyAlignment="1">
      <alignment horizontal="left" vertical="center" wrapText="1"/>
    </xf>
    <xf numFmtId="0" fontId="40" fillId="0" borderId="12" xfId="19" applyFont="1" applyFill="1" applyBorder="1" applyAlignment="1">
      <alignment horizontal="left" vertical="center" wrapText="1"/>
    </xf>
    <xf numFmtId="0" fontId="40" fillId="5" borderId="12" xfId="74" applyFont="1" applyFill="1" applyBorder="1">
      <alignment horizontal="left" vertical="top" wrapText="1"/>
    </xf>
    <xf numFmtId="0" fontId="6" fillId="5" borderId="12" xfId="74" applyFill="1" applyBorder="1">
      <alignment horizontal="left" vertical="top" wrapText="1"/>
    </xf>
    <xf numFmtId="0" fontId="33" fillId="0" borderId="13" xfId="21" applyFont="1" applyFill="1" applyBorder="1" applyAlignment="1">
      <alignment horizontal="center" vertical="center" wrapText="1"/>
    </xf>
    <xf numFmtId="0" fontId="1" fillId="5" borderId="0" xfId="21" applyFill="1"/>
    <xf numFmtId="49" fontId="0" fillId="5" borderId="0" xfId="21" applyNumberFormat="1" applyFont="1" applyFill="1" applyAlignment="1">
      <alignment horizontal="left" vertical="top" wrapText="1"/>
    </xf>
    <xf numFmtId="164" fontId="0" fillId="5" borderId="13" xfId="73" applyFont="1" applyFill="1" applyBorder="1" applyAlignment="1" applyProtection="1">
      <alignment horizontal="left" vertical="center"/>
      <protection locked="0"/>
    </xf>
    <xf numFmtId="0" fontId="10" fillId="5" borderId="12" xfId="25" applyFill="1" applyBorder="1" applyAlignment="1">
      <alignment horizontal="left" vertical="center" wrapText="1"/>
    </xf>
    <xf numFmtId="0" fontId="33" fillId="5" borderId="13" xfId="68" applyFont="1" applyFill="1" applyBorder="1" applyAlignment="1" applyProtection="1">
      <alignment horizontal="center" vertical="center"/>
      <protection locked="0"/>
    </xf>
    <xf numFmtId="0" fontId="1" fillId="5" borderId="13" xfId="68" applyFill="1" applyBorder="1" applyAlignment="1" applyProtection="1">
      <alignment horizontal="center" vertical="center"/>
      <protection locked="0"/>
    </xf>
    <xf numFmtId="0" fontId="1" fillId="0" borderId="0" xfId="92"/>
    <xf numFmtId="0" fontId="35" fillId="0" borderId="1" xfId="92" applyFont="1" applyBorder="1" applyAlignment="1">
      <alignment horizontal="left" vertical="center" wrapText="1"/>
    </xf>
    <xf numFmtId="0" fontId="35" fillId="0" borderId="4" xfId="92" applyFont="1" applyBorder="1" applyAlignment="1">
      <alignment horizontal="center" vertical="center" wrapText="1"/>
    </xf>
    <xf numFmtId="0" fontId="35" fillId="0" borderId="5" xfId="92" applyFont="1" applyBorder="1" applyAlignment="1">
      <alignment horizontal="center" vertical="center" wrapText="1"/>
    </xf>
    <xf numFmtId="0" fontId="1" fillId="0" borderId="0" xfId="92" applyAlignment="1">
      <alignment vertical="center"/>
    </xf>
    <xf numFmtId="0" fontId="0" fillId="0" borderId="8" xfId="92" applyFont="1" applyBorder="1" applyAlignment="1">
      <alignment horizontal="left" vertical="top" wrapText="1"/>
    </xf>
    <xf numFmtId="0" fontId="0" fillId="0" borderId="9" xfId="92" applyFont="1" applyBorder="1" applyAlignment="1">
      <alignment horizontal="left" vertical="top" wrapText="1"/>
    </xf>
    <xf numFmtId="0" fontId="33" fillId="0" borderId="10" xfId="92" applyFont="1" applyBorder="1" applyAlignment="1">
      <alignment horizontal="center" vertical="top" wrapText="1"/>
    </xf>
    <xf numFmtId="0" fontId="0" fillId="0" borderId="10" xfId="92" applyFont="1" applyBorder="1" applyAlignment="1">
      <alignment horizontal="center" vertical="top" wrapText="1"/>
    </xf>
    <xf numFmtId="0" fontId="0" fillId="0" borderId="30" xfId="92" applyFont="1" applyBorder="1" applyAlignment="1">
      <alignment horizontal="center" vertical="top" wrapText="1"/>
    </xf>
    <xf numFmtId="0" fontId="43" fillId="3" borderId="12" xfId="88" applyBorder="1" applyAlignment="1">
      <alignment horizontal="left" vertical="center" wrapText="1"/>
    </xf>
    <xf numFmtId="0" fontId="33" fillId="0" borderId="13" xfId="92" applyFont="1" applyFill="1" applyBorder="1" applyAlignment="1">
      <alignment horizontal="left" vertical="top" wrapText="1"/>
    </xf>
    <xf numFmtId="0" fontId="0" fillId="0" borderId="13" xfId="92" applyFont="1" applyFill="1" applyBorder="1" applyAlignment="1">
      <alignment horizontal="center" vertical="top" wrapText="1"/>
    </xf>
    <xf numFmtId="0" fontId="0" fillId="0" borderId="25" xfId="92" applyFont="1" applyFill="1" applyBorder="1" applyAlignment="1">
      <alignment horizontal="center" vertical="top" wrapText="1"/>
    </xf>
    <xf numFmtId="49" fontId="0" fillId="0" borderId="0" xfId="92" applyNumberFormat="1" applyFont="1" applyFill="1" applyAlignment="1">
      <alignment horizontal="left" vertical="top" wrapText="1"/>
    </xf>
    <xf numFmtId="0" fontId="42" fillId="7" borderId="7" xfId="87" applyFill="1" applyBorder="1" applyAlignment="1">
      <alignment horizontal="left" vertical="center" wrapText="1"/>
    </xf>
    <xf numFmtId="0" fontId="44" fillId="0" borderId="12" xfId="89" applyFill="1" applyBorder="1" applyAlignment="1">
      <alignment horizontal="left" vertical="center" wrapText="1"/>
    </xf>
    <xf numFmtId="0" fontId="33" fillId="0" borderId="13" xfId="92" applyFont="1" applyFill="1" applyBorder="1" applyAlignment="1">
      <alignment horizontal="center" vertical="top" wrapText="1"/>
    </xf>
    <xf numFmtId="4" fontId="0" fillId="0" borderId="13" xfId="92" applyNumberFormat="1" applyFont="1" applyFill="1" applyBorder="1" applyAlignment="1" applyProtection="1">
      <alignment horizontal="center" vertical="center" wrapText="1"/>
      <protection locked="0"/>
    </xf>
    <xf numFmtId="4" fontId="0" fillId="0" borderId="25" xfId="92" applyNumberFormat="1" applyFont="1" applyFill="1" applyBorder="1" applyAlignment="1" applyProtection="1">
      <alignment horizontal="center" vertical="center" wrapText="1"/>
      <protection locked="0"/>
    </xf>
    <xf numFmtId="0" fontId="42" fillId="0" borderId="7" xfId="87" applyFill="1" applyBorder="1" applyAlignment="1">
      <alignment horizontal="left" vertical="center" wrapText="1"/>
    </xf>
    <xf numFmtId="0" fontId="45" fillId="0" borderId="12" xfId="90" applyFill="1" applyBorder="1" applyAlignment="1">
      <alignment horizontal="left" vertical="center" wrapText="1"/>
    </xf>
    <xf numFmtId="0" fontId="33" fillId="0" borderId="13" xfId="92" applyFont="1" applyFill="1" applyBorder="1" applyAlignment="1" applyProtection="1">
      <alignment horizontal="center" vertical="top"/>
      <protection locked="0"/>
    </xf>
    <xf numFmtId="0" fontId="44" fillId="5" borderId="12" xfId="89" applyFill="1" applyBorder="1" applyAlignment="1">
      <alignment horizontal="left" vertical="center" wrapText="1"/>
    </xf>
    <xf numFmtId="0" fontId="33" fillId="5" borderId="13" xfId="92" applyFont="1" applyFill="1" applyBorder="1" applyAlignment="1">
      <alignment horizontal="left" vertical="top" wrapText="1"/>
    </xf>
    <xf numFmtId="4" fontId="0" fillId="5" borderId="13" xfId="92" applyNumberFormat="1" applyFont="1" applyFill="1" applyBorder="1" applyAlignment="1">
      <alignment horizontal="center" vertical="center" wrapText="1"/>
    </xf>
    <xf numFmtId="4" fontId="0" fillId="5" borderId="25" xfId="92" applyNumberFormat="1" applyFont="1" applyFill="1" applyBorder="1" applyAlignment="1">
      <alignment horizontal="center" vertical="center" wrapText="1"/>
    </xf>
    <xf numFmtId="0" fontId="42" fillId="5" borderId="7" xfId="87" applyFill="1" applyBorder="1" applyAlignment="1">
      <alignment horizontal="left" vertical="center" wrapText="1"/>
    </xf>
    <xf numFmtId="0" fontId="45" fillId="5" borderId="12" xfId="90" applyFill="1" applyBorder="1" applyAlignment="1">
      <alignment horizontal="left" vertical="center" wrapText="1"/>
    </xf>
    <xf numFmtId="0" fontId="33" fillId="5" borderId="13" xfId="92" applyFont="1" applyFill="1" applyBorder="1" applyAlignment="1" applyProtection="1">
      <alignment horizontal="center" vertical="top"/>
      <protection locked="0"/>
    </xf>
    <xf numFmtId="4" fontId="0" fillId="5" borderId="13" xfId="92" applyNumberFormat="1" applyFont="1" applyFill="1" applyBorder="1" applyAlignment="1" applyProtection="1">
      <alignment horizontal="center" vertical="center" wrapText="1"/>
      <protection locked="0"/>
    </xf>
    <xf numFmtId="4" fontId="0" fillId="5" borderId="25" xfId="92" applyNumberFormat="1" applyFont="1" applyFill="1" applyBorder="1" applyAlignment="1" applyProtection="1">
      <alignment horizontal="center" vertical="center" wrapText="1"/>
      <protection locked="0"/>
    </xf>
    <xf numFmtId="4" fontId="0" fillId="0" borderId="13" xfId="92" applyNumberFormat="1" applyFont="1" applyFill="1" applyBorder="1" applyAlignment="1">
      <alignment horizontal="center" vertical="center" wrapText="1"/>
    </xf>
    <xf numFmtId="4" fontId="0" fillId="0" borderId="25" xfId="92" applyNumberFormat="1" applyFont="1" applyFill="1" applyBorder="1" applyAlignment="1">
      <alignment horizontal="center" vertical="center" wrapText="1"/>
    </xf>
    <xf numFmtId="0" fontId="37" fillId="5" borderId="18" xfId="92" applyFont="1" applyFill="1" applyBorder="1" applyAlignment="1">
      <alignment horizontal="left" vertical="top" wrapText="1"/>
    </xf>
    <xf numFmtId="0" fontId="39" fillId="5" borderId="13" xfId="92" applyFont="1" applyFill="1" applyBorder="1" applyAlignment="1">
      <alignment horizontal="left" vertical="top" wrapText="1"/>
    </xf>
    <xf numFmtId="0" fontId="38" fillId="5" borderId="13" xfId="92" applyFont="1" applyFill="1" applyBorder="1" applyAlignment="1">
      <alignment horizontal="center" vertical="top" wrapText="1"/>
    </xf>
    <xf numFmtId="0" fontId="38" fillId="5" borderId="25" xfId="92" applyFont="1" applyFill="1" applyBorder="1" applyAlignment="1">
      <alignment horizontal="center" vertical="top" wrapText="1"/>
    </xf>
    <xf numFmtId="0" fontId="42" fillId="0" borderId="31" xfId="91" applyFont="1" applyFill="1" applyBorder="1" applyAlignment="1">
      <alignment horizontal="left" vertical="top" wrapText="1" indent="2"/>
    </xf>
    <xf numFmtId="0" fontId="0" fillId="0" borderId="0" xfId="92" applyFont="1" applyFill="1" applyAlignment="1">
      <alignment horizontal="left" vertical="top" wrapText="1"/>
    </xf>
    <xf numFmtId="0" fontId="33" fillId="0" borderId="0" xfId="92" applyFont="1" applyFill="1" applyAlignment="1">
      <alignment horizontal="left" vertical="top" wrapText="1"/>
    </xf>
    <xf numFmtId="0" fontId="33" fillId="0" borderId="0" xfId="92" applyFont="1"/>
    <xf numFmtId="0" fontId="0" fillId="0" borderId="0" xfId="68" applyFont="1" applyAlignment="1">
      <alignment horizontal="left" vertical="center" wrapText="1"/>
    </xf>
    <xf numFmtId="0" fontId="34" fillId="0" borderId="34" xfId="68" applyFont="1" applyBorder="1" applyAlignment="1">
      <alignment horizontal="left" vertical="center" wrapText="1"/>
    </xf>
    <xf numFmtId="3" fontId="35" fillId="5" borderId="5" xfId="68" applyNumberFormat="1" applyFont="1" applyFill="1" applyBorder="1" applyAlignment="1">
      <alignment horizontal="center" vertical="center" wrapText="1"/>
    </xf>
    <xf numFmtId="3" fontId="33" fillId="5" borderId="10" xfId="68" applyNumberFormat="1" applyFont="1" applyFill="1" applyBorder="1" applyAlignment="1">
      <alignment horizontal="center" vertical="center" wrapText="1"/>
    </xf>
    <xf numFmtId="3" fontId="33" fillId="5" borderId="13" xfId="68" applyNumberFormat="1" applyFont="1" applyFill="1" applyBorder="1" applyAlignment="1">
      <alignment horizontal="center" vertical="center" wrapText="1"/>
    </xf>
    <xf numFmtId="3" fontId="33" fillId="5" borderId="13" xfId="21" applyNumberFormat="1" applyFont="1" applyFill="1" applyBorder="1" applyAlignment="1" applyProtection="1">
      <alignment horizontal="center" vertical="center"/>
      <protection locked="0"/>
    </xf>
    <xf numFmtId="3" fontId="33" fillId="5" borderId="13" xfId="21" applyNumberFormat="1" applyFont="1" applyFill="1" applyBorder="1" applyAlignment="1">
      <alignment horizontal="center" vertical="center" wrapText="1"/>
    </xf>
    <xf numFmtId="3" fontId="33" fillId="5" borderId="13" xfId="68" applyNumberFormat="1" applyFont="1" applyFill="1" applyBorder="1" applyAlignment="1" applyProtection="1">
      <alignment horizontal="center" vertical="center" wrapText="1"/>
      <protection locked="0"/>
    </xf>
    <xf numFmtId="3" fontId="33" fillId="5" borderId="23" xfId="68" applyNumberFormat="1" applyFont="1" applyFill="1" applyBorder="1" applyAlignment="1">
      <alignment horizontal="center" vertical="center" wrapText="1"/>
    </xf>
    <xf numFmtId="3" fontId="33" fillId="5" borderId="24" xfId="68" applyNumberFormat="1" applyFont="1" applyFill="1" applyBorder="1" applyAlignment="1">
      <alignment horizontal="left" vertical="center" wrapText="1"/>
    </xf>
    <xf numFmtId="3" fontId="33" fillId="5" borderId="0" xfId="68" applyNumberFormat="1" applyFont="1" applyFill="1" applyAlignment="1">
      <alignment vertical="center"/>
    </xf>
    <xf numFmtId="164" fontId="34" fillId="5" borderId="6" xfId="73" applyFont="1" applyFill="1" applyBorder="1" applyAlignment="1">
      <alignment horizontal="center" vertical="center" wrapText="1"/>
    </xf>
    <xf numFmtId="164" fontId="1" fillId="5" borderId="11" xfId="73" applyFill="1" applyBorder="1" applyAlignment="1">
      <alignment horizontal="center" vertical="center" wrapText="1"/>
    </xf>
    <xf numFmtId="164" fontId="1" fillId="5" borderId="14" xfId="73" applyFill="1" applyBorder="1" applyAlignment="1">
      <alignment horizontal="center" vertical="center" wrapText="1"/>
    </xf>
    <xf numFmtId="164" fontId="33" fillId="5" borderId="14" xfId="73" applyFont="1" applyFill="1" applyBorder="1" applyAlignment="1">
      <alignment horizontal="center" vertical="center" wrapText="1"/>
    </xf>
    <xf numFmtId="164" fontId="33" fillId="5" borderId="14" xfId="73" applyFont="1" applyFill="1" applyBorder="1" applyAlignment="1" applyProtection="1">
      <alignment horizontal="center" vertical="center" wrapText="1"/>
      <protection locked="0"/>
    </xf>
    <xf numFmtId="164" fontId="33" fillId="5" borderId="6" xfId="73" applyFont="1" applyFill="1" applyBorder="1" applyAlignment="1" applyProtection="1">
      <alignment horizontal="center" vertical="center" wrapText="1"/>
      <protection locked="0"/>
    </xf>
    <xf numFmtId="164" fontId="1" fillId="5" borderId="20" xfId="73" applyFill="1" applyBorder="1" applyAlignment="1">
      <alignment horizontal="center" vertical="center" wrapText="1"/>
    </xf>
    <xf numFmtId="164" fontId="1" fillId="5" borderId="24" xfId="73" applyFill="1" applyBorder="1" applyAlignment="1">
      <alignment horizontal="left" vertical="center" wrapText="1"/>
    </xf>
    <xf numFmtId="164" fontId="1" fillId="5" borderId="0" xfId="73" applyFill="1" applyAlignment="1">
      <alignment vertical="center"/>
    </xf>
    <xf numFmtId="3" fontId="33" fillId="5" borderId="0" xfId="21" applyNumberFormat="1" applyFont="1" applyFill="1"/>
    <xf numFmtId="164" fontId="33" fillId="5" borderId="13" xfId="73" applyFont="1" applyFill="1" applyBorder="1" applyAlignment="1">
      <alignment horizontal="center" vertical="center" wrapText="1"/>
    </xf>
    <xf numFmtId="164" fontId="1" fillId="5" borderId="0" xfId="73" applyFill="1"/>
    <xf numFmtId="3" fontId="33" fillId="5" borderId="35" xfId="68" applyNumberFormat="1" applyFont="1" applyFill="1" applyBorder="1" applyAlignment="1">
      <alignment horizontal="center" vertical="center" wrapText="1"/>
    </xf>
    <xf numFmtId="3" fontId="33" fillId="5" borderId="14" xfId="68" applyNumberFormat="1" applyFont="1" applyFill="1" applyBorder="1" applyAlignment="1">
      <alignment horizontal="center" vertical="center" wrapText="1"/>
    </xf>
    <xf numFmtId="3" fontId="33" fillId="5" borderId="14" xfId="68" applyNumberFormat="1" applyFont="1" applyFill="1" applyBorder="1" applyAlignment="1" applyProtection="1">
      <alignment horizontal="center" vertical="center" wrapText="1"/>
      <protection locked="0"/>
    </xf>
    <xf numFmtId="3" fontId="33" fillId="5" borderId="0" xfId="92" applyNumberFormat="1" applyFont="1" applyFill="1" applyAlignment="1">
      <alignment horizontal="center" vertical="center"/>
    </xf>
    <xf numFmtId="164" fontId="33" fillId="5" borderId="35" xfId="73" applyFont="1" applyFill="1" applyBorder="1" applyAlignment="1">
      <alignment horizontal="center" vertical="center" wrapText="1"/>
    </xf>
    <xf numFmtId="164" fontId="33" fillId="5" borderId="34" xfId="73" applyFont="1" applyFill="1" applyBorder="1" applyAlignment="1" applyProtection="1">
      <alignment horizontal="center" vertical="center" wrapText="1"/>
      <protection locked="0"/>
    </xf>
    <xf numFmtId="164" fontId="34" fillId="5" borderId="0" xfId="73" applyFont="1" applyFill="1" applyBorder="1" applyAlignment="1">
      <alignment horizontal="right" vertical="center" wrapText="1"/>
    </xf>
    <xf numFmtId="0" fontId="34" fillId="0" borderId="0" xfId="68" applyFont="1" applyAlignment="1">
      <alignment horizontal="center" vertical="center" wrapText="1"/>
    </xf>
    <xf numFmtId="0" fontId="1" fillId="0" borderId="0" xfId="68" applyAlignment="1">
      <alignment horizontal="center" vertical="center"/>
    </xf>
    <xf numFmtId="0" fontId="33" fillId="0" borderId="0" xfId="68" applyFont="1" applyAlignment="1">
      <alignment horizontal="center" vertical="center"/>
    </xf>
    <xf numFmtId="0" fontId="9" fillId="5" borderId="12" xfId="84" applyFill="1" applyBorder="1" applyAlignment="1">
      <alignment horizontal="left" vertical="top" wrapText="1"/>
    </xf>
    <xf numFmtId="0" fontId="33" fillId="5" borderId="13" xfId="21" applyFont="1" applyFill="1" applyBorder="1" applyAlignment="1">
      <alignment horizontal="left" vertical="top" wrapText="1"/>
    </xf>
    <xf numFmtId="0" fontId="0" fillId="5" borderId="13" xfId="21" applyFont="1" applyFill="1" applyBorder="1" applyAlignment="1">
      <alignment horizontal="center" vertical="top" wrapText="1"/>
    </xf>
    <xf numFmtId="0" fontId="38" fillId="5" borderId="12" xfId="21" applyFont="1" applyFill="1" applyBorder="1" applyAlignment="1">
      <alignment horizontal="left" vertical="top" wrapText="1"/>
    </xf>
    <xf numFmtId="164" fontId="33" fillId="5" borderId="0" xfId="73" applyFont="1" applyFill="1" applyBorder="1" applyAlignment="1">
      <alignment horizontal="center" vertical="center" wrapText="1"/>
    </xf>
    <xf numFmtId="164" fontId="33" fillId="5" borderId="0" xfId="73" applyFont="1" applyFill="1" applyBorder="1" applyAlignment="1" applyProtection="1">
      <alignment horizontal="center" vertical="center" wrapText="1"/>
      <protection locked="0"/>
    </xf>
    <xf numFmtId="0" fontId="38" fillId="5" borderId="12" xfId="92" applyFont="1" applyFill="1" applyBorder="1" applyAlignment="1">
      <alignment horizontal="left" vertical="top" wrapText="1"/>
    </xf>
    <xf numFmtId="0" fontId="1" fillId="0" borderId="27" xfId="68" applyBorder="1" applyAlignment="1">
      <alignment horizontal="left" vertical="center" wrapText="1"/>
    </xf>
    <xf numFmtId="164" fontId="1" fillId="5" borderId="27" xfId="73" applyFill="1" applyBorder="1" applyAlignment="1">
      <alignment vertical="center"/>
    </xf>
    <xf numFmtId="0" fontId="7" fillId="2" borderId="7" xfId="22" quotePrefix="1" applyFill="1" applyBorder="1" applyAlignment="1">
      <alignment horizontal="left" vertical="center" wrapText="1"/>
    </xf>
    <xf numFmtId="0" fontId="33" fillId="5" borderId="13" xfId="68" applyFont="1" applyFill="1" applyBorder="1" applyAlignment="1">
      <alignment horizontal="center" vertical="center" wrapText="1"/>
    </xf>
    <xf numFmtId="164" fontId="0" fillId="5" borderId="13" xfId="73" applyFont="1" applyFill="1" applyBorder="1" applyAlignment="1" applyProtection="1">
      <alignment horizontal="center" vertical="center" wrapText="1"/>
    </xf>
    <xf numFmtId="164" fontId="0" fillId="5" borderId="13" xfId="73" applyFont="1" applyFill="1" applyBorder="1" applyAlignment="1" applyProtection="1">
      <alignment horizontal="left" vertical="center" wrapText="1"/>
      <protection locked="0"/>
    </xf>
    <xf numFmtId="164" fontId="1" fillId="5" borderId="14" xfId="73" applyFill="1" applyBorder="1" applyAlignment="1" applyProtection="1">
      <alignment horizontal="center" vertical="center" wrapText="1"/>
      <protection locked="0"/>
    </xf>
    <xf numFmtId="164" fontId="0" fillId="0" borderId="13" xfId="73" applyFont="1" applyFill="1" applyBorder="1" applyAlignment="1" applyProtection="1">
      <alignment horizontal="left" vertical="center" wrapText="1"/>
      <protection locked="0"/>
    </xf>
    <xf numFmtId="164" fontId="33" fillId="5" borderId="38" xfId="73" applyFont="1" applyFill="1" applyBorder="1" applyAlignment="1" applyProtection="1">
      <alignment horizontal="center" vertical="center" wrapText="1"/>
      <protection locked="0"/>
    </xf>
    <xf numFmtId="164" fontId="0" fillId="5" borderId="25" xfId="73" applyFont="1" applyFill="1" applyBorder="1" applyAlignment="1" applyProtection="1">
      <alignment horizontal="center" vertical="center" wrapText="1"/>
    </xf>
    <xf numFmtId="164" fontId="0" fillId="5" borderId="25" xfId="73" applyFont="1" applyFill="1" applyBorder="1" applyAlignment="1" applyProtection="1">
      <alignment horizontal="left" vertical="center" wrapText="1"/>
      <protection locked="0"/>
    </xf>
    <xf numFmtId="164" fontId="0" fillId="0" borderId="25" xfId="73" applyFont="1" applyFill="1" applyBorder="1" applyAlignment="1" applyProtection="1">
      <alignment horizontal="left" vertical="center" wrapText="1"/>
      <protection locked="0"/>
    </xf>
    <xf numFmtId="0" fontId="33" fillId="5" borderId="10" xfId="68" applyFont="1" applyFill="1" applyBorder="1" applyAlignment="1">
      <alignment horizontal="center" vertical="center" wrapText="1"/>
    </xf>
    <xf numFmtId="164" fontId="0" fillId="5" borderId="10" xfId="73" applyFont="1" applyFill="1" applyBorder="1" applyAlignment="1" applyProtection="1">
      <alignment horizontal="center" vertical="center" wrapText="1"/>
    </xf>
    <xf numFmtId="164" fontId="0" fillId="5" borderId="30" xfId="73" applyFont="1" applyFill="1" applyBorder="1" applyAlignment="1" applyProtection="1">
      <alignment horizontal="center" vertical="center" wrapText="1"/>
    </xf>
    <xf numFmtId="0" fontId="36" fillId="5" borderId="7" xfId="68" applyFont="1" applyFill="1" applyBorder="1" applyAlignment="1">
      <alignment horizontal="left" vertical="center" wrapText="1"/>
    </xf>
    <xf numFmtId="0" fontId="10" fillId="5" borderId="0" xfId="25" applyFill="1" applyAlignment="1">
      <alignment horizontal="left" vertical="center" wrapText="1"/>
    </xf>
    <xf numFmtId="164" fontId="0" fillId="5" borderId="0" xfId="73" applyFont="1" applyFill="1" applyBorder="1" applyAlignment="1" applyProtection="1">
      <alignment horizontal="left" vertical="center" wrapText="1"/>
      <protection locked="0"/>
    </xf>
    <xf numFmtId="164" fontId="0" fillId="5" borderId="23" xfId="73" applyFont="1" applyFill="1" applyBorder="1" applyAlignment="1" applyProtection="1">
      <alignment horizontal="center" vertical="center" wrapText="1"/>
    </xf>
    <xf numFmtId="164" fontId="0" fillId="5" borderId="39" xfId="73" applyFont="1" applyFill="1" applyBorder="1" applyAlignment="1" applyProtection="1">
      <alignment horizontal="center" vertical="center" wrapText="1"/>
    </xf>
    <xf numFmtId="0" fontId="7" fillId="5" borderId="26" xfId="26" applyFont="1" applyFill="1" applyBorder="1" applyAlignment="1">
      <alignment horizontal="left" vertical="center" wrapText="1"/>
    </xf>
    <xf numFmtId="0" fontId="11" fillId="5" borderId="15" xfId="26" applyFill="1" applyBorder="1" applyAlignment="1">
      <alignment horizontal="center" vertical="center" wrapText="1"/>
    </xf>
    <xf numFmtId="0" fontId="36" fillId="5" borderId="21" xfId="68" applyFont="1" applyFill="1" applyBorder="1" applyAlignment="1">
      <alignment horizontal="left" vertical="center" wrapText="1"/>
    </xf>
    <xf numFmtId="0" fontId="1" fillId="5" borderId="22" xfId="68" applyFill="1" applyBorder="1" applyAlignment="1">
      <alignment horizontal="left" vertical="center" wrapText="1"/>
    </xf>
    <xf numFmtId="0" fontId="33" fillId="5" borderId="23" xfId="68" applyFont="1" applyFill="1" applyBorder="1" applyAlignment="1">
      <alignment horizontal="center" vertical="center" wrapText="1"/>
    </xf>
    <xf numFmtId="0" fontId="1" fillId="5" borderId="24" xfId="68" applyFill="1" applyBorder="1" applyAlignment="1">
      <alignment horizontal="left" vertical="center" wrapText="1"/>
    </xf>
    <xf numFmtId="0" fontId="33" fillId="5" borderId="24" xfId="68" applyFont="1" applyFill="1" applyBorder="1" applyAlignment="1">
      <alignment horizontal="center" vertical="center" wrapText="1"/>
    </xf>
    <xf numFmtId="164" fontId="0" fillId="5" borderId="24" xfId="73" applyFont="1" applyFill="1" applyBorder="1" applyAlignment="1" applyProtection="1">
      <alignment horizontal="left" vertical="center" wrapText="1"/>
    </xf>
    <xf numFmtId="0" fontId="34" fillId="5" borderId="0" xfId="68" applyFont="1" applyFill="1" applyAlignment="1">
      <alignment horizontal="center" vertical="center" wrapText="1"/>
    </xf>
    <xf numFmtId="0" fontId="33" fillId="5" borderId="0" xfId="68" applyFont="1" applyFill="1" applyAlignment="1">
      <alignment horizontal="center" vertical="center"/>
    </xf>
    <xf numFmtId="164" fontId="0" fillId="5" borderId="0" xfId="73" applyFont="1" applyFill="1" applyAlignment="1" applyProtection="1">
      <alignment vertical="center"/>
    </xf>
    <xf numFmtId="0" fontId="38" fillId="5" borderId="0" xfId="0" applyFont="1" applyFill="1" applyAlignment="1">
      <alignment horizontal="center"/>
    </xf>
    <xf numFmtId="0" fontId="38" fillId="5" borderId="0" xfId="0" applyFont="1" applyFill="1"/>
    <xf numFmtId="0" fontId="34" fillId="0" borderId="21" xfId="68" applyFont="1" applyBorder="1" applyAlignment="1">
      <alignment horizontal="center" vertical="center" wrapText="1"/>
    </xf>
    <xf numFmtId="0" fontId="38" fillId="5" borderId="27" xfId="0" applyFont="1" applyFill="1" applyBorder="1" applyAlignment="1">
      <alignment horizontal="center"/>
    </xf>
    <xf numFmtId="0" fontId="48" fillId="5" borderId="27" xfId="0" applyFont="1" applyFill="1" applyBorder="1" applyAlignment="1">
      <alignment horizontal="center"/>
    </xf>
    <xf numFmtId="0" fontId="39" fillId="5" borderId="27" xfId="0" applyFont="1" applyFill="1" applyBorder="1" applyAlignment="1">
      <alignment horizontal="center"/>
    </xf>
    <xf numFmtId="0" fontId="1" fillId="0" borderId="40" xfId="68" applyBorder="1" applyAlignment="1">
      <alignment horizontal="center" vertical="center" wrapText="1"/>
    </xf>
    <xf numFmtId="0" fontId="49" fillId="5" borderId="4" xfId="21" applyFont="1" applyFill="1" applyBorder="1" applyAlignment="1">
      <alignment horizontal="center" vertical="center" wrapText="1"/>
    </xf>
    <xf numFmtId="0" fontId="50" fillId="5" borderId="5" xfId="21" applyFont="1" applyFill="1" applyBorder="1" applyAlignment="1">
      <alignment horizontal="center" vertical="center" wrapText="1"/>
    </xf>
    <xf numFmtId="3" fontId="49" fillId="5" borderId="5" xfId="21" applyNumberFormat="1" applyFont="1" applyFill="1" applyBorder="1" applyAlignment="1">
      <alignment horizontal="center" vertical="center" wrapText="1"/>
    </xf>
    <xf numFmtId="0" fontId="49" fillId="5" borderId="5" xfId="21" applyFont="1" applyFill="1" applyBorder="1" applyAlignment="1">
      <alignment horizontal="center" vertical="center" wrapText="1"/>
    </xf>
    <xf numFmtId="4" fontId="49" fillId="5" borderId="5" xfId="21" applyNumberFormat="1" applyFont="1" applyFill="1" applyBorder="1" applyAlignment="1">
      <alignment horizontal="center" vertical="center" wrapText="1"/>
    </xf>
    <xf numFmtId="0" fontId="49" fillId="5" borderId="6" xfId="21" applyFont="1" applyFill="1" applyBorder="1" applyAlignment="1">
      <alignment horizontal="center" vertical="center" wrapText="1"/>
    </xf>
    <xf numFmtId="0" fontId="42" fillId="5" borderId="41" xfId="87" applyFill="1" applyBorder="1" applyAlignment="1">
      <alignment horizontal="center" vertical="center" wrapText="1"/>
    </xf>
    <xf numFmtId="0" fontId="50" fillId="5" borderId="13" xfId="21" applyFont="1" applyFill="1" applyBorder="1" applyAlignment="1">
      <alignment horizontal="center" vertical="center" wrapText="1"/>
    </xf>
    <xf numFmtId="3" fontId="49" fillId="5" borderId="13" xfId="21" applyNumberFormat="1" applyFont="1" applyFill="1" applyBorder="1" applyAlignment="1">
      <alignment horizontal="center" vertical="center" wrapText="1"/>
    </xf>
    <xf numFmtId="0" fontId="49" fillId="5" borderId="13" xfId="21" applyFont="1" applyFill="1" applyBorder="1" applyAlignment="1">
      <alignment horizontal="center" vertical="center" wrapText="1"/>
    </xf>
    <xf numFmtId="4" fontId="49" fillId="5" borderId="13" xfId="21" applyNumberFormat="1" applyFont="1" applyFill="1" applyBorder="1" applyAlignment="1">
      <alignment horizontal="center" vertical="center" wrapText="1"/>
    </xf>
    <xf numFmtId="0" fontId="49" fillId="5" borderId="11" xfId="21" applyFont="1" applyFill="1" applyBorder="1" applyAlignment="1">
      <alignment horizontal="center" vertical="center" wrapText="1"/>
    </xf>
    <xf numFmtId="0" fontId="46" fillId="3" borderId="41" xfId="87" applyFont="1" applyFill="1" applyBorder="1" applyAlignment="1">
      <alignment horizontal="center" vertical="center" wrapText="1"/>
    </xf>
    <xf numFmtId="0" fontId="46" fillId="2" borderId="0" xfId="87" applyFont="1" applyFill="1" applyAlignment="1">
      <alignment horizontal="left" vertical="center" wrapText="1"/>
    </xf>
    <xf numFmtId="0" fontId="49" fillId="5" borderId="14" xfId="21" applyFont="1" applyFill="1" applyBorder="1" applyAlignment="1">
      <alignment horizontal="center" vertical="center" wrapText="1"/>
    </xf>
    <xf numFmtId="0" fontId="42" fillId="5" borderId="41" xfId="87" applyFill="1" applyBorder="1" applyAlignment="1">
      <alignment horizontal="center" vertical="top" wrapText="1"/>
    </xf>
    <xf numFmtId="0" fontId="51" fillId="5" borderId="13" xfId="0" applyFont="1" applyFill="1" applyBorder="1"/>
    <xf numFmtId="0" fontId="51" fillId="5" borderId="13" xfId="0" applyFont="1" applyFill="1" applyBorder="1" applyAlignment="1">
      <alignment horizontal="center"/>
    </xf>
    <xf numFmtId="168" fontId="52" fillId="5" borderId="13" xfId="0" applyNumberFormat="1" applyFont="1" applyFill="1" applyBorder="1" applyAlignment="1">
      <alignment horizontal="center"/>
    </xf>
    <xf numFmtId="4" fontId="53" fillId="5" borderId="12" xfId="0" applyNumberFormat="1" applyFont="1" applyFill="1" applyBorder="1" applyAlignment="1">
      <alignment horizontal="left" vertical="center"/>
    </xf>
    <xf numFmtId="4" fontId="39" fillId="5" borderId="14" xfId="21" applyNumberFormat="1" applyFont="1" applyFill="1" applyBorder="1" applyAlignment="1" applyProtection="1">
      <alignment horizontal="center" vertical="center"/>
      <protection locked="0"/>
    </xf>
    <xf numFmtId="0" fontId="52" fillId="5" borderId="13" xfId="0" applyFont="1" applyFill="1" applyBorder="1"/>
    <xf numFmtId="0" fontId="54" fillId="5" borderId="13" xfId="0" applyFont="1" applyFill="1" applyBorder="1"/>
    <xf numFmtId="0" fontId="55" fillId="5" borderId="13" xfId="0" applyFont="1" applyFill="1" applyBorder="1" applyAlignment="1">
      <alignment horizontal="center"/>
    </xf>
    <xf numFmtId="4" fontId="56" fillId="5" borderId="12" xfId="0" applyNumberFormat="1" applyFont="1" applyFill="1" applyBorder="1" applyAlignment="1">
      <alignment horizontal="left" vertical="center"/>
    </xf>
    <xf numFmtId="0" fontId="47" fillId="5" borderId="0" xfId="0" applyFont="1" applyFill="1"/>
    <xf numFmtId="0" fontId="36" fillId="5" borderId="41" xfId="68" applyFont="1" applyFill="1" applyBorder="1" applyAlignment="1">
      <alignment horizontal="center" vertical="center" wrapText="1"/>
    </xf>
    <xf numFmtId="0" fontId="36" fillId="0" borderId="41" xfId="68" applyFont="1" applyFill="1" applyBorder="1" applyAlignment="1">
      <alignment horizontal="center" vertical="center" wrapText="1"/>
    </xf>
    <xf numFmtId="0" fontId="42" fillId="0" borderId="41" xfId="87" applyFill="1" applyBorder="1" applyAlignment="1">
      <alignment horizontal="center" vertical="center" wrapText="1"/>
    </xf>
    <xf numFmtId="0" fontId="1" fillId="0" borderId="7" xfId="68" applyBorder="1" applyAlignment="1">
      <alignment horizontal="center" vertical="center"/>
    </xf>
    <xf numFmtId="0" fontId="42" fillId="6" borderId="41" xfId="87" applyFill="1" applyBorder="1" applyAlignment="1">
      <alignment horizontal="center" vertical="center" wrapText="1"/>
    </xf>
    <xf numFmtId="0" fontId="52" fillId="5" borderId="42" xfId="0" applyFont="1" applyFill="1" applyBorder="1"/>
    <xf numFmtId="0" fontId="54" fillId="5" borderId="42" xfId="0" applyFont="1" applyFill="1" applyBorder="1"/>
    <xf numFmtId="0" fontId="51" fillId="5" borderId="23" xfId="0" applyFont="1" applyFill="1" applyBorder="1" applyAlignment="1">
      <alignment horizontal="center"/>
    </xf>
    <xf numFmtId="168" fontId="52" fillId="5" borderId="23" xfId="0" applyNumberFormat="1" applyFont="1" applyFill="1" applyBorder="1" applyAlignment="1">
      <alignment horizontal="center"/>
    </xf>
    <xf numFmtId="4" fontId="53" fillId="5" borderId="22" xfId="0" applyNumberFormat="1" applyFont="1" applyFill="1" applyBorder="1" applyAlignment="1">
      <alignment horizontal="left" vertical="center"/>
    </xf>
    <xf numFmtId="4" fontId="39" fillId="5" borderId="20" xfId="21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/>
    <xf numFmtId="0" fontId="7" fillId="5" borderId="41" xfId="91" applyFont="1" applyFill="1" applyBorder="1" applyAlignment="1">
      <alignment horizontal="center" vertical="center" wrapText="1"/>
    </xf>
    <xf numFmtId="0" fontId="52" fillId="5" borderId="13" xfId="0" applyFont="1" applyFill="1" applyBorder="1" applyAlignment="1">
      <alignment horizontal="justify"/>
    </xf>
    <xf numFmtId="0" fontId="42" fillId="6" borderId="43" xfId="87" applyFill="1" applyBorder="1" applyAlignment="1">
      <alignment horizontal="center" vertical="center" wrapText="1"/>
    </xf>
    <xf numFmtId="0" fontId="54" fillId="5" borderId="23" xfId="0" applyFont="1" applyFill="1" applyBorder="1"/>
    <xf numFmtId="0" fontId="42" fillId="6" borderId="7" xfId="87" applyFill="1" applyBorder="1" applyAlignment="1">
      <alignment horizontal="center" vertical="center" wrapText="1"/>
    </xf>
    <xf numFmtId="167" fontId="39" fillId="5" borderId="6" xfId="21" applyNumberFormat="1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  <xf numFmtId="0" fontId="43" fillId="3" borderId="12" xfId="88" applyBorder="1" applyAlignment="1">
      <alignment horizontal="left" vertical="top" wrapText="1"/>
    </xf>
    <xf numFmtId="0" fontId="57" fillId="5" borderId="13" xfId="21" applyFont="1" applyFill="1" applyBorder="1" applyAlignment="1">
      <alignment horizontal="center" vertical="center" wrapText="1"/>
    </xf>
    <xf numFmtId="0" fontId="33" fillId="5" borderId="13" xfId="21" applyFont="1" applyFill="1" applyBorder="1" applyAlignment="1">
      <alignment horizontal="center" vertical="center" wrapText="1"/>
    </xf>
    <xf numFmtId="0" fontId="33" fillId="5" borderId="12" xfId="21" applyFont="1" applyFill="1" applyBorder="1" applyAlignment="1">
      <alignment horizontal="center" vertical="center" wrapText="1"/>
    </xf>
    <xf numFmtId="0" fontId="33" fillId="5" borderId="14" xfId="21" applyFont="1" applyFill="1" applyBorder="1" applyAlignment="1">
      <alignment horizontal="center" vertical="center" wrapText="1"/>
    </xf>
    <xf numFmtId="0" fontId="52" fillId="5" borderId="13" xfId="0" applyFont="1" applyFill="1" applyBorder="1" applyAlignment="1">
      <alignment horizontal="center"/>
    </xf>
    <xf numFmtId="4" fontId="33" fillId="5" borderId="14" xfId="21" applyNumberFormat="1" applyFont="1" applyFill="1" applyBorder="1" applyAlignment="1" applyProtection="1">
      <alignment horizontal="left" vertical="center"/>
      <protection locked="0"/>
    </xf>
    <xf numFmtId="4" fontId="33" fillId="5" borderId="14" xfId="21" applyNumberFormat="1" applyFont="1" applyFill="1" applyBorder="1" applyAlignment="1" applyProtection="1">
      <alignment horizontal="center" vertical="center"/>
      <protection locked="0"/>
    </xf>
    <xf numFmtId="4" fontId="53" fillId="5" borderId="12" xfId="0" applyNumberFormat="1" applyFont="1" applyFill="1" applyBorder="1" applyAlignment="1">
      <alignment horizontal="center" vertical="center"/>
    </xf>
    <xf numFmtId="0" fontId="42" fillId="5" borderId="43" xfId="87" applyFill="1" applyBorder="1" applyAlignment="1">
      <alignment horizontal="center" vertical="top" wrapText="1"/>
    </xf>
    <xf numFmtId="4" fontId="33" fillId="5" borderId="20" xfId="21" applyNumberFormat="1" applyFont="1" applyFill="1" applyBorder="1" applyAlignment="1" applyProtection="1">
      <alignment horizontal="center" vertical="center"/>
      <protection locked="0"/>
    </xf>
    <xf numFmtId="168" fontId="52" fillId="0" borderId="13" xfId="0" applyNumberFormat="1" applyFont="1" applyBorder="1" applyAlignment="1">
      <alignment horizontal="center"/>
    </xf>
    <xf numFmtId="4" fontId="53" fillId="0" borderId="12" xfId="0" applyNumberFormat="1" applyFont="1" applyBorder="1" applyAlignment="1">
      <alignment horizontal="left" vertical="center"/>
    </xf>
    <xf numFmtId="4" fontId="33" fillId="0" borderId="14" xfId="21" applyNumberFormat="1" applyFont="1" applyFill="1" applyBorder="1" applyAlignment="1" applyProtection="1">
      <alignment horizontal="center" vertical="center"/>
      <protection locked="0"/>
    </xf>
    <xf numFmtId="4" fontId="33" fillId="5" borderId="0" xfId="21" applyNumberFormat="1" applyFont="1" applyFill="1" applyAlignment="1" applyProtection="1">
      <alignment horizontal="center" vertical="center"/>
      <protection locked="0"/>
    </xf>
    <xf numFmtId="0" fontId="42" fillId="6" borderId="40" xfId="87" applyFill="1" applyBorder="1" applyAlignment="1">
      <alignment horizontal="center" vertical="center" wrapText="1"/>
    </xf>
    <xf numFmtId="0" fontId="42" fillId="5" borderId="7" xfId="87" applyFill="1" applyBorder="1" applyAlignment="1">
      <alignment horizontal="center" vertical="center" wrapText="1"/>
    </xf>
    <xf numFmtId="169" fontId="39" fillId="5" borderId="0" xfId="0" applyNumberFormat="1" applyFont="1" applyFill="1"/>
    <xf numFmtId="0" fontId="48" fillId="5" borderId="0" xfId="0" applyFont="1" applyFill="1"/>
    <xf numFmtId="0" fontId="39" fillId="5" borderId="0" xfId="0" applyFont="1" applyFill="1"/>
    <xf numFmtId="0" fontId="36" fillId="5" borderId="18" xfId="68" applyFont="1" applyFill="1" applyBorder="1" applyAlignment="1">
      <alignment horizontal="center" vertical="center" wrapText="1"/>
    </xf>
    <xf numFmtId="0" fontId="7" fillId="5" borderId="26" xfId="91" applyFont="1" applyFill="1" applyBorder="1" applyAlignment="1">
      <alignment horizontal="center" vertical="center" wrapText="1"/>
    </xf>
    <xf numFmtId="0" fontId="36" fillId="5" borderId="16" xfId="68" applyFont="1" applyFill="1" applyBorder="1" applyAlignment="1">
      <alignment horizontal="center" vertical="center" wrapText="1"/>
    </xf>
    <xf numFmtId="0" fontId="36" fillId="5" borderId="21" xfId="68" applyFont="1" applyFill="1" applyBorder="1" applyAlignment="1">
      <alignment horizontal="center" vertical="center" wrapText="1"/>
    </xf>
    <xf numFmtId="0" fontId="1" fillId="5" borderId="24" xfId="68" applyFill="1" applyBorder="1" applyAlignment="1">
      <alignment horizontal="center" vertical="center" wrapText="1"/>
    </xf>
    <xf numFmtId="0" fontId="1" fillId="5" borderId="0" xfId="68" applyFill="1" applyAlignment="1">
      <alignment horizontal="center" vertical="center"/>
    </xf>
    <xf numFmtId="4" fontId="1" fillId="5" borderId="13" xfId="68" applyNumberFormat="1" applyFill="1" applyBorder="1" applyAlignment="1">
      <alignment horizontal="center" vertical="center" wrapText="1"/>
    </xf>
    <xf numFmtId="0" fontId="37" fillId="5" borderId="12" xfId="25" applyFont="1" applyFill="1" applyBorder="1" applyAlignment="1">
      <alignment horizontal="left" vertical="center" wrapText="1"/>
    </xf>
    <xf numFmtId="4" fontId="1" fillId="5" borderId="13" xfId="68" applyNumberFormat="1" applyFill="1" applyBorder="1" applyAlignment="1" applyProtection="1">
      <alignment horizontal="center" vertical="center" wrapText="1"/>
      <protection locked="0"/>
    </xf>
    <xf numFmtId="0" fontId="33" fillId="5" borderId="13" xfId="21" applyFont="1" applyFill="1" applyBorder="1" applyAlignment="1" applyProtection="1">
      <alignment horizontal="center" vertical="center"/>
      <protection locked="0"/>
    </xf>
    <xf numFmtId="164" fontId="34" fillId="5" borderId="0" xfId="73" applyFont="1" applyFill="1" applyAlignment="1">
      <alignment horizontal="right" vertical="center" wrapText="1"/>
    </xf>
    <xf numFmtId="164" fontId="0" fillId="5" borderId="46" xfId="73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0" fillId="5" borderId="44" xfId="21" applyFont="1" applyFill="1" applyBorder="1" applyAlignment="1">
      <alignment horizontal="left" vertical="center" wrapText="1"/>
    </xf>
    <xf numFmtId="0" fontId="0" fillId="5" borderId="12" xfId="21" applyFont="1" applyFill="1" applyBorder="1" applyAlignment="1">
      <alignment horizontal="left" vertical="center" wrapText="1"/>
    </xf>
    <xf numFmtId="169" fontId="1" fillId="5" borderId="0" xfId="68" applyNumberFormat="1" applyFill="1" applyAlignment="1">
      <alignment vertical="center"/>
    </xf>
    <xf numFmtId="0" fontId="7" fillId="2" borderId="44" xfId="22" applyFill="1" applyBorder="1" applyAlignment="1">
      <alignment horizontal="left" vertical="center" wrapText="1"/>
    </xf>
    <xf numFmtId="0" fontId="1" fillId="5" borderId="0" xfId="21" applyFill="1" applyAlignment="1">
      <alignment vertical="center"/>
    </xf>
    <xf numFmtId="49" fontId="0" fillId="0" borderId="0" xfId="21" applyNumberFormat="1" applyFont="1" applyFill="1" applyAlignment="1">
      <alignment horizontal="left" vertical="center" wrapText="1"/>
    </xf>
    <xf numFmtId="0" fontId="7" fillId="5" borderId="44" xfId="22" applyFill="1" applyBorder="1" applyAlignment="1">
      <alignment horizontal="left" vertical="center" wrapText="1"/>
    </xf>
    <xf numFmtId="4" fontId="1" fillId="5" borderId="0" xfId="68" applyNumberFormat="1" applyFill="1" applyAlignment="1">
      <alignment horizontal="center" vertical="center"/>
    </xf>
    <xf numFmtId="0" fontId="7" fillId="8" borderId="44" xfId="22" applyFill="1" applyBorder="1" applyAlignment="1">
      <alignment horizontal="left" vertical="center" wrapText="1"/>
    </xf>
    <xf numFmtId="0" fontId="59" fillId="5" borderId="12" xfId="74" applyFont="1" applyFill="1" applyBorder="1" applyAlignment="1">
      <alignment horizontal="left" vertical="center" wrapText="1"/>
    </xf>
    <xf numFmtId="0" fontId="60" fillId="5" borderId="44" xfId="22" applyFont="1" applyFill="1" applyBorder="1" applyAlignment="1">
      <alignment horizontal="left" vertical="center" wrapText="1"/>
    </xf>
    <xf numFmtId="0" fontId="6" fillId="5" borderId="12" xfId="74" applyFill="1" applyBorder="1" applyAlignment="1">
      <alignment horizontal="left" vertical="center" wrapText="1"/>
    </xf>
    <xf numFmtId="0" fontId="37" fillId="5" borderId="44" xfId="22" applyFont="1" applyFill="1" applyBorder="1" applyAlignment="1">
      <alignment horizontal="left" vertical="center" wrapText="1"/>
    </xf>
    <xf numFmtId="0" fontId="7" fillId="0" borderId="47" xfId="26" applyFont="1" applyFill="1" applyBorder="1" applyAlignment="1">
      <alignment horizontal="left" vertical="center" wrapText="1"/>
    </xf>
    <xf numFmtId="4" fontId="33" fillId="0" borderId="0" xfId="68" applyNumberFormat="1" applyFont="1" applyAlignment="1">
      <alignment horizontal="center" vertical="center"/>
    </xf>
    <xf numFmtId="164" fontId="38" fillId="5" borderId="14" xfId="73" applyFont="1" applyFill="1" applyBorder="1" applyAlignment="1">
      <alignment horizontal="center" vertical="center" wrapText="1"/>
    </xf>
    <xf numFmtId="164" fontId="38" fillId="5" borderId="48" xfId="73" applyFont="1" applyFill="1" applyBorder="1" applyAlignment="1">
      <alignment horizontal="center" vertical="center"/>
    </xf>
    <xf numFmtId="164" fontId="38" fillId="5" borderId="14" xfId="73" applyFont="1" applyFill="1" applyBorder="1" applyAlignment="1" applyProtection="1">
      <alignment horizontal="center" vertical="center" wrapText="1"/>
      <protection locked="0"/>
    </xf>
    <xf numFmtId="0" fontId="61" fillId="0" borderId="15" xfId="26" applyFont="1" applyFill="1" applyBorder="1" applyAlignment="1">
      <alignment horizontal="center" vertical="center" wrapText="1"/>
    </xf>
    <xf numFmtId="3" fontId="33" fillId="5" borderId="49" xfId="4" applyNumberFormat="1" applyFont="1" applyFill="1" applyBorder="1" applyAlignment="1" applyProtection="1">
      <alignment horizontal="center" vertical="center"/>
      <protection locked="0"/>
    </xf>
    <xf numFmtId="3" fontId="33" fillId="5" borderId="23" xfId="68" applyNumberFormat="1" applyFont="1" applyFill="1" applyBorder="1" applyAlignment="1" applyProtection="1">
      <alignment horizontal="center" vertical="center" wrapText="1"/>
      <protection locked="0"/>
    </xf>
    <xf numFmtId="164" fontId="33" fillId="5" borderId="49" xfId="73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>
      <alignment vertical="center"/>
    </xf>
    <xf numFmtId="0" fontId="11" fillId="5" borderId="50" xfId="26" applyFill="1" applyBorder="1" applyAlignment="1">
      <alignment horizontal="center" vertical="center" wrapText="1"/>
    </xf>
    <xf numFmtId="164" fontId="38" fillId="5" borderId="0" xfId="73" applyFont="1" applyFill="1" applyAlignment="1">
      <alignment vertical="center"/>
    </xf>
    <xf numFmtId="4" fontId="33" fillId="5" borderId="0" xfId="68" applyNumberFormat="1" applyFont="1" applyFill="1" applyAlignment="1">
      <alignment vertical="center"/>
    </xf>
    <xf numFmtId="0" fontId="7" fillId="5" borderId="0" xfId="22" applyFill="1" applyAlignment="1">
      <alignment horizontal="left" vertical="center" wrapText="1"/>
    </xf>
    <xf numFmtId="164" fontId="0" fillId="5" borderId="0" xfId="73" applyFont="1" applyFill="1" applyAlignment="1">
      <alignment vertical="center"/>
    </xf>
    <xf numFmtId="0" fontId="7" fillId="0" borderId="0" xfId="26" applyFont="1" applyFill="1" applyAlignment="1">
      <alignment horizontal="left" vertical="center" wrapText="1"/>
    </xf>
    <xf numFmtId="0" fontId="0" fillId="5" borderId="0" xfId="21" applyFont="1" applyFill="1" applyAlignment="1">
      <alignment horizontal="left" vertical="center" wrapText="1"/>
    </xf>
    <xf numFmtId="164" fontId="0" fillId="0" borderId="0" xfId="73" applyFont="1" applyAlignment="1">
      <alignment vertical="center"/>
    </xf>
    <xf numFmtId="0" fontId="34" fillId="5" borderId="51" xfId="21" applyFont="1" applyFill="1" applyBorder="1" applyAlignment="1">
      <alignment horizontal="left" vertical="center" wrapText="1"/>
    </xf>
    <xf numFmtId="0" fontId="0" fillId="5" borderId="52" xfId="21" applyFont="1" applyFill="1" applyBorder="1" applyAlignment="1">
      <alignment horizontal="left" vertical="center" wrapText="1"/>
    </xf>
    <xf numFmtId="0" fontId="0" fillId="5" borderId="9" xfId="21" applyFont="1" applyFill="1" applyBorder="1" applyAlignment="1">
      <alignment horizontal="left" vertical="center" wrapText="1"/>
    </xf>
    <xf numFmtId="0" fontId="33" fillId="5" borderId="10" xfId="21" applyFont="1" applyFill="1" applyBorder="1" applyAlignment="1">
      <alignment horizontal="center" vertical="center" wrapText="1"/>
    </xf>
    <xf numFmtId="164" fontId="0" fillId="5" borderId="53" xfId="73" applyFont="1" applyFill="1" applyBorder="1" applyAlignment="1">
      <alignment vertical="center"/>
    </xf>
    <xf numFmtId="164" fontId="1" fillId="5" borderId="13" xfId="73" applyFill="1" applyBorder="1" applyAlignment="1">
      <alignment vertical="center"/>
    </xf>
    <xf numFmtId="0" fontId="8" fillId="5" borderId="12" xfId="23" applyFill="1" applyBorder="1" applyAlignment="1">
      <alignment horizontal="left" vertical="center" wrapText="1"/>
    </xf>
    <xf numFmtId="164" fontId="0" fillId="5" borderId="13" xfId="73" applyFont="1" applyFill="1" applyBorder="1" applyAlignment="1">
      <alignment vertical="center"/>
    </xf>
    <xf numFmtId="164" fontId="38" fillId="5" borderId="48" xfId="73" applyFont="1" applyFill="1" applyBorder="1" applyAlignment="1">
      <alignment vertical="center"/>
    </xf>
    <xf numFmtId="164" fontId="38" fillId="5" borderId="0" xfId="73" applyFont="1" applyFill="1" applyAlignment="1">
      <alignment horizontal="center" vertical="center"/>
    </xf>
    <xf numFmtId="164" fontId="38" fillId="5" borderId="0" xfId="73" applyFont="1" applyFill="1" applyAlignment="1" applyProtection="1">
      <alignment horizontal="center" vertical="center" wrapText="1"/>
      <protection locked="0"/>
    </xf>
    <xf numFmtId="167" fontId="38" fillId="5" borderId="0" xfId="21" applyNumberFormat="1" applyFont="1" applyFill="1" applyAlignment="1" applyProtection="1">
      <alignment horizontal="center" vertical="center" wrapText="1"/>
      <protection locked="0"/>
    </xf>
    <xf numFmtId="0" fontId="38" fillId="5" borderId="0" xfId="21" applyFont="1" applyFill="1" applyAlignment="1">
      <alignment horizontal="center" vertical="center" wrapText="1"/>
    </xf>
    <xf numFmtId="0" fontId="38" fillId="5" borderId="0" xfId="0" applyFont="1" applyFill="1" applyAlignment="1">
      <alignment vertical="center"/>
    </xf>
    <xf numFmtId="164" fontId="38" fillId="5" borderId="0" xfId="73" applyFont="1" applyFill="1" applyAlignment="1">
      <alignment horizontal="left" vertical="center" wrapText="1"/>
    </xf>
    <xf numFmtId="0" fontId="49" fillId="5" borderId="0" xfId="91" applyFont="1" applyFill="1" applyAlignment="1">
      <alignment horizontal="center" vertical="center" wrapText="1"/>
    </xf>
    <xf numFmtId="167" fontId="39" fillId="5" borderId="0" xfId="21" applyNumberFormat="1" applyFont="1" applyFill="1" applyAlignment="1" applyProtection="1">
      <alignment horizontal="center" vertical="center" wrapText="1"/>
      <protection locked="0"/>
    </xf>
    <xf numFmtId="0" fontId="53" fillId="5" borderId="7" xfId="0" applyFont="1" applyFill="1" applyBorder="1" applyAlignment="1">
      <alignment horizontal="center"/>
    </xf>
    <xf numFmtId="0" fontId="53" fillId="5" borderId="7" xfId="0" applyFont="1" applyFill="1" applyBorder="1" applyAlignment="1">
      <alignment horizontal="left"/>
    </xf>
    <xf numFmtId="164" fontId="0" fillId="5" borderId="27" xfId="73" applyFont="1" applyFill="1" applyBorder="1" applyAlignment="1">
      <alignment horizontal="center" vertical="center"/>
    </xf>
    <xf numFmtId="0" fontId="34" fillId="5" borderId="12" xfId="21" applyFont="1" applyFill="1" applyBorder="1" applyAlignment="1">
      <alignment horizontal="center" vertical="center" wrapText="1"/>
    </xf>
    <xf numFmtId="0" fontId="35" fillId="5" borderId="13" xfId="21" applyFont="1" applyFill="1" applyBorder="1" applyAlignment="1">
      <alignment horizontal="center" vertical="center" wrapText="1"/>
    </xf>
    <xf numFmtId="0" fontId="8" fillId="0" borderId="12" xfId="23" applyFill="1" applyBorder="1" applyAlignment="1">
      <alignment horizontal="left" vertical="center" wrapText="1"/>
    </xf>
    <xf numFmtId="0" fontId="1" fillId="0" borderId="0" xfId="21" applyFill="1" applyAlignment="1">
      <alignment vertical="center"/>
    </xf>
    <xf numFmtId="0" fontId="34" fillId="5" borderId="0" xfId="68" applyFont="1" applyFill="1" applyAlignment="1">
      <alignment vertical="center" wrapText="1"/>
    </xf>
    <xf numFmtId="0" fontId="34" fillId="5" borderId="0" xfId="68" applyFont="1" applyFill="1" applyAlignment="1">
      <alignment horizontal="left" vertical="center" wrapText="1"/>
    </xf>
    <xf numFmtId="0" fontId="48" fillId="5" borderId="13" xfId="0" applyFont="1" applyFill="1" applyBorder="1" applyAlignment="1">
      <alignment horizontal="center" vertical="center"/>
    </xf>
    <xf numFmtId="4" fontId="48" fillId="5" borderId="13" xfId="0" applyNumberFormat="1" applyFont="1" applyFill="1" applyBorder="1" applyAlignment="1">
      <alignment horizontal="left" vertical="center"/>
    </xf>
    <xf numFmtId="4" fontId="53" fillId="5" borderId="13" xfId="0" applyNumberFormat="1" applyFont="1" applyFill="1" applyBorder="1" applyAlignment="1">
      <alignment horizontal="left" vertical="center"/>
    </xf>
    <xf numFmtId="164" fontId="0" fillId="5" borderId="25" xfId="73" applyFont="1" applyFill="1" applyBorder="1" applyAlignment="1">
      <alignment vertical="center"/>
    </xf>
    <xf numFmtId="164" fontId="1" fillId="5" borderId="25" xfId="73" applyFill="1" applyBorder="1" applyAlignment="1">
      <alignment vertical="center"/>
    </xf>
    <xf numFmtId="164" fontId="38" fillId="5" borderId="0" xfId="73" applyFont="1" applyFill="1" applyBorder="1" applyAlignment="1">
      <alignment vertical="center"/>
    </xf>
    <xf numFmtId="164" fontId="38" fillId="5" borderId="0" xfId="73" applyFont="1" applyFill="1" applyBorder="1" applyAlignment="1">
      <alignment horizontal="center" vertical="center"/>
    </xf>
    <xf numFmtId="164" fontId="0" fillId="5" borderId="0" xfId="73" applyFont="1" applyFill="1" applyBorder="1" applyAlignment="1">
      <alignment vertical="center"/>
    </xf>
    <xf numFmtId="164" fontId="33" fillId="5" borderId="25" xfId="73" applyFont="1" applyFill="1" applyBorder="1" applyAlignment="1">
      <alignment horizontal="center" vertical="center" wrapText="1"/>
    </xf>
    <xf numFmtId="164" fontId="33" fillId="5" borderId="0" xfId="73" applyFont="1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>
      <alignment horizontal="center" vertical="center"/>
    </xf>
    <xf numFmtId="164" fontId="11" fillId="5" borderId="0" xfId="73" applyFont="1" applyFill="1" applyBorder="1" applyAlignment="1">
      <alignment horizontal="center" vertical="center" wrapText="1"/>
    </xf>
    <xf numFmtId="4" fontId="1" fillId="5" borderId="25" xfId="68" applyNumberFormat="1" applyFill="1" applyBorder="1" applyAlignment="1">
      <alignment horizontal="center" vertical="center" wrapText="1"/>
    </xf>
    <xf numFmtId="4" fontId="1" fillId="5" borderId="25" xfId="68" applyNumberFormat="1" applyFill="1" applyBorder="1" applyAlignment="1" applyProtection="1">
      <alignment horizontal="center" vertical="center" wrapText="1"/>
      <protection locked="0"/>
    </xf>
    <xf numFmtId="3" fontId="33" fillId="5" borderId="0" xfId="68" applyNumberFormat="1" applyFont="1" applyFill="1" applyAlignment="1">
      <alignment horizontal="left" vertical="center" wrapText="1"/>
    </xf>
    <xf numFmtId="164" fontId="35" fillId="5" borderId="54" xfId="73" applyFont="1" applyFill="1" applyBorder="1" applyAlignment="1">
      <alignment horizontal="center" vertical="center" wrapText="1"/>
    </xf>
    <xf numFmtId="0" fontId="1" fillId="5" borderId="0" xfId="68" applyFill="1" applyAlignment="1">
      <alignment horizontal="left" vertical="center" wrapText="1"/>
    </xf>
    <xf numFmtId="0" fontId="33" fillId="5" borderId="0" xfId="68" applyFont="1" applyFill="1" applyAlignment="1">
      <alignment horizontal="center" vertical="center" wrapText="1"/>
    </xf>
    <xf numFmtId="164" fontId="0" fillId="5" borderId="0" xfId="73" applyFont="1" applyFill="1" applyBorder="1" applyAlignment="1" applyProtection="1">
      <alignment horizontal="left" vertical="center" wrapText="1"/>
    </xf>
    <xf numFmtId="164" fontId="35" fillId="5" borderId="0" xfId="73" applyFont="1" applyFill="1" applyBorder="1" applyAlignment="1">
      <alignment horizontal="center" vertical="center" wrapText="1"/>
    </xf>
    <xf numFmtId="0" fontId="7" fillId="5" borderId="7" xfId="22" quotePrefix="1" applyFill="1" applyBorder="1" applyAlignment="1">
      <alignment horizontal="left" vertical="center" wrapText="1"/>
    </xf>
    <xf numFmtId="0" fontId="7" fillId="5" borderId="1" xfId="26" applyFont="1" applyFill="1" applyBorder="1" applyAlignment="1">
      <alignment horizontal="left" vertical="center" wrapText="1"/>
    </xf>
    <xf numFmtId="0" fontId="7" fillId="0" borderId="44" xfId="26" applyFont="1" applyFill="1" applyBorder="1" applyAlignment="1">
      <alignment horizontal="left" vertical="center" wrapText="1"/>
    </xf>
    <xf numFmtId="164" fontId="35" fillId="5" borderId="34" xfId="73" applyFont="1" applyFill="1" applyBorder="1" applyAlignment="1">
      <alignment horizontal="center" vertical="center" wrapText="1"/>
    </xf>
    <xf numFmtId="164" fontId="49" fillId="5" borderId="34" xfId="73" applyFont="1" applyFill="1" applyBorder="1" applyAlignment="1">
      <alignment horizontal="center" vertical="center" wrapText="1"/>
    </xf>
    <xf numFmtId="0" fontId="34" fillId="0" borderId="10" xfId="68" applyFont="1" applyBorder="1" applyAlignment="1">
      <alignment horizontal="center" vertical="center" wrapText="1"/>
    </xf>
    <xf numFmtId="164" fontId="33" fillId="5" borderId="11" xfId="73" applyFont="1" applyFill="1" applyBorder="1" applyAlignment="1">
      <alignment horizontal="center" vertical="center" wrapText="1"/>
    </xf>
    <xf numFmtId="0" fontId="11" fillId="5" borderId="0" xfId="26" applyFill="1" applyAlignment="1">
      <alignment horizontal="center" vertical="center" wrapText="1"/>
    </xf>
    <xf numFmtId="164" fontId="0" fillId="5" borderId="10" xfId="73" applyFont="1" applyFill="1" applyBorder="1" applyAlignment="1">
      <alignment vertical="center"/>
    </xf>
    <xf numFmtId="164" fontId="38" fillId="5" borderId="13" xfId="73" applyFont="1" applyFill="1" applyBorder="1" applyAlignment="1">
      <alignment horizontal="center" vertical="center"/>
    </xf>
    <xf numFmtId="164" fontId="35" fillId="5" borderId="55" xfId="73" applyFont="1" applyFill="1" applyBorder="1" applyAlignment="1">
      <alignment horizontal="center" vertical="center" wrapText="1"/>
    </xf>
    <xf numFmtId="164" fontId="35" fillId="5" borderId="14" xfId="73" applyFont="1" applyFill="1" applyBorder="1" applyAlignment="1">
      <alignment horizontal="center" vertical="center" wrapText="1"/>
    </xf>
    <xf numFmtId="164" fontId="33" fillId="5" borderId="23" xfId="73" applyFont="1" applyFill="1" applyBorder="1" applyAlignment="1" applyProtection="1">
      <alignment horizontal="center" vertical="center"/>
      <protection locked="0"/>
    </xf>
    <xf numFmtId="164" fontId="49" fillId="5" borderId="56" xfId="73" applyFont="1" applyFill="1" applyBorder="1" applyAlignment="1">
      <alignment horizontal="center" vertical="center" wrapText="1"/>
    </xf>
    <xf numFmtId="3" fontId="33" fillId="5" borderId="5" xfId="68" applyNumberFormat="1" applyFont="1" applyFill="1" applyBorder="1" applyAlignment="1">
      <alignment horizontal="center" vertical="center" wrapText="1"/>
    </xf>
    <xf numFmtId="164" fontId="49" fillId="5" borderId="0" xfId="73" applyFont="1" applyFill="1" applyBorder="1" applyAlignment="1">
      <alignment horizontal="center" vertical="center" wrapText="1"/>
    </xf>
    <xf numFmtId="3" fontId="33" fillId="5" borderId="57" xfId="68" applyNumberFormat="1" applyFont="1" applyFill="1" applyBorder="1" applyAlignment="1">
      <alignment horizontal="center" vertical="center" wrapText="1"/>
    </xf>
    <xf numFmtId="0" fontId="61" fillId="0" borderId="0" xfId="26" applyFont="1" applyFill="1" applyAlignment="1">
      <alignment horizontal="center" vertical="center" wrapText="1"/>
    </xf>
    <xf numFmtId="3" fontId="33" fillId="5" borderId="13" xfId="4" applyNumberFormat="1" applyFont="1" applyFill="1" applyBorder="1" applyAlignment="1" applyProtection="1">
      <alignment horizontal="center" vertical="center"/>
      <protection locked="0"/>
    </xf>
    <xf numFmtId="164" fontId="33" fillId="5" borderId="13" xfId="73" applyFont="1" applyFill="1" applyBorder="1" applyAlignment="1" applyProtection="1">
      <alignment horizontal="center" vertical="center"/>
      <protection locked="0"/>
    </xf>
    <xf numFmtId="164" fontId="33" fillId="5" borderId="36" xfId="73" applyFont="1" applyFill="1" applyBorder="1" applyAlignment="1" applyProtection="1">
      <alignment horizontal="center" vertical="center"/>
      <protection locked="0"/>
    </xf>
    <xf numFmtId="164" fontId="33" fillId="5" borderId="58" xfId="73" applyFont="1" applyFill="1" applyBorder="1" applyAlignment="1" applyProtection="1">
      <alignment horizontal="center" vertical="center"/>
      <protection locked="0"/>
    </xf>
    <xf numFmtId="164" fontId="0" fillId="0" borderId="39" xfId="73" applyFont="1" applyFill="1" applyBorder="1" applyAlignment="1" applyProtection="1">
      <alignment horizontal="left" vertical="center" wrapText="1"/>
      <protection locked="0"/>
    </xf>
    <xf numFmtId="164" fontId="33" fillId="5" borderId="59" xfId="73" applyFont="1" applyFill="1" applyBorder="1" applyAlignment="1">
      <alignment horizontal="center" vertical="center" wrapText="1"/>
    </xf>
    <xf numFmtId="164" fontId="1" fillId="5" borderId="45" xfId="73" applyFill="1" applyBorder="1" applyAlignment="1">
      <alignment horizontal="center" vertical="center" wrapText="1"/>
    </xf>
    <xf numFmtId="164" fontId="1" fillId="5" borderId="45" xfId="73" applyFill="1" applyBorder="1" applyAlignment="1" applyProtection="1">
      <alignment horizontal="center" vertical="center" wrapText="1"/>
      <protection locked="0"/>
    </xf>
    <xf numFmtId="164" fontId="38" fillId="5" borderId="13" xfId="73" applyFont="1" applyFill="1" applyBorder="1" applyAlignment="1">
      <alignment vertical="center"/>
    </xf>
    <xf numFmtId="0" fontId="34" fillId="5" borderId="7" xfId="21" applyFont="1" applyFill="1" applyBorder="1" applyAlignment="1">
      <alignment horizontal="left" vertical="center" wrapText="1"/>
    </xf>
    <xf numFmtId="0" fontId="7" fillId="8" borderId="7" xfId="22" applyFill="1" applyBorder="1" applyAlignment="1">
      <alignment horizontal="left" vertical="center" wrapText="1"/>
    </xf>
    <xf numFmtId="164" fontId="35" fillId="5" borderId="61" xfId="73" applyFont="1" applyFill="1" applyBorder="1" applyAlignment="1">
      <alignment horizontal="center" vertical="center" wrapText="1"/>
    </xf>
    <xf numFmtId="0" fontId="11" fillId="0" borderId="63" xfId="26" applyFill="1" applyBorder="1" applyAlignment="1">
      <alignment vertical="center" wrapText="1"/>
    </xf>
    <xf numFmtId="0" fontId="11" fillId="0" borderId="64" xfId="26" applyFill="1" applyBorder="1" applyAlignment="1">
      <alignment vertical="center" wrapText="1"/>
    </xf>
    <xf numFmtId="164" fontId="35" fillId="5" borderId="65" xfId="73" applyFont="1" applyFill="1" applyBorder="1" applyAlignment="1">
      <alignment horizontal="center" vertical="center" wrapText="1"/>
    </xf>
    <xf numFmtId="0" fontId="49" fillId="5" borderId="0" xfId="21" applyFont="1" applyFill="1" applyAlignment="1">
      <alignment horizontal="center" vertical="center" wrapText="1"/>
    </xf>
    <xf numFmtId="0" fontId="46" fillId="8" borderId="41" xfId="87" applyFont="1" applyFill="1" applyBorder="1" applyAlignment="1">
      <alignment horizontal="center" vertical="center" wrapText="1"/>
    </xf>
    <xf numFmtId="0" fontId="46" fillId="8" borderId="0" xfId="87" applyFont="1" applyFill="1" applyAlignment="1">
      <alignment horizontal="left" vertical="center" wrapText="1"/>
    </xf>
    <xf numFmtId="0" fontId="46" fillId="8" borderId="41" xfId="23" applyFont="1" applyFill="1" applyBorder="1" applyAlignment="1">
      <alignment horizontal="center" vertical="center" wrapText="1"/>
    </xf>
    <xf numFmtId="0" fontId="46" fillId="8" borderId="44" xfId="23" applyFont="1" applyFill="1" applyBorder="1" applyAlignment="1">
      <alignment vertical="top" wrapText="1"/>
    </xf>
    <xf numFmtId="0" fontId="42" fillId="8" borderId="41" xfId="87" applyFill="1" applyBorder="1" applyAlignment="1">
      <alignment horizontal="center" vertical="top" wrapText="1"/>
    </xf>
    <xf numFmtId="0" fontId="43" fillId="8" borderId="12" xfId="88" applyFill="1" applyBorder="1" applyAlignment="1">
      <alignment horizontal="left" vertical="top" wrapText="1"/>
    </xf>
    <xf numFmtId="0" fontId="51" fillId="8" borderId="13" xfId="0" applyFont="1" applyFill="1" applyBorder="1"/>
    <xf numFmtId="0" fontId="53" fillId="5" borderId="21" xfId="0" applyFont="1" applyFill="1" applyBorder="1" applyAlignment="1">
      <alignment horizontal="center"/>
    </xf>
    <xf numFmtId="164" fontId="0" fillId="5" borderId="60" xfId="73" applyFont="1" applyFill="1" applyBorder="1" applyAlignment="1">
      <alignment horizontal="center" vertical="center"/>
    </xf>
    <xf numFmtId="0" fontId="0" fillId="0" borderId="0" xfId="21" applyFont="1" applyFill="1" applyAlignment="1">
      <alignment horizontal="left" vertical="top" wrapText="1"/>
    </xf>
    <xf numFmtId="164" fontId="35" fillId="5" borderId="6" xfId="73" applyFont="1" applyFill="1" applyBorder="1" applyAlignment="1">
      <alignment horizontal="center" vertical="center" wrapText="1"/>
    </xf>
    <xf numFmtId="0" fontId="7" fillId="0" borderId="31" xfId="26" applyFont="1" applyFill="1" applyBorder="1" applyAlignment="1">
      <alignment horizontal="left" vertical="top" wrapText="1" indent="2"/>
    </xf>
    <xf numFmtId="164" fontId="33" fillId="5" borderId="65" xfId="73" applyFont="1" applyFill="1" applyBorder="1" applyAlignment="1">
      <alignment horizontal="center" vertical="center" wrapText="1"/>
    </xf>
    <xf numFmtId="4" fontId="35" fillId="5" borderId="66" xfId="0" applyNumberFormat="1" applyFont="1" applyFill="1" applyBorder="1" applyAlignment="1">
      <alignment horizontal="center" vertical="center" wrapText="1"/>
    </xf>
    <xf numFmtId="4" fontId="35" fillId="5" borderId="67" xfId="0" applyNumberFormat="1" applyFont="1" applyFill="1" applyBorder="1" applyAlignment="1">
      <alignment horizontal="center" vertical="center" wrapText="1"/>
    </xf>
    <xf numFmtId="0" fontId="34" fillId="5" borderId="68" xfId="0" applyFont="1" applyFill="1" applyBorder="1" applyAlignment="1">
      <alignment horizontal="left" vertical="center" wrapText="1"/>
    </xf>
    <xf numFmtId="4" fontId="35" fillId="5" borderId="66" xfId="0" applyNumberFormat="1" applyFont="1" applyFill="1" applyBorder="1" applyAlignment="1">
      <alignment horizontal="right" vertical="center" wrapText="1"/>
    </xf>
    <xf numFmtId="4" fontId="0" fillId="5" borderId="66" xfId="0" applyNumberFormat="1" applyFill="1" applyBorder="1" applyAlignment="1">
      <alignment horizontal="left" vertical="center" wrapText="1"/>
    </xf>
    <xf numFmtId="4" fontId="35" fillId="5" borderId="67" xfId="0" applyNumberFormat="1" applyFont="1" applyFill="1" applyBorder="1" applyAlignment="1">
      <alignment horizontal="right" vertical="center" wrapText="1"/>
    </xf>
    <xf numFmtId="0" fontId="34" fillId="0" borderId="37" xfId="68" applyFont="1" applyBorder="1" applyAlignment="1">
      <alignment horizontal="left" vertical="center" wrapText="1"/>
    </xf>
    <xf numFmtId="4" fontId="34" fillId="0" borderId="29" xfId="68" applyNumberFormat="1" applyFont="1" applyBorder="1" applyAlignment="1">
      <alignment horizontal="center" vertical="center" wrapText="1"/>
    </xf>
    <xf numFmtId="4" fontId="34" fillId="0" borderId="69" xfId="68" applyNumberFormat="1" applyFont="1" applyBorder="1" applyAlignment="1">
      <alignment horizontal="center" vertical="center" wrapText="1"/>
    </xf>
    <xf numFmtId="9" fontId="34" fillId="0" borderId="69" xfId="68" applyNumberFormat="1" applyFont="1" applyBorder="1" applyAlignment="1">
      <alignment horizontal="center" vertical="center" wrapText="1"/>
    </xf>
    <xf numFmtId="4" fontId="34" fillId="0" borderId="70" xfId="68" applyNumberFormat="1" applyFont="1" applyBorder="1" applyAlignment="1">
      <alignment horizontal="center" vertical="center" wrapText="1"/>
    </xf>
    <xf numFmtId="9" fontId="34" fillId="0" borderId="70" xfId="68" applyNumberFormat="1" applyFont="1" applyBorder="1" applyAlignment="1">
      <alignment horizontal="center" vertical="center" wrapText="1"/>
    </xf>
    <xf numFmtId="4" fontId="34" fillId="0" borderId="71" xfId="68" applyNumberFormat="1" applyFont="1" applyBorder="1" applyAlignment="1">
      <alignment horizontal="center" vertical="center" wrapText="1"/>
    </xf>
    <xf numFmtId="9" fontId="34" fillId="0" borderId="71" xfId="68" applyNumberFormat="1" applyFont="1" applyBorder="1" applyAlignment="1">
      <alignment horizontal="center" vertical="center" wrapText="1"/>
    </xf>
    <xf numFmtId="0" fontId="7" fillId="0" borderId="16" xfId="26" applyFont="1" applyFill="1" applyBorder="1" applyAlignment="1">
      <alignment horizontal="left" vertical="center" wrapText="1"/>
    </xf>
    <xf numFmtId="0" fontId="11" fillId="0" borderId="72" xfId="26" applyFill="1" applyBorder="1" applyAlignment="1">
      <alignment horizontal="center" vertical="center" wrapText="1"/>
    </xf>
    <xf numFmtId="164" fontId="33" fillId="5" borderId="11" xfId="73" applyFont="1" applyFill="1" applyBorder="1" applyAlignment="1" applyProtection="1">
      <alignment horizontal="center" vertical="center" wrapText="1"/>
      <protection locked="0"/>
    </xf>
    <xf numFmtId="0" fontId="36" fillId="0" borderId="8" xfId="68" applyFont="1" applyFill="1" applyBorder="1" applyAlignment="1">
      <alignment horizontal="left" vertical="center" wrapText="1"/>
    </xf>
    <xf numFmtId="0" fontId="1" fillId="0" borderId="9" xfId="68" applyFill="1" applyBorder="1" applyAlignment="1">
      <alignment horizontal="left" vertical="center" wrapText="1"/>
    </xf>
    <xf numFmtId="0" fontId="33" fillId="0" borderId="10" xfId="68" applyFont="1" applyFill="1" applyBorder="1" applyAlignment="1">
      <alignment horizontal="left" vertical="center" wrapText="1"/>
    </xf>
    <xf numFmtId="164" fontId="0" fillId="0" borderId="10" xfId="73" applyFont="1" applyFill="1" applyBorder="1" applyAlignment="1" applyProtection="1">
      <alignment horizontal="left" vertical="center"/>
      <protection locked="0"/>
    </xf>
    <xf numFmtId="0" fontId="1" fillId="0" borderId="10" xfId="68" applyFill="1" applyBorder="1" applyAlignment="1">
      <alignment horizontal="center" vertical="center" wrapText="1"/>
    </xf>
    <xf numFmtId="164" fontId="0" fillId="0" borderId="10" xfId="73" applyFont="1" applyFill="1" applyBorder="1" applyAlignment="1" applyProtection="1">
      <alignment horizontal="left" wrapText="1"/>
      <protection locked="0"/>
    </xf>
    <xf numFmtId="0" fontId="62" fillId="5" borderId="0" xfId="0" applyFont="1" applyFill="1" applyAlignment="1">
      <alignment horizontal="center"/>
    </xf>
    <xf numFmtId="0" fontId="62" fillId="5" borderId="0" xfId="0" applyFont="1" applyFill="1"/>
    <xf numFmtId="0" fontId="63" fillId="5" borderId="0" xfId="0" applyFont="1" applyFill="1" applyAlignment="1">
      <alignment horizontal="center"/>
    </xf>
    <xf numFmtId="0" fontId="62" fillId="5" borderId="75" xfId="0" applyFont="1" applyFill="1" applyBorder="1" applyAlignment="1">
      <alignment horizontal="center"/>
    </xf>
    <xf numFmtId="0" fontId="64" fillId="5" borderId="75" xfId="0" applyFont="1" applyFill="1" applyBorder="1" applyAlignment="1">
      <alignment horizontal="center"/>
    </xf>
    <xf numFmtId="0" fontId="63" fillId="5" borderId="75" xfId="0" applyFont="1" applyFill="1" applyBorder="1" applyAlignment="1">
      <alignment horizontal="center"/>
    </xf>
    <xf numFmtId="0" fontId="62" fillId="5" borderId="75" xfId="0" applyFont="1" applyFill="1" applyBorder="1" applyAlignment="1">
      <alignment horizontal="left"/>
    </xf>
    <xf numFmtId="0" fontId="63" fillId="5" borderId="75" xfId="0" applyFont="1" applyFill="1" applyBorder="1" applyAlignment="1">
      <alignment horizontal="left"/>
    </xf>
    <xf numFmtId="0" fontId="53" fillId="5" borderId="0" xfId="0" applyFont="1" applyFill="1"/>
    <xf numFmtId="0" fontId="62" fillId="5" borderId="34" xfId="0" applyFont="1" applyFill="1" applyBorder="1" applyAlignment="1">
      <alignment horizontal="center"/>
    </xf>
    <xf numFmtId="0" fontId="64" fillId="5" borderId="29" xfId="0" applyFont="1" applyFill="1" applyBorder="1" applyAlignment="1">
      <alignment horizontal="center"/>
    </xf>
    <xf numFmtId="4" fontId="63" fillId="5" borderId="34" xfId="0" applyNumberFormat="1" applyFont="1" applyFill="1" applyBorder="1" applyAlignment="1">
      <alignment horizontal="center"/>
    </xf>
    <xf numFmtId="0" fontId="62" fillId="5" borderId="75" xfId="0" applyFont="1" applyFill="1" applyBorder="1" applyAlignment="1">
      <alignment horizontal="center" vertical="center"/>
    </xf>
    <xf numFmtId="0" fontId="63" fillId="5" borderId="75" xfId="0" applyFont="1" applyFill="1" applyBorder="1" applyAlignment="1">
      <alignment horizontal="left" wrapText="1"/>
    </xf>
    <xf numFmtId="0" fontId="63" fillId="5" borderId="75" xfId="0" applyFont="1" applyFill="1" applyBorder="1" applyAlignment="1">
      <alignment horizontal="left" vertical="center"/>
    </xf>
    <xf numFmtId="0" fontId="62" fillId="5" borderId="75" xfId="0" applyFont="1" applyFill="1" applyBorder="1" applyAlignment="1">
      <alignment horizontal="left" vertical="center"/>
    </xf>
    <xf numFmtId="0" fontId="62" fillId="5" borderId="75" xfId="0" applyFont="1" applyFill="1" applyBorder="1"/>
    <xf numFmtId="0" fontId="62" fillId="5" borderId="34" xfId="0" applyFont="1" applyFill="1" applyBorder="1"/>
    <xf numFmtId="164" fontId="63" fillId="5" borderId="34" xfId="0" applyNumberFormat="1" applyFont="1" applyFill="1" applyBorder="1" applyAlignment="1">
      <alignment horizontal="center" vertical="center"/>
    </xf>
    <xf numFmtId="0" fontId="62" fillId="5" borderId="75" xfId="17" applyFont="1" applyFill="1" applyBorder="1" applyAlignment="1">
      <alignment horizontal="left"/>
    </xf>
    <xf numFmtId="0" fontId="63" fillId="5" borderId="75" xfId="17" applyFont="1" applyFill="1" applyBorder="1" applyAlignment="1">
      <alignment horizontal="left"/>
    </xf>
    <xf numFmtId="0" fontId="62" fillId="5" borderId="75" xfId="17" applyFont="1" applyFill="1" applyBorder="1" applyAlignment="1">
      <alignment horizontal="center"/>
    </xf>
    <xf numFmtId="0" fontId="62" fillId="5" borderId="75" xfId="17" applyFont="1" applyFill="1" applyBorder="1" applyAlignment="1">
      <alignment horizontal="left" vertical="center" wrapText="1"/>
    </xf>
    <xf numFmtId="0" fontId="62" fillId="5" borderId="50" xfId="0" applyFont="1" applyFill="1" applyBorder="1" applyAlignment="1">
      <alignment horizontal="center"/>
    </xf>
    <xf numFmtId="0" fontId="64" fillId="5" borderId="50" xfId="0" applyFont="1" applyFill="1" applyBorder="1" applyAlignment="1">
      <alignment horizontal="center"/>
    </xf>
    <xf numFmtId="0" fontId="63" fillId="5" borderId="50" xfId="0" applyFont="1" applyFill="1" applyBorder="1" applyAlignment="1">
      <alignment horizontal="center"/>
    </xf>
    <xf numFmtId="0" fontId="63" fillId="5" borderId="0" xfId="0" applyFont="1" applyFill="1"/>
    <xf numFmtId="0" fontId="62" fillId="5" borderId="0" xfId="0" applyFont="1" applyFill="1" applyAlignment="1">
      <alignment horizontal="left"/>
    </xf>
    <xf numFmtId="0" fontId="63" fillId="5" borderId="0" xfId="0" applyFont="1" applyFill="1" applyAlignment="1">
      <alignment horizontal="left"/>
    </xf>
    <xf numFmtId="0" fontId="64" fillId="5" borderId="0" xfId="0" applyFont="1" applyFill="1" applyAlignment="1">
      <alignment horizontal="left"/>
    </xf>
    <xf numFmtId="164" fontId="63" fillId="5" borderId="0" xfId="0" applyNumberFormat="1" applyFont="1" applyFill="1" applyAlignment="1">
      <alignment horizontal="center" vertical="center"/>
    </xf>
    <xf numFmtId="0" fontId="63" fillId="5" borderId="44" xfId="0" applyFont="1" applyFill="1" applyBorder="1" applyAlignment="1">
      <alignment horizontal="center"/>
    </xf>
    <xf numFmtId="0" fontId="48" fillId="5" borderId="44" xfId="0" applyFont="1" applyFill="1" applyBorder="1" applyAlignment="1">
      <alignment horizontal="center"/>
    </xf>
    <xf numFmtId="170" fontId="63" fillId="5" borderId="77" xfId="73" applyNumberFormat="1" applyFont="1" applyFill="1" applyBorder="1" applyAlignment="1">
      <alignment horizontal="center" vertical="center" textRotation="90" wrapText="1"/>
    </xf>
    <xf numFmtId="0" fontId="62" fillId="5" borderId="36" xfId="0" applyFont="1" applyFill="1" applyBorder="1" applyAlignment="1">
      <alignment horizontal="center"/>
    </xf>
    <xf numFmtId="4" fontId="62" fillId="5" borderId="36" xfId="0" applyNumberFormat="1" applyFont="1" applyFill="1" applyBorder="1" applyAlignment="1">
      <alignment horizontal="center"/>
    </xf>
    <xf numFmtId="0" fontId="62" fillId="5" borderId="81" xfId="0" applyFont="1" applyFill="1" applyBorder="1" applyAlignment="1">
      <alignment horizontal="center"/>
    </xf>
    <xf numFmtId="170" fontId="63" fillId="5" borderId="79" xfId="73" applyNumberFormat="1" applyFont="1" applyFill="1" applyBorder="1" applyAlignment="1">
      <alignment horizontal="center" vertical="center" textRotation="90" wrapText="1"/>
    </xf>
    <xf numFmtId="4" fontId="62" fillId="5" borderId="81" xfId="0" applyNumberFormat="1" applyFont="1" applyFill="1" applyBorder="1" applyAlignment="1">
      <alignment horizontal="center"/>
    </xf>
    <xf numFmtId="0" fontId="62" fillId="5" borderId="80" xfId="0" applyFont="1" applyFill="1" applyBorder="1" applyAlignment="1">
      <alignment horizontal="center"/>
    </xf>
    <xf numFmtId="4" fontId="62" fillId="5" borderId="80" xfId="0" applyNumberFormat="1" applyFont="1" applyFill="1" applyBorder="1" applyAlignment="1">
      <alignment horizontal="center"/>
    </xf>
    <xf numFmtId="0" fontId="62" fillId="5" borderId="79" xfId="0" applyFont="1" applyFill="1" applyBorder="1" applyAlignment="1">
      <alignment horizontal="center"/>
    </xf>
    <xf numFmtId="4" fontId="62" fillId="5" borderId="79" xfId="0" applyNumberFormat="1" applyFont="1" applyFill="1" applyBorder="1" applyAlignment="1">
      <alignment horizontal="center"/>
    </xf>
    <xf numFmtId="4" fontId="63" fillId="5" borderId="36" xfId="0" applyNumberFormat="1" applyFont="1" applyFill="1" applyBorder="1" applyAlignment="1">
      <alignment horizontal="center"/>
    </xf>
    <xf numFmtId="164" fontId="63" fillId="5" borderId="36" xfId="0" applyNumberFormat="1" applyFont="1" applyFill="1" applyBorder="1" applyAlignment="1">
      <alignment horizontal="center" vertical="center"/>
    </xf>
    <xf numFmtId="0" fontId="64" fillId="5" borderId="0" xfId="0" applyFont="1" applyFill="1" applyAlignment="1">
      <alignment horizontal="center"/>
    </xf>
    <xf numFmtId="164" fontId="65" fillId="5" borderId="0" xfId="0" applyNumberFormat="1" applyFont="1" applyFill="1" applyAlignment="1">
      <alignment horizontal="center" vertical="center"/>
    </xf>
    <xf numFmtId="164" fontId="57" fillId="5" borderId="0" xfId="73" applyFont="1" applyFill="1" applyBorder="1" applyAlignment="1" applyProtection="1">
      <alignment horizontal="center" vertical="center" wrapText="1"/>
      <protection locked="0"/>
    </xf>
    <xf numFmtId="0" fontId="63" fillId="5" borderId="75" xfId="0" applyFont="1" applyFill="1" applyBorder="1" applyAlignment="1">
      <alignment horizontal="left" vertical="center" wrapText="1"/>
    </xf>
    <xf numFmtId="0" fontId="62" fillId="5" borderId="73" xfId="0" applyFont="1" applyFill="1" applyBorder="1" applyAlignment="1">
      <alignment horizontal="center" vertical="center"/>
    </xf>
    <xf numFmtId="0" fontId="63" fillId="5" borderId="73" xfId="0" applyFont="1" applyFill="1" applyBorder="1" applyAlignment="1">
      <alignment horizontal="left"/>
    </xf>
    <xf numFmtId="0" fontId="63" fillId="5" borderId="76" xfId="0" applyFont="1" applyFill="1" applyBorder="1" applyAlignment="1">
      <alignment horizontal="center"/>
    </xf>
    <xf numFmtId="4" fontId="62" fillId="5" borderId="77" xfId="0" applyNumberFormat="1" applyFont="1" applyFill="1" applyBorder="1" applyAlignment="1">
      <alignment horizontal="center"/>
    </xf>
    <xf numFmtId="4" fontId="34" fillId="5" borderId="70" xfId="68" applyNumberFormat="1" applyFont="1" applyFill="1" applyBorder="1" applyAlignment="1">
      <alignment horizontal="center" vertical="center" wrapText="1"/>
    </xf>
    <xf numFmtId="9" fontId="34" fillId="5" borderId="70" xfId="68" applyNumberFormat="1" applyFont="1" applyFill="1" applyBorder="1" applyAlignment="1">
      <alignment horizontal="center" vertical="center" wrapText="1"/>
    </xf>
    <xf numFmtId="4" fontId="34" fillId="5" borderId="29" xfId="68" applyNumberFormat="1" applyFont="1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33" fillId="5" borderId="0" xfId="68" applyFont="1" applyFill="1" applyAlignment="1">
      <alignment horizontal="center" vertical="center"/>
    </xf>
    <xf numFmtId="0" fontId="11" fillId="0" borderId="62" xfId="26" applyFill="1" applyBorder="1" applyAlignment="1">
      <alignment horizontal="center" vertical="center" wrapText="1"/>
    </xf>
    <xf numFmtId="0" fontId="11" fillId="0" borderId="32" xfId="26" applyFill="1" applyBorder="1" applyAlignment="1">
      <alignment horizontal="center" vertical="center" wrapText="1"/>
    </xf>
    <xf numFmtId="0" fontId="34" fillId="0" borderId="0" xfId="68" applyFont="1" applyAlignment="1">
      <alignment horizontal="left" vertical="top" wrapText="1"/>
    </xf>
    <xf numFmtId="0" fontId="0" fillId="0" borderId="1" xfId="21" applyFont="1" applyBorder="1" applyAlignment="1">
      <alignment horizontal="center" vertical="center" wrapText="1"/>
    </xf>
    <xf numFmtId="0" fontId="0" fillId="0" borderId="2" xfId="21" applyFont="1" applyBorder="1" applyAlignment="1">
      <alignment horizontal="center" vertical="center" wrapText="1"/>
    </xf>
    <xf numFmtId="0" fontId="0" fillId="0" borderId="3" xfId="21" applyFont="1" applyBorder="1" applyAlignment="1">
      <alignment horizontal="center" vertical="center" wrapText="1"/>
    </xf>
    <xf numFmtId="0" fontId="34" fillId="0" borderId="0" xfId="68" applyFont="1" applyAlignment="1">
      <alignment horizontal="center" vertical="center" wrapText="1"/>
    </xf>
    <xf numFmtId="0" fontId="0" fillId="0" borderId="21" xfId="21" applyFont="1" applyBorder="1" applyAlignment="1">
      <alignment horizontal="center" vertical="top" wrapText="1"/>
    </xf>
    <xf numFmtId="0" fontId="0" fillId="0" borderId="27" xfId="21" applyFont="1" applyBorder="1" applyAlignment="1">
      <alignment horizontal="center" vertical="top" wrapText="1"/>
    </xf>
    <xf numFmtId="0" fontId="11" fillId="0" borderId="51" xfId="26" applyFill="1" applyBorder="1" applyAlignment="1">
      <alignment horizontal="center" vertical="top" wrapText="1"/>
    </xf>
    <xf numFmtId="0" fontId="11" fillId="0" borderId="32" xfId="26" applyFill="1" applyBorder="1" applyAlignment="1">
      <alignment horizontal="center" vertical="top" wrapText="1"/>
    </xf>
    <xf numFmtId="0" fontId="11" fillId="0" borderId="33" xfId="26" applyFill="1" applyBorder="1" applyAlignment="1">
      <alignment horizontal="center" vertical="top" wrapText="1"/>
    </xf>
    <xf numFmtId="0" fontId="33" fillId="0" borderId="0" xfId="21" applyFont="1" applyAlignment="1">
      <alignment horizontal="center"/>
    </xf>
    <xf numFmtId="0" fontId="0" fillId="0" borderId="27" xfId="92" applyFont="1" applyBorder="1" applyAlignment="1">
      <alignment horizontal="center" vertical="top" wrapText="1"/>
    </xf>
    <xf numFmtId="0" fontId="35" fillId="0" borderId="0" xfId="92" applyFont="1" applyAlignment="1">
      <alignment horizontal="center" vertical="top" wrapText="1"/>
    </xf>
    <xf numFmtId="0" fontId="46" fillId="0" borderId="37" xfId="91" applyFill="1" applyBorder="1" applyAlignment="1">
      <alignment horizontal="center" vertical="top" wrapText="1"/>
    </xf>
    <xf numFmtId="0" fontId="46" fillId="0" borderId="28" xfId="91" applyFill="1" applyBorder="1" applyAlignment="1">
      <alignment horizontal="center" vertical="top" wrapText="1"/>
    </xf>
    <xf numFmtId="0" fontId="46" fillId="0" borderId="29" xfId="91" applyFill="1" applyBorder="1" applyAlignment="1">
      <alignment horizontal="center" vertical="top" wrapText="1"/>
    </xf>
    <xf numFmtId="0" fontId="63" fillId="5" borderId="0" xfId="0" applyFont="1" applyFill="1" applyAlignment="1">
      <alignment horizontal="center"/>
    </xf>
    <xf numFmtId="0" fontId="63" fillId="5" borderId="0" xfId="0" applyFont="1" applyFill="1" applyAlignment="1">
      <alignment horizontal="left" vertical="top" wrapText="1"/>
    </xf>
    <xf numFmtId="170" fontId="63" fillId="5" borderId="79" xfId="73" applyNumberFormat="1" applyFont="1" applyFill="1" applyBorder="1" applyAlignment="1">
      <alignment horizontal="center" vertical="center" wrapText="1"/>
    </xf>
    <xf numFmtId="170" fontId="63" fillId="5" borderId="80" xfId="73" applyNumberFormat="1" applyFont="1" applyFill="1" applyBorder="1" applyAlignment="1">
      <alignment horizontal="center" vertical="center" wrapText="1"/>
    </xf>
    <xf numFmtId="170" fontId="63" fillId="5" borderId="77" xfId="73" applyNumberFormat="1" applyFont="1" applyFill="1" applyBorder="1" applyAlignment="1">
      <alignment horizontal="center" vertical="center" wrapText="1"/>
    </xf>
    <xf numFmtId="170" fontId="63" fillId="5" borderId="78" xfId="73" applyNumberFormat="1" applyFont="1" applyFill="1" applyBorder="1" applyAlignment="1">
      <alignment horizontal="center" vertical="center" wrapText="1"/>
    </xf>
    <xf numFmtId="0" fontId="35" fillId="5" borderId="0" xfId="92" applyFont="1" applyFill="1" applyAlignment="1">
      <alignment horizontal="center" vertical="top" wrapText="1"/>
    </xf>
    <xf numFmtId="0" fontId="64" fillId="5" borderId="37" xfId="0" applyFont="1" applyFill="1" applyBorder="1" applyAlignment="1">
      <alignment horizontal="center"/>
    </xf>
    <xf numFmtId="0" fontId="64" fillId="5" borderId="28" xfId="0" applyFont="1" applyFill="1" applyBorder="1" applyAlignment="1">
      <alignment horizontal="center"/>
    </xf>
    <xf numFmtId="0" fontId="64" fillId="5" borderId="29" xfId="0" applyFont="1" applyFill="1" applyBorder="1" applyAlignment="1">
      <alignment horizontal="center"/>
    </xf>
    <xf numFmtId="0" fontId="63" fillId="5" borderId="34" xfId="0" applyFont="1" applyFill="1" applyBorder="1" applyAlignment="1">
      <alignment horizontal="center" vertical="center"/>
    </xf>
    <xf numFmtId="0" fontId="63" fillId="5" borderId="73" xfId="0" applyFont="1" applyFill="1" applyBorder="1" applyAlignment="1">
      <alignment horizontal="center" vertical="center" wrapText="1"/>
    </xf>
    <xf numFmtId="0" fontId="63" fillId="5" borderId="74" xfId="0" applyFont="1" applyFill="1" applyBorder="1" applyAlignment="1">
      <alignment horizontal="center" vertical="center" wrapText="1"/>
    </xf>
    <xf numFmtId="0" fontId="63" fillId="5" borderId="37" xfId="0" applyFont="1" applyFill="1" applyBorder="1" applyAlignment="1">
      <alignment horizontal="center" vertical="center"/>
    </xf>
    <xf numFmtId="0" fontId="49" fillId="5" borderId="1" xfId="91" applyFont="1" applyFill="1" applyBorder="1" applyAlignment="1">
      <alignment horizontal="center" vertical="center" wrapText="1"/>
    </xf>
    <xf numFmtId="0" fontId="49" fillId="5" borderId="2" xfId="91" applyFont="1" applyFill="1" applyBorder="1" applyAlignment="1">
      <alignment horizontal="center" vertical="center" wrapText="1"/>
    </xf>
    <xf numFmtId="0" fontId="49" fillId="5" borderId="3" xfId="91" applyFont="1" applyFill="1" applyBorder="1" applyAlignment="1">
      <alignment horizontal="center" vertical="center" wrapText="1"/>
    </xf>
    <xf numFmtId="0" fontId="38" fillId="5" borderId="0" xfId="0" applyFont="1" applyFill="1" applyAlignment="1">
      <alignment horizontal="center"/>
    </xf>
    <xf numFmtId="0" fontId="1" fillId="0" borderId="27" xfId="68" applyBorder="1" applyAlignment="1">
      <alignment horizontal="left" vertical="center" wrapText="1"/>
    </xf>
    <xf numFmtId="0" fontId="34" fillId="5" borderId="0" xfId="68" applyFont="1" applyFill="1" applyAlignment="1">
      <alignment horizontal="center" vertical="center" wrapText="1"/>
    </xf>
    <xf numFmtId="0" fontId="11" fillId="0" borderId="2" xfId="26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93">
    <cellStyle name="ArtDescriptif" xfId="52" xr:uid="{00000000-0005-0000-0000-000000000000}"/>
    <cellStyle name="ArtLibelleCond" xfId="51" xr:uid="{00000000-0005-0000-0000-000001000000}"/>
    <cellStyle name="ArtNote1" xfId="25" xr:uid="{00000000-0005-0000-0000-000002000000}"/>
    <cellStyle name="ArtNote1 2" xfId="90" xr:uid="{04FAA515-B5A8-4F12-92B1-5B95B4783220}"/>
    <cellStyle name="ArtNote2" xfId="53" xr:uid="{00000000-0005-0000-0000-000003000000}"/>
    <cellStyle name="ArtNote3" xfId="54" xr:uid="{00000000-0005-0000-0000-000004000000}"/>
    <cellStyle name="ArtNote4" xfId="55" xr:uid="{00000000-0005-0000-0000-000005000000}"/>
    <cellStyle name="ArtNote5" xfId="56" xr:uid="{00000000-0005-0000-0000-000006000000}"/>
    <cellStyle name="ArtQuantite" xfId="57" xr:uid="{00000000-0005-0000-0000-000007000000}"/>
    <cellStyle name="ArtTitre" xfId="20" xr:uid="{00000000-0005-0000-0000-000008000000}"/>
    <cellStyle name="ArtTitre 2" xfId="75" xr:uid="{00000000-0005-0000-0000-000009000000}"/>
    <cellStyle name="ChapDescriptif0" xfId="35" xr:uid="{00000000-0005-0000-0000-00000A000000}"/>
    <cellStyle name="ChapDescriptif1" xfId="38" xr:uid="{00000000-0005-0000-0000-00000B000000}"/>
    <cellStyle name="ChapDescriptif2" xfId="40" xr:uid="{00000000-0005-0000-0000-00000C000000}"/>
    <cellStyle name="ChapDescriptif3" xfId="44" xr:uid="{00000000-0005-0000-0000-00000D000000}"/>
    <cellStyle name="ChapDescriptif4" xfId="48" xr:uid="{00000000-0005-0000-0000-00000E000000}"/>
    <cellStyle name="ChapNote0" xfId="36" xr:uid="{00000000-0005-0000-0000-00000F000000}"/>
    <cellStyle name="ChapNote1" xfId="39" xr:uid="{00000000-0005-0000-0000-000010000000}"/>
    <cellStyle name="ChapNote2" xfId="41" xr:uid="{00000000-0005-0000-0000-000011000000}"/>
    <cellStyle name="ChapNote3" xfId="45" xr:uid="{00000000-0005-0000-0000-000012000000}"/>
    <cellStyle name="ChapNote4" xfId="49" xr:uid="{00000000-0005-0000-0000-000013000000}"/>
    <cellStyle name="ChapRecap0" xfId="37" xr:uid="{00000000-0005-0000-0000-000014000000}"/>
    <cellStyle name="ChapRecap1" xfId="26" xr:uid="{00000000-0005-0000-0000-000015000000}"/>
    <cellStyle name="ChapRecap1 2" xfId="91" xr:uid="{D1E3083D-8096-4848-BE13-04C8C0B0DA23}"/>
    <cellStyle name="ChapRecap2" xfId="42" xr:uid="{00000000-0005-0000-0000-000016000000}"/>
    <cellStyle name="ChapRecap3" xfId="46" xr:uid="{00000000-0005-0000-0000-000017000000}"/>
    <cellStyle name="ChapRecap4" xfId="50" xr:uid="{00000000-0005-0000-0000-000018000000}"/>
    <cellStyle name="ChapTitre0" xfId="23" xr:uid="{00000000-0005-0000-0000-000019000000}"/>
    <cellStyle name="ChapTitre1" xfId="24" xr:uid="{00000000-0005-0000-0000-00001A000000}"/>
    <cellStyle name="ChapTitre1 2" xfId="84" xr:uid="{95AAEE14-125C-4013-BBBB-0AB878DA8226}"/>
    <cellStyle name="ChapTitre1 2 2" xfId="88" xr:uid="{49DE27B2-C0EA-40C0-B0A9-4BEAE5C3418D}"/>
    <cellStyle name="ChapTitre2" xfId="19" xr:uid="{00000000-0005-0000-0000-00001B000000}"/>
    <cellStyle name="ChapTitre2 2" xfId="74" xr:uid="{00000000-0005-0000-0000-00001C000000}"/>
    <cellStyle name="ChapTitre2 2 2" xfId="89" xr:uid="{7EB20B9A-A4B1-44AE-B496-7C01CD4F3D82}"/>
    <cellStyle name="ChapTitre3" xfId="43" xr:uid="{00000000-0005-0000-0000-00001D000000}"/>
    <cellStyle name="ChapTitre4" xfId="47" xr:uid="{00000000-0005-0000-0000-00001E000000}"/>
    <cellStyle name="Comma 3" xfId="14" xr:uid="{00000000-0005-0000-0000-00001F000000}"/>
    <cellStyle name="DQLocQuantNonLoc" xfId="65" xr:uid="{00000000-0005-0000-0000-000020000000}"/>
    <cellStyle name="DQLocRefClass" xfId="64" xr:uid="{00000000-0005-0000-0000-000021000000}"/>
    <cellStyle name="DQLocStruct" xfId="66" xr:uid="{00000000-0005-0000-0000-000022000000}"/>
    <cellStyle name="DQMinutes" xfId="67" xr:uid="{00000000-0005-0000-0000-000023000000}"/>
    <cellStyle name="LocGen" xfId="59" xr:uid="{00000000-0005-0000-0000-000024000000}"/>
    <cellStyle name="LocLit" xfId="61" xr:uid="{00000000-0005-0000-0000-000025000000}"/>
    <cellStyle name="LocRefClass" xfId="60" xr:uid="{00000000-0005-0000-0000-000026000000}"/>
    <cellStyle name="LocSignetRep" xfId="63" xr:uid="{00000000-0005-0000-0000-000027000000}"/>
    <cellStyle name="LocStrRecap0" xfId="32" xr:uid="{00000000-0005-0000-0000-000028000000}"/>
    <cellStyle name="LocStrRecap1" xfId="34" xr:uid="{00000000-0005-0000-0000-000029000000}"/>
    <cellStyle name="LocStrTexte0" xfId="31" xr:uid="{00000000-0005-0000-0000-00002A000000}"/>
    <cellStyle name="LocStrTexte1" xfId="33" xr:uid="{00000000-0005-0000-0000-00002B000000}"/>
    <cellStyle name="LocStruct" xfId="62" xr:uid="{00000000-0005-0000-0000-00002C000000}"/>
    <cellStyle name="LocTitre" xfId="58" xr:uid="{00000000-0005-0000-0000-00002D000000}"/>
    <cellStyle name="Milliers" xfId="73" builtinId="3"/>
    <cellStyle name="Milliers 14 3 3 2" xfId="6" xr:uid="{00000000-0005-0000-0000-00002F000000}"/>
    <cellStyle name="Milliers 14 3 3 2 2" xfId="8" xr:uid="{00000000-0005-0000-0000-000030000000}"/>
    <cellStyle name="Milliers 14 3 3 2 2 2" xfId="79" xr:uid="{00000000-0005-0000-0000-000031000000}"/>
    <cellStyle name="Milliers 14 3 3 2 3" xfId="77" xr:uid="{00000000-0005-0000-0000-000032000000}"/>
    <cellStyle name="Milliers 2" xfId="4" xr:uid="{00000000-0005-0000-0000-000033000000}"/>
    <cellStyle name="Milliers 2 2" xfId="11" xr:uid="{00000000-0005-0000-0000-000034000000}"/>
    <cellStyle name="Milliers 2 3" xfId="28" xr:uid="{00000000-0005-0000-0000-000035000000}"/>
    <cellStyle name="Milliers 24" xfId="1" xr:uid="{00000000-0005-0000-0000-000036000000}"/>
    <cellStyle name="Milliers 3" xfId="7" xr:uid="{00000000-0005-0000-0000-000037000000}"/>
    <cellStyle name="Milliers 3 2" xfId="78" xr:uid="{00000000-0005-0000-0000-000038000000}"/>
    <cellStyle name="Milliers 4" xfId="9" xr:uid="{00000000-0005-0000-0000-000039000000}"/>
    <cellStyle name="Milliers 5" xfId="15" xr:uid="{00000000-0005-0000-0000-00003A000000}"/>
    <cellStyle name="Milliers 5 2" xfId="82" xr:uid="{00000000-0005-0000-0000-00003B000000}"/>
    <cellStyle name="Milliers 6" xfId="83" xr:uid="{00000000-0005-0000-0000-00003C000000}"/>
    <cellStyle name="Milliers 7" xfId="86" xr:uid="{9C7EE1EF-CDF1-46FA-9077-0458DBA82AAD}"/>
    <cellStyle name="Monétaire 2" xfId="5" xr:uid="{00000000-0005-0000-0000-00003D000000}"/>
    <cellStyle name="Monétaire 2 2" xfId="12" xr:uid="{00000000-0005-0000-0000-00003E000000}"/>
    <cellStyle name="Monétaire 2 2 2" xfId="81" xr:uid="{00000000-0005-0000-0000-00003F000000}"/>
    <cellStyle name="Monétaire 2 3" xfId="76" xr:uid="{00000000-0005-0000-0000-000040000000}"/>
    <cellStyle name="Monétaire 3" xfId="10" xr:uid="{00000000-0005-0000-0000-000041000000}"/>
    <cellStyle name="Monétaire 3 2" xfId="80" xr:uid="{00000000-0005-0000-0000-000042000000}"/>
    <cellStyle name="Normal" xfId="0" builtinId="0"/>
    <cellStyle name="Normal 10" xfId="68" xr:uid="{00000000-0005-0000-0000-000044000000}"/>
    <cellStyle name="Normal 11" xfId="69" xr:uid="{00000000-0005-0000-0000-000045000000}"/>
    <cellStyle name="Normal 12" xfId="70" xr:uid="{00000000-0005-0000-0000-000046000000}"/>
    <cellStyle name="Normal 13" xfId="71" xr:uid="{00000000-0005-0000-0000-000047000000}"/>
    <cellStyle name="Normal 14" xfId="72" xr:uid="{00000000-0005-0000-0000-000048000000}"/>
    <cellStyle name="Normal 2" xfId="16" xr:uid="{00000000-0005-0000-0000-000049000000}"/>
    <cellStyle name="Normal 2 2" xfId="18" xr:uid="{00000000-0005-0000-0000-00004A000000}"/>
    <cellStyle name="Normal 25" xfId="3" xr:uid="{00000000-0005-0000-0000-00004B000000}"/>
    <cellStyle name="Normal 3" xfId="13" xr:uid="{00000000-0005-0000-0000-00004C000000}"/>
    <cellStyle name="Normal 4" xfId="17" xr:uid="{00000000-0005-0000-0000-00004D000000}"/>
    <cellStyle name="Normal 5" xfId="21" xr:uid="{00000000-0005-0000-0000-00004E000000}"/>
    <cellStyle name="Normal 5 2" xfId="85" xr:uid="{28214C32-7CA8-4D96-AF15-B4AEA6AFC3BC}"/>
    <cellStyle name="Normal 5 2 2" xfId="92" xr:uid="{019B9944-CE9F-4F84-B2D0-396E28AE893B}"/>
    <cellStyle name="Normal 6" xfId="27" xr:uid="{00000000-0005-0000-0000-00004F000000}"/>
    <cellStyle name="Normal 7" xfId="29" xr:uid="{00000000-0005-0000-0000-000050000000}"/>
    <cellStyle name="Normal 8" xfId="2" xr:uid="{00000000-0005-0000-0000-000051000000}"/>
    <cellStyle name="Normal 9" xfId="30" xr:uid="{00000000-0005-0000-0000-000052000000}"/>
    <cellStyle name="Numerotation" xfId="22" xr:uid="{00000000-0005-0000-0000-000054000000}"/>
    <cellStyle name="Numerotation 2" xfId="87" xr:uid="{D1127ECD-33E1-474F-ACC4-D2193FB8D01E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95250</xdr:colOff>
      <xdr:row>2</xdr:row>
      <xdr:rowOff>58964</xdr:rowOff>
    </xdr:from>
    <xdr:to>
      <xdr:col>5</xdr:col>
      <xdr:colOff>793750</xdr:colOff>
      <xdr:row>6</xdr:row>
      <xdr:rowOff>74740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A383F96D-E548-4E18-B5CB-701B9CF6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74000" y="439964"/>
          <a:ext cx="698500" cy="766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189732</xdr:colOff>
      <xdr:row>0</xdr:row>
      <xdr:rowOff>105832</xdr:rowOff>
    </xdr:from>
    <xdr:to>
      <xdr:col>6</xdr:col>
      <xdr:colOff>710268</xdr:colOff>
      <xdr:row>0</xdr:row>
      <xdr:rowOff>677333</xdr:rowOff>
    </xdr:to>
    <xdr:pic>
      <xdr:nvPicPr>
        <xdr:cNvPr id="2" name="Forme3">
          <a:extLst>
            <a:ext uri="{FF2B5EF4-FFF2-40B4-BE49-F238E27FC236}">
              <a16:creationId xmlns:a16="http://schemas.microsoft.com/office/drawing/2014/main" id="{3845E098-ABFC-4ECC-87E4-1E253D8E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86399" y="105832"/>
          <a:ext cx="520536" cy="571501"/>
        </a:xfrm>
        <a:prstGeom prst="rect">
          <a:avLst/>
        </a:prstGeom>
      </xdr:spPr>
    </xdr:pic>
    <xdr:clientData/>
  </xdr:twoCellAnchor>
  <xdr:twoCellAnchor editAs="absolute">
    <xdr:from>
      <xdr:col>1</xdr:col>
      <xdr:colOff>484716</xdr:colOff>
      <xdr:row>0</xdr:row>
      <xdr:rowOff>117933</xdr:rowOff>
    </xdr:from>
    <xdr:to>
      <xdr:col>5</xdr:col>
      <xdr:colOff>412749</xdr:colOff>
      <xdr:row>0</xdr:row>
      <xdr:rowOff>740837</xdr:rowOff>
    </xdr:to>
    <xdr:sp macro="" textlink="">
      <xdr:nvSpPr>
        <xdr:cNvPr id="4" name="Forme1">
          <a:extLst>
            <a:ext uri="{FF2B5EF4-FFF2-40B4-BE49-F238E27FC236}">
              <a16:creationId xmlns:a16="http://schemas.microsoft.com/office/drawing/2014/main" id="{A5E5A274-939D-4312-BA58-0F72B92179E8}"/>
            </a:ext>
          </a:extLst>
        </xdr:cNvPr>
        <xdr:cNvSpPr/>
      </xdr:nvSpPr>
      <xdr:spPr>
        <a:xfrm>
          <a:off x="1130299" y="117933"/>
          <a:ext cx="5664200" cy="6229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348699</xdr:colOff>
      <xdr:row>0</xdr:row>
      <xdr:rowOff>55470</xdr:rowOff>
    </xdr:from>
    <xdr:to>
      <xdr:col>6</xdr:col>
      <xdr:colOff>847005</xdr:colOff>
      <xdr:row>0</xdr:row>
      <xdr:rowOff>674595</xdr:rowOff>
    </xdr:to>
    <xdr:pic>
      <xdr:nvPicPr>
        <xdr:cNvPr id="2" name="Forme3">
          <a:extLst>
            <a:ext uri="{FF2B5EF4-FFF2-40B4-BE49-F238E27FC236}">
              <a16:creationId xmlns:a16="http://schemas.microsoft.com/office/drawing/2014/main" id="{3FF70126-E3E9-42B6-8B29-264751B5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65405" y="55470"/>
          <a:ext cx="498306" cy="619125"/>
        </a:xfrm>
        <a:prstGeom prst="rect">
          <a:avLst/>
        </a:prstGeom>
      </xdr:spPr>
    </xdr:pic>
    <xdr:clientData/>
  </xdr:twoCellAnchor>
  <xdr:twoCellAnchor editAs="absolute">
    <xdr:from>
      <xdr:col>0</xdr:col>
      <xdr:colOff>259974</xdr:colOff>
      <xdr:row>0</xdr:row>
      <xdr:rowOff>86592</xdr:rowOff>
    </xdr:from>
    <xdr:to>
      <xdr:col>6</xdr:col>
      <xdr:colOff>201702</xdr:colOff>
      <xdr:row>0</xdr:row>
      <xdr:rowOff>609600</xdr:rowOff>
    </xdr:to>
    <xdr:sp macro="" textlink="">
      <xdr:nvSpPr>
        <xdr:cNvPr id="3" name="Forme1">
          <a:extLst>
            <a:ext uri="{FF2B5EF4-FFF2-40B4-BE49-F238E27FC236}">
              <a16:creationId xmlns:a16="http://schemas.microsoft.com/office/drawing/2014/main" id="{CB0D4472-CCE7-411A-A55A-A2798D59CBCA}"/>
            </a:ext>
          </a:extLst>
        </xdr:cNvPr>
        <xdr:cNvSpPr/>
      </xdr:nvSpPr>
      <xdr:spPr>
        <a:xfrm>
          <a:off x="259974" y="86592"/>
          <a:ext cx="5858434" cy="5230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907126</xdr:colOff>
      <xdr:row>0</xdr:row>
      <xdr:rowOff>88604</xdr:rowOff>
    </xdr:from>
    <xdr:to>
      <xdr:col>6</xdr:col>
      <xdr:colOff>366181</xdr:colOff>
      <xdr:row>0</xdr:row>
      <xdr:rowOff>708837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F9BFFC75-0C02-4875-BE51-61546CC32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64190" y="88604"/>
          <a:ext cx="466933" cy="620233"/>
        </a:xfrm>
        <a:prstGeom prst="rect">
          <a:avLst/>
        </a:prstGeom>
      </xdr:spPr>
    </xdr:pic>
    <xdr:clientData/>
  </xdr:twoCellAnchor>
  <xdr:twoCellAnchor editAs="absolute">
    <xdr:from>
      <xdr:col>1</xdr:col>
      <xdr:colOff>387649</xdr:colOff>
      <xdr:row>0</xdr:row>
      <xdr:rowOff>93845</xdr:rowOff>
    </xdr:from>
    <xdr:to>
      <xdr:col>5</xdr:col>
      <xdr:colOff>199363</xdr:colOff>
      <xdr:row>0</xdr:row>
      <xdr:rowOff>687877</xdr:rowOff>
    </xdr:to>
    <xdr:sp macro="" textlink="">
      <xdr:nvSpPr>
        <xdr:cNvPr id="4" name="Forme1">
          <a:extLst>
            <a:ext uri="{FF2B5EF4-FFF2-40B4-BE49-F238E27FC236}">
              <a16:creationId xmlns:a16="http://schemas.microsoft.com/office/drawing/2014/main" id="{091CF84D-A45C-454F-AEE7-92ABE7207093}"/>
            </a:ext>
          </a:extLst>
        </xdr:cNvPr>
        <xdr:cNvSpPr/>
      </xdr:nvSpPr>
      <xdr:spPr>
        <a:xfrm>
          <a:off x="1030033" y="93845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0</xdr:row>
      <xdr:rowOff>47625</xdr:rowOff>
    </xdr:from>
    <xdr:to>
      <xdr:col>6</xdr:col>
      <xdr:colOff>485775</xdr:colOff>
      <xdr:row>1</xdr:row>
      <xdr:rowOff>445525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1EBED1A-AFAA-4B80-8AA0-BBEB388A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91250" y="47625"/>
          <a:ext cx="400050" cy="51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152400</xdr:colOff>
      <xdr:row>0</xdr:row>
      <xdr:rowOff>0</xdr:rowOff>
    </xdr:from>
    <xdr:to>
      <xdr:col>5</xdr:col>
      <xdr:colOff>301919</xdr:colOff>
      <xdr:row>1</xdr:row>
      <xdr:rowOff>479732</xdr:rowOff>
    </xdr:to>
    <xdr:sp macro="" textlink="">
      <xdr:nvSpPr>
        <xdr:cNvPr id="3" name="Forme1">
          <a:extLst>
            <a:ext uri="{FF2B5EF4-FFF2-40B4-BE49-F238E27FC236}">
              <a16:creationId xmlns:a16="http://schemas.microsoft.com/office/drawing/2014/main" id="{9F770756-367B-4EFF-A39A-113F6985DA89}"/>
            </a:ext>
          </a:extLst>
        </xdr:cNvPr>
        <xdr:cNvSpPr/>
      </xdr:nvSpPr>
      <xdr:spPr>
        <a:xfrm>
          <a:off x="447675" y="0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542925</xdr:colOff>
      <xdr:row>0</xdr:row>
      <xdr:rowOff>76199</xdr:rowOff>
    </xdr:from>
    <xdr:to>
      <xdr:col>6</xdr:col>
      <xdr:colOff>44744</xdr:colOff>
      <xdr:row>1</xdr:row>
      <xdr:rowOff>180974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AC684EAE-B857-4F81-ADE3-92ECA121B1C9}"/>
            </a:ext>
          </a:extLst>
        </xdr:cNvPr>
        <xdr:cNvSpPr/>
      </xdr:nvSpPr>
      <xdr:spPr>
        <a:xfrm>
          <a:off x="1190625" y="76199"/>
          <a:ext cx="5645444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6</xdr:col>
      <xdr:colOff>178858</xdr:colOff>
      <xdr:row>0</xdr:row>
      <xdr:rowOff>82550</xdr:rowOff>
    </xdr:from>
    <xdr:to>
      <xdr:col>6</xdr:col>
      <xdr:colOff>578908</xdr:colOff>
      <xdr:row>1</xdr:row>
      <xdr:rowOff>84633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7C82A3C-B0D3-4952-A47A-5C02A119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1183" y="82550"/>
          <a:ext cx="400050" cy="535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552450</xdr:colOff>
      <xdr:row>0</xdr:row>
      <xdr:rowOff>76200</xdr:rowOff>
    </xdr:from>
    <xdr:to>
      <xdr:col>5</xdr:col>
      <xdr:colOff>587669</xdr:colOff>
      <xdr:row>0</xdr:row>
      <xdr:rowOff>670232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149EC5CB-912F-4D63-907D-E3F40C577D0F}"/>
            </a:ext>
          </a:extLst>
        </xdr:cNvPr>
        <xdr:cNvSpPr/>
      </xdr:nvSpPr>
      <xdr:spPr>
        <a:xfrm>
          <a:off x="552450" y="76200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133350</xdr:colOff>
      <xdr:row>0</xdr:row>
      <xdr:rowOff>142875</xdr:rowOff>
    </xdr:from>
    <xdr:to>
      <xdr:col>6</xdr:col>
      <xdr:colOff>600283</xdr:colOff>
      <xdr:row>0</xdr:row>
      <xdr:rowOff>763108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568ECB04-657A-435C-B16E-C9B12F78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77000" y="142875"/>
          <a:ext cx="466933" cy="6202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552450</xdr:colOff>
      <xdr:row>0</xdr:row>
      <xdr:rowOff>114300</xdr:rowOff>
    </xdr:from>
    <xdr:to>
      <xdr:col>5</xdr:col>
      <xdr:colOff>397169</xdr:colOff>
      <xdr:row>0</xdr:row>
      <xdr:rowOff>708332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1E75346B-FABC-4A19-B046-9B2B2965FA78}"/>
            </a:ext>
          </a:extLst>
        </xdr:cNvPr>
        <xdr:cNvSpPr/>
      </xdr:nvSpPr>
      <xdr:spPr>
        <a:xfrm>
          <a:off x="552450" y="114300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285750</xdr:colOff>
      <xdr:row>0</xdr:row>
      <xdr:rowOff>57150</xdr:rowOff>
    </xdr:from>
    <xdr:to>
      <xdr:col>6</xdr:col>
      <xdr:colOff>752683</xdr:colOff>
      <xdr:row>0</xdr:row>
      <xdr:rowOff>677383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45EFC2FD-C171-4BD4-8B28-C00C61F82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19900" y="57150"/>
          <a:ext cx="466933" cy="6202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428625</xdr:colOff>
      <xdr:row>0</xdr:row>
      <xdr:rowOff>158750</xdr:rowOff>
    </xdr:from>
    <xdr:to>
      <xdr:col>5</xdr:col>
      <xdr:colOff>809919</xdr:colOff>
      <xdr:row>0</xdr:row>
      <xdr:rowOff>752782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BD69B01C-42ED-4153-A317-DF4B35DA257F}"/>
            </a:ext>
          </a:extLst>
        </xdr:cNvPr>
        <xdr:cNvSpPr/>
      </xdr:nvSpPr>
      <xdr:spPr>
        <a:xfrm>
          <a:off x="952500" y="158750"/>
          <a:ext cx="562004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314325</xdr:colOff>
      <xdr:row>0</xdr:row>
      <xdr:rowOff>142875</xdr:rowOff>
    </xdr:from>
    <xdr:to>
      <xdr:col>6</xdr:col>
      <xdr:colOff>781258</xdr:colOff>
      <xdr:row>0</xdr:row>
      <xdr:rowOff>763108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3C9F11B0-A653-4632-AD2D-5E1C8EF75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15150" y="142875"/>
          <a:ext cx="466933" cy="6202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723900</xdr:colOff>
      <xdr:row>0</xdr:row>
      <xdr:rowOff>123825</xdr:rowOff>
    </xdr:from>
    <xdr:to>
      <xdr:col>5</xdr:col>
      <xdr:colOff>711494</xdr:colOff>
      <xdr:row>0</xdr:row>
      <xdr:rowOff>717857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76ECB8A9-C249-455E-87E4-235EEB29F690}"/>
            </a:ext>
          </a:extLst>
        </xdr:cNvPr>
        <xdr:cNvSpPr/>
      </xdr:nvSpPr>
      <xdr:spPr>
        <a:xfrm>
          <a:off x="1143000" y="123825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285750</xdr:colOff>
      <xdr:row>0</xdr:row>
      <xdr:rowOff>174625</xdr:rowOff>
    </xdr:from>
    <xdr:to>
      <xdr:col>6</xdr:col>
      <xdr:colOff>746333</xdr:colOff>
      <xdr:row>0</xdr:row>
      <xdr:rowOff>794858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613B6633-3208-4B26-B1DD-CDF446B1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86625" y="174625"/>
          <a:ext cx="460583" cy="6202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0</xdr:row>
      <xdr:rowOff>142875</xdr:rowOff>
    </xdr:from>
    <xdr:to>
      <xdr:col>5</xdr:col>
      <xdr:colOff>721019</xdr:colOff>
      <xdr:row>0</xdr:row>
      <xdr:rowOff>736907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B6173F5B-ACB8-49E8-B1F3-2F9205F83028}"/>
            </a:ext>
          </a:extLst>
        </xdr:cNvPr>
        <xdr:cNvSpPr/>
      </xdr:nvSpPr>
      <xdr:spPr>
        <a:xfrm>
          <a:off x="180975" y="142875"/>
          <a:ext cx="5626394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295275</xdr:colOff>
      <xdr:row>0</xdr:row>
      <xdr:rowOff>161925</xdr:rowOff>
    </xdr:from>
    <xdr:to>
      <xdr:col>6</xdr:col>
      <xdr:colOff>762208</xdr:colOff>
      <xdr:row>0</xdr:row>
      <xdr:rowOff>782158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F217F824-E650-4A9F-8D51-32E9A462F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34100" y="161925"/>
          <a:ext cx="466933" cy="6202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149225</xdr:colOff>
      <xdr:row>0</xdr:row>
      <xdr:rowOff>0</xdr:rowOff>
    </xdr:from>
    <xdr:to>
      <xdr:col>5</xdr:col>
      <xdr:colOff>809919</xdr:colOff>
      <xdr:row>0</xdr:row>
      <xdr:rowOff>594032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504CC2EC-A96B-44DB-BC4E-AAD963025DAB}"/>
            </a:ext>
          </a:extLst>
        </xdr:cNvPr>
        <xdr:cNvSpPr/>
      </xdr:nvSpPr>
      <xdr:spPr>
        <a:xfrm>
          <a:off x="641350" y="0"/>
          <a:ext cx="5629569" cy="594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1826" tIns="61826" rIns="61826" bIns="61826" rtlCol="0" anchor="ctr"/>
        <a:lstStyle/>
        <a:p>
          <a:pPr algn="ctr"/>
          <a:r>
            <a:rPr lang="fr-FR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d’une ferme expérimentale - ITX BENGUERIR</a:t>
          </a:r>
          <a:endParaRPr lang="fr-FR" sz="1100" b="0" i="0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 editAs="absolute">
    <xdr:from>
      <xdr:col>6</xdr:col>
      <xdr:colOff>184151</xdr:colOff>
      <xdr:row>0</xdr:row>
      <xdr:rowOff>66675</xdr:rowOff>
    </xdr:from>
    <xdr:to>
      <xdr:col>6</xdr:col>
      <xdr:colOff>584201</xdr:colOff>
      <xdr:row>0</xdr:row>
      <xdr:rowOff>598066</xdr:rowOff>
    </xdr:to>
    <xdr:pic>
      <xdr:nvPicPr>
        <xdr:cNvPr id="3" name="Forme3">
          <a:extLst>
            <a:ext uri="{FF2B5EF4-FFF2-40B4-BE49-F238E27FC236}">
              <a16:creationId xmlns:a16="http://schemas.microsoft.com/office/drawing/2014/main" id="{4E54AE4E-47BD-4033-9E07-05FAA7ED3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1776" y="66675"/>
          <a:ext cx="400050" cy="5313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ne\AFFAIRES%20EN%20COURS\Documents%20and%20Settings\p%20c\Bureau\sa-2005\salle%20de%20sport%20tanger\m&#233;tr&#233;\Documents%20and%20Settings\p%20c\Bureau\sa-2005\RTM%20MARRAKECH\METRE\m&#233;tr&#233;%20RTM%20DE%20BASE\PROJET%20DE%20DRD%20ET%20DE%20CRC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eur\Mes%20documents\TRAVAUX\ESTIMATIONS\GEN%20AEP\Mes%20documents\TRAVAUX\ESTIMATIONS\haouafat%20DCE%20d&#233;finitif%20tirage%20lot%20conduite\ae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1\c\Mes%20Documents\Sidi%20ameur%20MII\M&#233;tr&#233;%20Sidi%20Amour%20Hadi\ae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RAVAUX\ESTIMATIONS\haouafat%20DCE%20d&#233;finitif%20tirage%20lot%20conduite\ae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p\ZHANI\AFAIRES%20EN%20COURS\PALNS%20PALMARIVA%20NOU\metre%20palmariva\METRE\METRE%203%20SOL%20A%20TER\CNCA%20DE%20modefier%20le25-03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chimi\C\DCEDR7\Nzala-Sidi%20Ali-Mghassine\MAZIZ%20NMS\SIDI%20ALI\SIDI%20ALI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admin/Mes%20documents/Downloads/med/mohamed%20bfrs/TRAVAUX%20RADEET/MARCHE%20N&#176;112-2008/ATTACHEMENT/OULAD%20AYAD%20Beni%20Moussa/Decompte%20n&#176;10%20et%20dernier.xls" TargetMode="External"/><Relationship Id="rId1" Type="http://schemas.openxmlformats.org/officeDocument/2006/relationships/externalLinkPath" Target="/Documents%20and%20Settings/admin/Mes%20documents/Downloads/med/mohamed%20bfrs/TRAVAUX%20RADEET/MARCHE%20N&#176;112-2008/ATTACHEMENT/OULAD%20AYAD%20Beni%20Moussa/Decompte%20n&#176;10%20et%20derni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250\Partage%20BETB\Documents%20and%20Settings\admin\Mes%20documents\Downloads\med\mohamed%20bfrs\TRAVAUX%20RADEET\MARCHE%20N&#176;112-2008\ATTACHEMENT\OULAD%20AYAD%20Beni%20Moussa\Decompte%20n&#176;10%20et%20dernie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ATA%20(E)\SAUV%20ADIL\AFFAIRE.ADIL\TMSA-Belv&#233;d&#232;re\Plans%20archi\16.04.08\B.A%2018.04.08\BDP%20GO-ET-REV%20-%20T1A%20DE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53_ELC\Disque_D\affaireSE\L_logements\L031_2004_SDEK_AnnasrTemara\L31_3_APS\L31_35_BET\L31_353_ELEC\L31_3531_Textes\L031_bp_APS_elec_annasr_modif0202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ahlam\VOLUMED\OUM%20RABIAA%20%20I\Oum%20Rabiaa%20I%20APS&amp;SHO\APS%20OUM%20RABIE\Borde.Prix\BP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ENBACHA\RABAT\ALEM\METR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ENBACHA\RABAT\ALEM\MENZEH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dmin/AppData/Roaming/Microsoft/Excel/houssam/ENT%20GHITABAT/DECOMPTE%20ALHAMRAE%20N&#176;4%20PAR%20BLOC.xlsx" TargetMode="External"/><Relationship Id="rId1" Type="http://schemas.openxmlformats.org/officeDocument/2006/relationships/externalLinkPath" Target="/Users/admin/AppData/Roaming/Microsoft/Excel/houssam/ENT%20GHITABAT/DECOMPTE%20ALHAMRAE%20N&#176;4%20PAR%20BLOC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ld133\c\Mes%20documents\Tanger\Tanger%20mission%20II\Etude%20Tanger%20II\Excel%20Tanger%20II\Tanger\Etude%20Tanger\ZONES%20rec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P/AppData/Local/Temp/Rar$DI00.464/RVD%20DP%2001.xlsx" TargetMode="External"/><Relationship Id="rId1" Type="http://schemas.openxmlformats.org/officeDocument/2006/relationships/externalLinkPath" Target="/Users/HP/AppData/Local/Temp/Rar$DI00.464/RVD%20DP%2001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Administrateur/Bureau/DOSSIER%20FACAIL%20GENERAL/PROJET%20CALIFORNIA/EXEL%20PORJET%20CALEFORNIA/IMM%20D.xls" TargetMode="External"/><Relationship Id="rId1" Type="http://schemas.openxmlformats.org/officeDocument/2006/relationships/externalLinkPath" Target="/Documents%20and%20Settings/Administrateur/Bureau/DOSSIER%20FACAIL%20GENERAL/PROJET%20CALIFORNIA/EXEL%20PORJET%20CALEFORNIA/IMM%20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250\Partage%20BETB\Documents%20and%20Settings\Administrateur\Bureau\DOSSIER%20FACAIL%20GENERAL\PROJET%20CALIFORNIA\EXEL%20PORJET%20CALEFORNIA\IMM%20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ENBACHA\CASA\Anhi\RE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Documents%20and%20Settings\Anass\Bureau\PROSPECO\ETUDES%20DE%20PRIX\TAMGHART\SOUS%20DETAILS%20DES%20PRIX%20TAMGHA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d2\c\Tafraout%20AEP\Modele\Ancien%20S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TGCC\CNH\Tableaux\TGCC\FINANCE\TBLEAUX1\FINAN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TGCC\CNH\Tableaux\ENBACHA\RABAT\ALEM\MENZE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chimi\C\Nzala-Sidi%20Ali-Mghassine\DCE%20definitif\Confidentiel\P4GC%20d&#233;finitif%20variante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cienergies-my.sharepoint.com\Users\denis.trotin\AppData\Local\Microsoft\Windows\INetCache\Content.Outlook\EJVFQSV5\Fiche%20Alerte%20Zagtouli%2033MWc%20-%20maj%2016%20juillet%20201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cienergies-my.sharepoint.com/Users/denis.trotin/AppData/Local/Microsoft/Windows/INetCache/Content.Outlook/EJVFQSV5/Fiche%20Alerte%20Zagtouli%2033MWc%20-%20maj%2016%20juillet%20201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chimi\C\DCEDR7\Nzala-Sidi%20Ali-Mghassine\MAZIZ%20NMS\MGHASSINE\MGHASSIN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ne\AFFAIRES%20EN%20COURS\Personnel\Bahia%20Beach%20Golf\CNCA%20DE%20modefier%20le25-03-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p\ZHANI\AFAIRES%20EN%20COURS\PALNS%20PALMARIVA%20NOU\metre%20palmariva\METRE\METRE%203%20SOL%20A%20TER\RTM%20MARRAKECH\METRE\m&#233;tr&#233;%20modifier%20le%2018-03-05\PROJET%20DE%20DRD%20ET%20DE%20CRC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TGCC\CNH\Tableaux\Metr&#233;%20CN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TGCC\ALKOURA\FORFAI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p\ANOUAR%203\APS\HOTEL%20MARRAKECH\DIVERS\METRE%20GUCHE%20OUDAYA%20SAMIR\CNCA%20DE%20modefier%20le25-03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IMPRIME/Suiv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p\afaires%20samir\ETUDE%202008\APD\BAHIA%20BEACH%20GOLF\El&#233;ments%20d&#233;taill&#233;s\ELEME%20M\CNCA%20DE%20modefier%20le25-03-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RAVAUX\ESTIMATIONS\Confidentiel%20tanger-asila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eur\Bureau\BETB\CNCA\PREF-BER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Documents%20and%20Settings\A.Belkziz\Bureau\ETUDES%20DE%20PRIX\AA-LOGICIELS\VIERG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ne\affaires%20en%20cours\Documents%20and%20Settings\cheikh\Bureau\M&#233;tr&#233;%20STRUCTURE%20BAHIA%20H%20ancien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2\d\kassimi\Divers\Disquitte%20kassimi\TGCC\FINANCE\TBLEAUX1\FINANCE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dmin/Documents/METRE/LYCEE%20ALHAMRA/METRE%20ALHAMRA/DECOMPTE%20N&#176;10%20ET%20DERNIER%2011-4-2013.xlsx" TargetMode="External"/><Relationship Id="rId1" Type="http://schemas.openxmlformats.org/officeDocument/2006/relationships/externalLinkPath" Target="/Users/admin/Documents/METRE/LYCEE%20ALHAMRA/METRE%20ALHAMRA/DECOMPTE%20N&#176;10%20ET%20DERNIER%2011-4-201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ne\AFFAIRES%20EN%20COURS\Documents%20and%20Settings\user\Bureau\Bahia%20Beach%20Golf\CNCA%20DE%20modefier%20le25-03-05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.Khalid\Projet\PC_Khalid\Ait%20Daoud\APD%20et%20DCE\lot%20g&#233;nie%20civil\P4_G&#233;nie%20civil_AD_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chimi\C\Nzala-Sidi%20Ali-Mghassine\DCE%20definitif\Confidentiel\P4-cond%20d&#233;finiti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p\ZHANI\AFAIRES%20EN%20COURS\PALNS%20PALMARIVA%20NOU\metre%20palmariva\METRE\METRE%203%20SOL%20A%20TER\RTM%20MARRAKECH\METRE\m&#233;tr&#233;%20modifier%20le%2018-03-05\divers\PROJET%20DE%20DRD%20ET%20DE%20CRC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250\Partage%20BETB\HASNA\2.%20VCasa%20Anfa_Estimation%20GO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enovo%20Thinkpad%20T570/Desktop/3.%20BORDEREAU.xlsx" TargetMode="External"/><Relationship Id="rId1" Type="http://schemas.openxmlformats.org/officeDocument/2006/relationships/externalLinkPath" Target="/Users/Lenovo%20Thinkpad%20T570/Desktop/3.%20BORDERE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situ"/>
      <sheetName val="AN5"/>
      <sheetName val="Table1"/>
      <sheetName val="Macro-press"/>
      <sheetName val="Metré usine M2 "/>
      <sheetName val="Metré galerie M2"/>
      <sheetName val="recp usine+Galerie"/>
      <sheetName val="Feuil3"/>
      <sheetName val="Metré_usine_M2_2"/>
      <sheetName val="Metré_galerie_M22"/>
      <sheetName val="recp_usine+Galerie2"/>
      <sheetName val="Metré_usine_M2_"/>
      <sheetName val="Metré_galerie_M2"/>
      <sheetName val="recp_usine+Galerie"/>
      <sheetName val="Metré_usine_M2_1"/>
      <sheetName val="Metré_galerie_M21"/>
      <sheetName val="recp_usine+Galerie1"/>
      <sheetName val="villas de 1 à 10"/>
      <sheetName val="Cambios"/>
      <sheetName val="Metré_usine_M2_3"/>
      <sheetName val="Metré_galerie_M23"/>
      <sheetName val="recp_usine+Galerie3"/>
      <sheetName val="villas_de_1_à_10"/>
      <sheetName val="Metré_usine_M2_4"/>
      <sheetName val="Metré_galerie_M24"/>
      <sheetName val="recp_usine+Galerie4"/>
      <sheetName val="villas_de_1_à_101"/>
      <sheetName val="Metré_usine_M2_5"/>
      <sheetName val="Metré_galerie_M25"/>
      <sheetName val="recp_usine+Galerie5"/>
      <sheetName val="villas_de_1_à_102"/>
      <sheetName val="PROJET DE DRD ET DE CRCA"/>
      <sheetName val="preau"/>
      <sheetName val="SEMELFONC"/>
      <sheetName val="classe1"/>
      <sheetName val="1-GO A20"/>
      <sheetName val="2-Etanch"/>
      <sheetName val="3-Revetement A20"/>
      <sheetName val="4-Lot Menuiserie Bois A20"/>
      <sheetName val="4- Lot Menuiserie.ALu -A20"/>
      <sheetName val="5-lot Faux plafond"/>
      <sheetName val="6-lot peinture-"/>
      <sheetName val="Menuis APS0"/>
      <sheetName val="Menuis APS (2)"/>
      <sheetName val="7-lot fluides"/>
      <sheetName val="8-ELECTRICITE"/>
      <sheetName val="9-Lot Cuisine "/>
      <sheetName val="10-lot ascen"/>
      <sheetName val="REC"/>
      <sheetName val="detail (EAU+Incendie+arrosage)"/>
      <sheetName val="Metré_usine_M2_8"/>
      <sheetName val="Metré_galerie_M28"/>
      <sheetName val="recp_usine+Galerie8"/>
      <sheetName val="villas_de_1_à_104"/>
      <sheetName val="Metré_usine_M2_7"/>
      <sheetName val="Metré_galerie_M27"/>
      <sheetName val="recp_usine+Galerie7"/>
      <sheetName val="villas_de_1_à_103"/>
      <sheetName val="Metré_usine_M2_6"/>
      <sheetName val="Metré_galerie_M26"/>
      <sheetName val="recp_usine+Galerie6"/>
      <sheetName val="PROJET_DE_DRD_ET_DE_CRCA1"/>
      <sheetName val="PROJET_DE_DRD_ET_DE_CRCA"/>
      <sheetName val="PROJET_DE_DRD_ET_DE_CRCA2"/>
      <sheetName val="Récap"/>
      <sheetName val="Macro-Long"/>
      <sheetName val="Macro-Dexterne"/>
      <sheetName val="etan"/>
      <sheetName val="elec"/>
      <sheetName val="Metré_usine_M2_11"/>
      <sheetName val="Metré_galerie_M211"/>
      <sheetName val="recp_usine+Galerie11"/>
      <sheetName val="villas_de_1_à_108"/>
      <sheetName val="1-GO_A203"/>
      <sheetName val="3-Revetement_A203"/>
      <sheetName val="4-Lot_Menuiserie_Bois_A203"/>
      <sheetName val="4-_Lot_Menuiserie_ALu_-A203"/>
      <sheetName val="5-lot_Faux_plafond3"/>
      <sheetName val="6-lot_peinture-3"/>
      <sheetName val="Menuis_APS03"/>
      <sheetName val="Menuis_APS_(2)3"/>
      <sheetName val="7-lot_fluides3"/>
      <sheetName val="9-Lot_Cuisine_3"/>
      <sheetName val="10-lot_ascen3"/>
      <sheetName val="detail_(EAU+Incendie+arrosage)3"/>
      <sheetName val="villas_de_1_à_105"/>
      <sheetName val="1-GO_A20"/>
      <sheetName val="3-Revetement_A20"/>
      <sheetName val="4-Lot_Menuiserie_Bois_A20"/>
      <sheetName val="4-_Lot_Menuiserie_ALu_-A20"/>
      <sheetName val="5-lot_Faux_plafond"/>
      <sheetName val="6-lot_peinture-"/>
      <sheetName val="Menuis_APS0"/>
      <sheetName val="Menuis_APS_(2)"/>
      <sheetName val="7-lot_fluides"/>
      <sheetName val="9-Lot_Cuisine_"/>
      <sheetName val="10-lot_ascen"/>
      <sheetName val="detail_(EAU+Incendie+arrosage)"/>
      <sheetName val="Metré_usine_M2_9"/>
      <sheetName val="Metré_galerie_M29"/>
      <sheetName val="recp_usine+Galerie9"/>
      <sheetName val="villas_de_1_à_106"/>
      <sheetName val="1-GO_A201"/>
      <sheetName val="3-Revetement_A201"/>
      <sheetName val="4-Lot_Menuiserie_Bois_A201"/>
      <sheetName val="4-_Lot_Menuiserie_ALu_-A201"/>
      <sheetName val="5-lot_Faux_plafond1"/>
      <sheetName val="6-lot_peinture-1"/>
      <sheetName val="Menuis_APS01"/>
      <sheetName val="Menuis_APS_(2)1"/>
      <sheetName val="7-lot_fluides1"/>
      <sheetName val="9-Lot_Cuisine_1"/>
      <sheetName val="10-lot_ascen1"/>
      <sheetName val="detail_(EAU+Incendie+arrosage)1"/>
      <sheetName val="Metré_usine_M2_10"/>
      <sheetName val="Metré_galerie_M210"/>
      <sheetName val="recp_usine+Galerie10"/>
      <sheetName val="villas_de_1_à_107"/>
      <sheetName val="1-GO_A202"/>
      <sheetName val="3-Revetement_A202"/>
      <sheetName val="4-Lot_Menuiserie_Bois_A202"/>
      <sheetName val="4-_Lot_Menuiserie_ALu_-A202"/>
      <sheetName val="5-lot_Faux_plafond2"/>
      <sheetName val="6-lot_peinture-2"/>
      <sheetName val="Menuis_APS02"/>
      <sheetName val="Menuis_APS_(2)2"/>
      <sheetName val="7-lot_fluides2"/>
      <sheetName val="9-Lot_Cuisine_2"/>
      <sheetName val="10-lot_ascen2"/>
      <sheetName val="detail_(EAU+Incendie+arrosage)2"/>
      <sheetName val="PROJET_DE_DRD_ET_DE_CRCA3"/>
      <sheetName val="Macro-Epaisseur"/>
      <sheetName val="PROGMETR4"/>
      <sheetName val=" G,O A"/>
      <sheetName val="Metré_usine_M2_13"/>
      <sheetName val="Metré_galerie_M213"/>
      <sheetName val="recp_usine+Galerie13"/>
      <sheetName val="villas_de_1_à_109"/>
      <sheetName val="Metré_usine_M2_12"/>
      <sheetName val="Metré_galerie_M212"/>
      <sheetName val="recp_usine+Galerie12"/>
      <sheetName val="Metré_usine_M2_14"/>
      <sheetName val="Metré_galerie_M214"/>
      <sheetName val="recp_usine+Galerie14"/>
      <sheetName val="villas_de_1_à_1010"/>
      <sheetName val="Metré_usine_M2_15"/>
      <sheetName val="Metré_galerie_M215"/>
      <sheetName val="recp_usine+Galerie15"/>
      <sheetName val="villas_de_1_à_1011"/>
      <sheetName val="1-GO_A205"/>
      <sheetName val="3-Revetement_A205"/>
      <sheetName val="4-Lot_Menuiserie_Bois_A205"/>
      <sheetName val="4-_Lot_Menuiserie_ALu_-A205"/>
      <sheetName val="5-lot_Faux_plafond5"/>
      <sheetName val="6-lot_peinture-5"/>
      <sheetName val="Menuis_APS05"/>
      <sheetName val="Menuis_APS_(2)5"/>
      <sheetName val="7-lot_fluides5"/>
      <sheetName val="9-Lot_Cuisine_5"/>
      <sheetName val="10-lot_ascen5"/>
      <sheetName val="detail_(EAU+Incendie+arrosage)5"/>
      <sheetName val="PROJET_DE_DRD_ET_DE_CRCA5"/>
      <sheetName val="1-GO_A204"/>
      <sheetName val="3-Revetement_A204"/>
      <sheetName val="4-Lot_Menuiserie_Bois_A204"/>
      <sheetName val="4-_Lot_Menuiserie_ALu_-A204"/>
      <sheetName val="5-lot_Faux_plafond4"/>
      <sheetName val="6-lot_peinture-4"/>
      <sheetName val="Menuis_APS04"/>
      <sheetName val="Menuis_APS_(2)4"/>
      <sheetName val="7-lot_fluides4"/>
      <sheetName val="9-Lot_Cuisine_4"/>
      <sheetName val="10-lot_ascen4"/>
      <sheetName val="detail_(EAU+Incendie+arrosage)4"/>
      <sheetName val="PROJET_DE_DRD_ET_DE_CRCA4"/>
      <sheetName val="1-GO_A206"/>
      <sheetName val="3-Revetement_A206"/>
      <sheetName val="4-Lot_Menuiserie_Bois_A206"/>
      <sheetName val="4-_Lot_Menuiserie_ALu_-A206"/>
      <sheetName val="5-lot_Faux_plafond6"/>
      <sheetName val="6-lot_peinture-6"/>
      <sheetName val="Menuis_APS06"/>
      <sheetName val="Menuis_APS_(2)6"/>
      <sheetName val="7-lot_fluides6"/>
      <sheetName val="9-Lot_Cuisine_6"/>
      <sheetName val="10-lot_ascen6"/>
      <sheetName val="detail_(EAU+Incendie+arrosage)6"/>
      <sheetName val="PROJET_DE_DRD_ET_DE_CRCA6"/>
      <sheetName val="type"/>
      <sheetName val="1-GO_A207"/>
      <sheetName val="3-Revetement_A207"/>
      <sheetName val="4-Lot_Menuiserie_Bois_A207"/>
      <sheetName val="4-_Lot_Menuiserie_ALu_-A207"/>
      <sheetName val="5-lot_Faux_plafond7"/>
      <sheetName val="6-lot_peinture-7"/>
      <sheetName val="Menuis_APS07"/>
      <sheetName val="Menuis_APS_(2)7"/>
      <sheetName val="7-lot_fluides7"/>
      <sheetName val="9-Lot_Cuisine_7"/>
      <sheetName val="10-lot_ascen7"/>
      <sheetName val="1-GO_A208"/>
      <sheetName val="3-Revetement_A208"/>
      <sheetName val="4-Lot_Menuiserie_Bois_A208"/>
      <sheetName val="4-_Lot_Menuiserie_ALu_-A208"/>
      <sheetName val="5-lot_Faux_plafond8"/>
      <sheetName val="6-lot_peinture-8"/>
      <sheetName val="Menuis_APS08"/>
      <sheetName val="Menuis_APS_(2)8"/>
      <sheetName val="7-lot_fluides8"/>
      <sheetName val="9-Lot_Cuisine_8"/>
      <sheetName val="10-lot_ascen8"/>
      <sheetName val="1-GO_A209"/>
      <sheetName val="3-Revetement_A209"/>
      <sheetName val="4-Lot_Menuiserie_Bois_A209"/>
      <sheetName val="4-_Lot_Menuiserie_ALu_-A209"/>
      <sheetName val="5-lot_Faux_plafond9"/>
      <sheetName val="6-lot_peinture-9"/>
      <sheetName val="Menuis_APS09"/>
      <sheetName val="Menuis_APS_(2)9"/>
      <sheetName val="7-lot_fluides9"/>
      <sheetName val="9-Lot_Cuisine_9"/>
      <sheetName val="10-lot_ascen9"/>
      <sheetName val="1-GO_A2010"/>
      <sheetName val="3-Revetement_A2010"/>
      <sheetName val="4-Lot_Menuiserie_Bois_A2010"/>
      <sheetName val="4-_Lot_Menuiserie_ALu_-A2010"/>
      <sheetName val="5-lot_Faux_plafond10"/>
      <sheetName val="6-lot_peinture-10"/>
      <sheetName val="Menuis_APS010"/>
      <sheetName val="Menuis_APS_(2)10"/>
      <sheetName val="7-lot_fluides10"/>
      <sheetName val="9-Lot_Cuisine_10"/>
      <sheetName val="10-lot_ascen10"/>
      <sheetName val="Metré_usine_M2_16"/>
      <sheetName val="Metré_galerie_M216"/>
      <sheetName val="recp_usine+Galerie16"/>
      <sheetName val="1-GO_A2011"/>
      <sheetName val="3-Revetement_A2011"/>
      <sheetName val="4-Lot_Menuiserie_Bois_A2011"/>
      <sheetName val="4-_Lot_Menuiserie_ALu_-A2011"/>
      <sheetName val="5-lot_Faux_plafond11"/>
      <sheetName val="6-lot_peinture-11"/>
      <sheetName val="Menuis_APS011"/>
      <sheetName val="Menuis_APS_(2)11"/>
      <sheetName val="7-lot_fluides11"/>
      <sheetName val="9-Lot_Cuisine_11"/>
      <sheetName val="10-lot_ascen11"/>
      <sheetName val="Metré_usine_M2_17"/>
      <sheetName val="Metré_galerie_M217"/>
      <sheetName val="recp_usine+Galerie17"/>
      <sheetName val="villas_de_1_à_1012"/>
      <sheetName val="1-GO_A2012"/>
      <sheetName val="3-Revetement_A2012"/>
      <sheetName val="4-Lot_Menuiserie_Bois_A2012"/>
      <sheetName val="4-_Lot_Menuiserie_ALu_-A2012"/>
      <sheetName val="5-lot_Faux_plafond12"/>
      <sheetName val="6-lot_peinture-12"/>
      <sheetName val="Menuis_APS012"/>
      <sheetName val="Menuis_APS_(2)12"/>
      <sheetName val="7-lot_fluides12"/>
      <sheetName val="9-Lot_Cuisine_12"/>
      <sheetName val="10-lot_ascen12"/>
      <sheetName val="Metré_usine_M2_18"/>
      <sheetName val="Metré_galerie_M218"/>
      <sheetName val="recp_usine+Galerie18"/>
      <sheetName val="villas_de_1_à_1013"/>
      <sheetName val="1-GO_A2013"/>
      <sheetName val="3-Revetement_A2013"/>
      <sheetName val="4-Lot_Menuiserie_Bois_A2013"/>
      <sheetName val="4-_Lot_Menuiserie_ALu_-A2013"/>
      <sheetName val="5-lot_Faux_plafond13"/>
      <sheetName val="6-lot_peinture-13"/>
      <sheetName val="Menuis_APS013"/>
      <sheetName val="Menuis_APS_(2)13"/>
      <sheetName val="7-lot_fluides13"/>
      <sheetName val="9-Lot_Cuisine_13"/>
      <sheetName val="10-lot_ascen13"/>
      <sheetName val="Metré_usine_M2_19"/>
      <sheetName val="Metré_galerie_M219"/>
      <sheetName val="recp_usine+Galerie19"/>
      <sheetName val="villas_de_1_à_1014"/>
      <sheetName val="1-GO_A2014"/>
      <sheetName val="3-Revetement_A2014"/>
      <sheetName val="4-Lot_Menuiserie_Bois_A2014"/>
      <sheetName val="4-_Lot_Menuiserie_ALu_-A2014"/>
      <sheetName val="5-lot_Faux_plafond14"/>
      <sheetName val="6-lot_peinture-14"/>
      <sheetName val="Menuis_APS014"/>
      <sheetName val="Menuis_APS_(2)14"/>
      <sheetName val="7-lot_fluides14"/>
      <sheetName val="9-Lot_Cuisine_14"/>
      <sheetName val="10-lot_ascen14"/>
      <sheetName val="Metré_usine_M2_20"/>
      <sheetName val="Metré_galerie_M220"/>
      <sheetName val="recp_usine+Galerie20"/>
      <sheetName val="villas_de_1_à_1015"/>
      <sheetName val="1-GO_A2015"/>
      <sheetName val="3-Revetement_A2015"/>
      <sheetName val="4-Lot_Menuiserie_Bois_A2015"/>
      <sheetName val="4-_Lot_Menuiserie_ALu_-A2015"/>
      <sheetName val="5-lot_Faux_plafond15"/>
      <sheetName val="6-lot_peinture-15"/>
      <sheetName val="Menuis_APS015"/>
      <sheetName val="Menuis_APS_(2)15"/>
      <sheetName val="7-lot_fluides15"/>
      <sheetName val="9-Lot_Cuisine_15"/>
      <sheetName val="10-lot_ascen15"/>
      <sheetName val="Metré_usine_M2_22"/>
      <sheetName val="Metré_galerie_M222"/>
      <sheetName val="recp_usine+Galerie22"/>
      <sheetName val="villas_de_1_à_1017"/>
      <sheetName val="1-GO_A2017"/>
      <sheetName val="3-Revetement_A2017"/>
      <sheetName val="4-Lot_Menuiserie_Bois_A2017"/>
      <sheetName val="4-_Lot_Menuiserie_ALu_-A2017"/>
      <sheetName val="5-lot_Faux_plafond17"/>
      <sheetName val="6-lot_peinture-17"/>
      <sheetName val="Menuis_APS017"/>
      <sheetName val="Menuis_APS_(2)17"/>
      <sheetName val="7-lot_fluides17"/>
      <sheetName val="9-Lot_Cuisine_17"/>
      <sheetName val="10-lot_ascen17"/>
      <sheetName val="Metré_usine_M2_21"/>
      <sheetName val="Metré_galerie_M221"/>
      <sheetName val="recp_usine+Galerie21"/>
      <sheetName val="villas_de_1_à_1016"/>
      <sheetName val="1-GO_A2016"/>
      <sheetName val="3-Revetement_A2016"/>
      <sheetName val="4-Lot_Menuiserie_Bois_A2016"/>
      <sheetName val="4-_Lot_Menuiserie_ALu_-A2016"/>
      <sheetName val="5-lot_Faux_plafond16"/>
      <sheetName val="6-lot_peinture-16"/>
      <sheetName val="Menuis_APS016"/>
      <sheetName val="Menuis_APS_(2)16"/>
      <sheetName val="7-lot_fluides16"/>
      <sheetName val="9-Lot_Cuisine_16"/>
      <sheetName val="10-lot_ascen16"/>
      <sheetName val="Metré_usine_M2_23"/>
      <sheetName val="Metré_galerie_M223"/>
      <sheetName val="recp_usine+Galerie23"/>
      <sheetName val="villas_de_1_à_1018"/>
      <sheetName val="1-GO_A2018"/>
      <sheetName val="3-Revetement_A2018"/>
      <sheetName val="4-Lot_Menuiserie_Bois_A2018"/>
      <sheetName val="4-_Lot_Menuiserie_ALu_-A2018"/>
      <sheetName val="5-lot_Faux_plafond18"/>
      <sheetName val="6-lot_peinture-18"/>
      <sheetName val="Menuis_APS018"/>
      <sheetName val="Menuis_APS_(2)18"/>
      <sheetName val="7-lot_fluides18"/>
      <sheetName val="9-Lot_Cuisine_18"/>
      <sheetName val="10-lot_ascen18"/>
      <sheetName val="Metré_usine_M2_24"/>
      <sheetName val="Metré_galerie_M224"/>
      <sheetName val="recp_usine+Galerie24"/>
      <sheetName val="villas_de_1_à_1019"/>
      <sheetName val="1-GO_A2019"/>
      <sheetName val="3-Revetement_A2019"/>
      <sheetName val="4-Lot_Menuiserie_Bois_A2019"/>
      <sheetName val="4-_Lot_Menuiserie_ALu_-A2019"/>
      <sheetName val="5-lot_Faux_plafond19"/>
      <sheetName val="6-lot_peinture-19"/>
      <sheetName val="Menuis_APS019"/>
      <sheetName val="Menuis_APS_(2)19"/>
      <sheetName val="7-lot_fluides19"/>
      <sheetName val="9-Lot_Cuisine_19"/>
      <sheetName val="10-lot_ascen19"/>
      <sheetName val="detail_(EAU+Incendie+arrosage)7"/>
      <sheetName val="PROJET_DE_DRD_ET_DE_CRCA7"/>
      <sheetName val="_G,O_A"/>
      <sheetName val="BpElecEnnasr-Géneral"/>
      <sheetName val="lot 7 ELEC"/>
      <sheetName val="Metré_usine_M2_25"/>
      <sheetName val="Metré_galerie_M225"/>
      <sheetName val="recp_usine+Galerie25"/>
      <sheetName val="villas_de_1_à_1020"/>
      <sheetName val="1-GO_A2020"/>
      <sheetName val="3-Revetement_A2020"/>
      <sheetName val="4-Lot_Menuiserie_Bois_A2020"/>
      <sheetName val="4-_Lot_Menuiserie_ALu_-A2020"/>
      <sheetName val="5-lot_Faux_plafond20"/>
      <sheetName val="6-lot_peinture-20"/>
      <sheetName val="Menuis_APS020"/>
      <sheetName val="Menuis_APS_(2)20"/>
      <sheetName val="7-lot_fluides20"/>
      <sheetName val="9-Lot_Cuisine_20"/>
      <sheetName val="10-lot_ascen20"/>
      <sheetName val="Metré_usine_M2_27"/>
      <sheetName val="Metré_galerie_M227"/>
      <sheetName val="recp_usine+Galerie27"/>
      <sheetName val="villas_de_1_à_1022"/>
      <sheetName val="1-GO_A2022"/>
      <sheetName val="3-Revetement_A2022"/>
      <sheetName val="4-Lot_Menuiserie_Bois_A2022"/>
      <sheetName val="4-_Lot_Menuiserie_ALu_-A2022"/>
      <sheetName val="5-lot_Faux_plafond22"/>
      <sheetName val="6-lot_peinture-22"/>
      <sheetName val="Menuis_APS022"/>
      <sheetName val="Menuis_APS_(2)22"/>
      <sheetName val="7-lot_fluides22"/>
      <sheetName val="9-Lot_Cuisine_22"/>
      <sheetName val="10-lot_ascen22"/>
      <sheetName val="Metré_usine_M2_26"/>
      <sheetName val="Metré_galerie_M226"/>
      <sheetName val="recp_usine+Galerie26"/>
      <sheetName val="villas_de_1_à_1021"/>
      <sheetName val="1-GO_A2021"/>
      <sheetName val="3-Revetement_A2021"/>
      <sheetName val="4-Lot_Menuiserie_Bois_A2021"/>
      <sheetName val="4-_Lot_Menuiserie_ALu_-A2021"/>
      <sheetName val="5-lot_Faux_plafond21"/>
      <sheetName val="6-lot_peinture-21"/>
      <sheetName val="Menuis_APS021"/>
      <sheetName val="Menuis_APS_(2)21"/>
      <sheetName val="7-lot_fluides21"/>
      <sheetName val="9-Lot_Cuisine_21"/>
      <sheetName val="10-lot_ascen21"/>
      <sheetName val="detail_(EAU+Incendie+arrosage)8"/>
      <sheetName val="PROJET_DE_DRD_ET_DE_CRCA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6">
          <cell r="H6">
            <v>0.1</v>
          </cell>
        </row>
      </sheetData>
      <sheetData sheetId="67">
        <row r="6">
          <cell r="H6">
            <v>0.1</v>
          </cell>
        </row>
      </sheetData>
      <sheetData sheetId="68">
        <row r="6">
          <cell r="H6">
            <v>0.1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6">
          <cell r="H6">
            <v>0.1</v>
          </cell>
        </row>
      </sheetData>
      <sheetData sheetId="78">
        <row r="6">
          <cell r="H6">
            <v>0.1</v>
          </cell>
        </row>
      </sheetData>
      <sheetData sheetId="79">
        <row r="6">
          <cell r="H6">
            <v>0.1</v>
          </cell>
        </row>
      </sheetData>
      <sheetData sheetId="80">
        <row r="6">
          <cell r="H6">
            <v>0.1</v>
          </cell>
        </row>
      </sheetData>
      <sheetData sheetId="81">
        <row r="6">
          <cell r="H6">
            <v>0.1</v>
          </cell>
        </row>
      </sheetData>
      <sheetData sheetId="82">
        <row r="6">
          <cell r="H6">
            <v>0.1</v>
          </cell>
        </row>
      </sheetData>
      <sheetData sheetId="83">
        <row r="6">
          <cell r="H6">
            <v>0.1</v>
          </cell>
        </row>
      </sheetData>
      <sheetData sheetId="84">
        <row r="6">
          <cell r="H6">
            <v>0.1</v>
          </cell>
        </row>
      </sheetData>
      <sheetData sheetId="85">
        <row r="6">
          <cell r="H6">
            <v>0.1</v>
          </cell>
        </row>
      </sheetData>
      <sheetData sheetId="86">
        <row r="6">
          <cell r="H6">
            <v>0.1</v>
          </cell>
        </row>
      </sheetData>
      <sheetData sheetId="87">
        <row r="6">
          <cell r="H6">
            <v>0.1</v>
          </cell>
        </row>
      </sheetData>
      <sheetData sheetId="88">
        <row r="6">
          <cell r="H6">
            <v>0.1</v>
          </cell>
        </row>
      </sheetData>
      <sheetData sheetId="89">
        <row r="6">
          <cell r="H6">
            <v>0.1</v>
          </cell>
        </row>
      </sheetData>
      <sheetData sheetId="90" refreshError="1"/>
      <sheetData sheetId="91">
        <row r="6">
          <cell r="H6">
            <v>0.1</v>
          </cell>
        </row>
      </sheetData>
      <sheetData sheetId="92">
        <row r="6">
          <cell r="H6">
            <v>0.1</v>
          </cell>
        </row>
      </sheetData>
      <sheetData sheetId="93">
        <row r="6">
          <cell r="H6">
            <v>0.1</v>
          </cell>
        </row>
      </sheetData>
      <sheetData sheetId="94">
        <row r="6">
          <cell r="H6">
            <v>0.1</v>
          </cell>
        </row>
      </sheetData>
      <sheetData sheetId="95"/>
      <sheetData sheetId="96"/>
      <sheetData sheetId="97"/>
      <sheetData sheetId="98"/>
      <sheetData sheetId="99">
        <row r="6">
          <cell r="H6">
            <v>0.1</v>
          </cell>
        </row>
      </sheetData>
      <sheetData sheetId="100"/>
      <sheetData sheetId="101"/>
      <sheetData sheetId="102">
        <row r="6">
          <cell r="H6">
            <v>0.1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>
        <row r="6">
          <cell r="H6">
            <v>0.1</v>
          </cell>
        </row>
      </sheetData>
      <sheetData sheetId="108">
        <row r="6">
          <cell r="H6">
            <v>0.1</v>
          </cell>
        </row>
      </sheetData>
      <sheetData sheetId="109">
        <row r="6">
          <cell r="H6">
            <v>0.1</v>
          </cell>
        </row>
      </sheetData>
      <sheetData sheetId="110">
        <row r="6">
          <cell r="H6">
            <v>0.1</v>
          </cell>
        </row>
      </sheetData>
      <sheetData sheetId="111">
        <row r="6">
          <cell r="H6">
            <v>0.1</v>
          </cell>
        </row>
      </sheetData>
      <sheetData sheetId="112">
        <row r="6">
          <cell r="H6">
            <v>0.1</v>
          </cell>
        </row>
      </sheetData>
      <sheetData sheetId="113">
        <row r="6">
          <cell r="H6">
            <v>0.1</v>
          </cell>
        </row>
      </sheetData>
      <sheetData sheetId="114">
        <row r="6">
          <cell r="H6">
            <v>0.1</v>
          </cell>
        </row>
      </sheetData>
      <sheetData sheetId="115"/>
      <sheetData sheetId="116">
        <row r="6">
          <cell r="H6">
            <v>0.1</v>
          </cell>
        </row>
      </sheetData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>
        <row r="6">
          <cell r="H6">
            <v>0.1</v>
          </cell>
        </row>
      </sheetData>
      <sheetData sheetId="127">
        <row r="6">
          <cell r="H6">
            <v>0.1</v>
          </cell>
        </row>
      </sheetData>
      <sheetData sheetId="128">
        <row r="6">
          <cell r="H6">
            <v>0.1</v>
          </cell>
        </row>
      </sheetData>
      <sheetData sheetId="129"/>
      <sheetData sheetId="130">
        <row r="6">
          <cell r="H6">
            <v>0.1</v>
          </cell>
        </row>
      </sheetData>
      <sheetData sheetId="131">
        <row r="6">
          <cell r="H6">
            <v>0.1</v>
          </cell>
        </row>
      </sheetData>
      <sheetData sheetId="132">
        <row r="6">
          <cell r="H6">
            <v>0.1</v>
          </cell>
        </row>
      </sheetData>
      <sheetData sheetId="133"/>
      <sheetData sheetId="134">
        <row r="6">
          <cell r="H6">
            <v>0.1</v>
          </cell>
        </row>
      </sheetData>
      <sheetData sheetId="135">
        <row r="6">
          <cell r="H6">
            <v>0.1</v>
          </cell>
        </row>
      </sheetData>
      <sheetData sheetId="136" refreshError="1"/>
      <sheetData sheetId="137" refreshError="1"/>
      <sheetData sheetId="138" refreshError="1"/>
      <sheetData sheetId="139">
        <row r="6">
          <cell r="H6">
            <v>0.1</v>
          </cell>
        </row>
      </sheetData>
      <sheetData sheetId="140">
        <row r="6">
          <cell r="H6">
            <v>0.1</v>
          </cell>
        </row>
      </sheetData>
      <sheetData sheetId="141">
        <row r="6">
          <cell r="H6">
            <v>0.1</v>
          </cell>
        </row>
      </sheetData>
      <sheetData sheetId="142">
        <row r="6">
          <cell r="H6">
            <v>0.1</v>
          </cell>
        </row>
      </sheetData>
      <sheetData sheetId="143">
        <row r="6">
          <cell r="H6">
            <v>0.1</v>
          </cell>
        </row>
      </sheetData>
      <sheetData sheetId="144">
        <row r="6">
          <cell r="H6">
            <v>0.1</v>
          </cell>
        </row>
      </sheetData>
      <sheetData sheetId="145">
        <row r="6">
          <cell r="H6">
            <v>0.1</v>
          </cell>
        </row>
      </sheetData>
      <sheetData sheetId="146">
        <row r="6">
          <cell r="H6">
            <v>0.1</v>
          </cell>
        </row>
      </sheetData>
      <sheetData sheetId="147">
        <row r="6">
          <cell r="H6">
            <v>0.1</v>
          </cell>
        </row>
      </sheetData>
      <sheetData sheetId="148">
        <row r="6">
          <cell r="H6">
            <v>0.1</v>
          </cell>
        </row>
      </sheetData>
      <sheetData sheetId="149">
        <row r="6">
          <cell r="H6">
            <v>0.1</v>
          </cell>
        </row>
      </sheetData>
      <sheetData sheetId="150">
        <row r="6">
          <cell r="H6">
            <v>0.1</v>
          </cell>
        </row>
      </sheetData>
      <sheetData sheetId="151">
        <row r="6">
          <cell r="H6">
            <v>0.1</v>
          </cell>
        </row>
      </sheetData>
      <sheetData sheetId="152">
        <row r="6">
          <cell r="H6">
            <v>0.1</v>
          </cell>
        </row>
      </sheetData>
      <sheetData sheetId="153">
        <row r="6">
          <cell r="H6">
            <v>0.1</v>
          </cell>
        </row>
      </sheetData>
      <sheetData sheetId="154">
        <row r="6">
          <cell r="H6">
            <v>0.1</v>
          </cell>
        </row>
      </sheetData>
      <sheetData sheetId="155">
        <row r="6">
          <cell r="H6">
            <v>0.1</v>
          </cell>
        </row>
      </sheetData>
      <sheetData sheetId="156">
        <row r="6">
          <cell r="H6">
            <v>0.1</v>
          </cell>
        </row>
      </sheetData>
      <sheetData sheetId="157">
        <row r="6">
          <cell r="H6">
            <v>0.1</v>
          </cell>
        </row>
      </sheetData>
      <sheetData sheetId="158">
        <row r="6">
          <cell r="H6">
            <v>0.1</v>
          </cell>
        </row>
      </sheetData>
      <sheetData sheetId="159">
        <row r="6">
          <cell r="H6">
            <v>0.1</v>
          </cell>
        </row>
      </sheetData>
      <sheetData sheetId="160">
        <row r="6">
          <cell r="H6">
            <v>0.1</v>
          </cell>
        </row>
      </sheetData>
      <sheetData sheetId="161">
        <row r="6">
          <cell r="H6">
            <v>0.1</v>
          </cell>
        </row>
      </sheetData>
      <sheetData sheetId="162">
        <row r="6">
          <cell r="H6">
            <v>0.1</v>
          </cell>
        </row>
      </sheetData>
      <sheetData sheetId="163">
        <row r="6">
          <cell r="H6">
            <v>0.1</v>
          </cell>
        </row>
      </sheetData>
      <sheetData sheetId="164">
        <row r="6">
          <cell r="H6">
            <v>0.1</v>
          </cell>
        </row>
      </sheetData>
      <sheetData sheetId="165">
        <row r="6">
          <cell r="H6">
            <v>0.1</v>
          </cell>
        </row>
      </sheetData>
      <sheetData sheetId="166">
        <row r="6">
          <cell r="H6">
            <v>0.1</v>
          </cell>
        </row>
      </sheetData>
      <sheetData sheetId="167">
        <row r="6">
          <cell r="H6">
            <v>0.1</v>
          </cell>
        </row>
      </sheetData>
      <sheetData sheetId="168">
        <row r="6">
          <cell r="H6">
            <v>0.1</v>
          </cell>
        </row>
      </sheetData>
      <sheetData sheetId="169">
        <row r="6">
          <cell r="H6">
            <v>0.1</v>
          </cell>
        </row>
      </sheetData>
      <sheetData sheetId="170">
        <row r="6">
          <cell r="H6">
            <v>0.1</v>
          </cell>
        </row>
      </sheetData>
      <sheetData sheetId="171">
        <row r="6">
          <cell r="H6">
            <v>0.1</v>
          </cell>
        </row>
      </sheetData>
      <sheetData sheetId="172">
        <row r="6">
          <cell r="H6">
            <v>0.1</v>
          </cell>
        </row>
      </sheetData>
      <sheetData sheetId="173">
        <row r="6">
          <cell r="H6">
            <v>0.1</v>
          </cell>
        </row>
      </sheetData>
      <sheetData sheetId="174">
        <row r="6">
          <cell r="H6">
            <v>0.1</v>
          </cell>
        </row>
      </sheetData>
      <sheetData sheetId="175">
        <row r="6">
          <cell r="H6">
            <v>0.1</v>
          </cell>
        </row>
      </sheetData>
      <sheetData sheetId="176">
        <row r="6">
          <cell r="H6">
            <v>0.1</v>
          </cell>
        </row>
      </sheetData>
      <sheetData sheetId="177">
        <row r="6">
          <cell r="H6">
            <v>0.1</v>
          </cell>
        </row>
      </sheetData>
      <sheetData sheetId="178">
        <row r="6">
          <cell r="H6">
            <v>0.1</v>
          </cell>
        </row>
      </sheetData>
      <sheetData sheetId="179">
        <row r="6">
          <cell r="H6">
            <v>0.1</v>
          </cell>
        </row>
      </sheetData>
      <sheetData sheetId="180">
        <row r="6">
          <cell r="H6">
            <v>0.1</v>
          </cell>
        </row>
      </sheetData>
      <sheetData sheetId="181">
        <row r="6">
          <cell r="H6">
            <v>0.1</v>
          </cell>
        </row>
      </sheetData>
      <sheetData sheetId="182">
        <row r="6">
          <cell r="H6">
            <v>0.1</v>
          </cell>
        </row>
      </sheetData>
      <sheetData sheetId="183">
        <row r="6">
          <cell r="H6">
            <v>0.1</v>
          </cell>
        </row>
      </sheetData>
      <sheetData sheetId="184">
        <row r="6">
          <cell r="H6">
            <v>0.1</v>
          </cell>
        </row>
      </sheetData>
      <sheetData sheetId="185">
        <row r="6">
          <cell r="H6">
            <v>0.1</v>
          </cell>
        </row>
      </sheetData>
      <sheetData sheetId="186">
        <row r="6">
          <cell r="H6">
            <v>0.1</v>
          </cell>
        </row>
      </sheetData>
      <sheetData sheetId="187">
        <row r="6">
          <cell r="H6">
            <v>0.1</v>
          </cell>
        </row>
      </sheetData>
      <sheetData sheetId="188">
        <row r="6">
          <cell r="H6">
            <v>0.1</v>
          </cell>
        </row>
      </sheetData>
      <sheetData sheetId="189">
        <row r="6">
          <cell r="H6">
            <v>0.1</v>
          </cell>
        </row>
      </sheetData>
      <sheetData sheetId="190">
        <row r="6">
          <cell r="H6">
            <v>0.1</v>
          </cell>
        </row>
      </sheetData>
      <sheetData sheetId="191">
        <row r="6">
          <cell r="H6">
            <v>0.1</v>
          </cell>
        </row>
      </sheetData>
      <sheetData sheetId="192">
        <row r="6">
          <cell r="H6">
            <v>0.1</v>
          </cell>
        </row>
      </sheetData>
      <sheetData sheetId="193">
        <row r="6">
          <cell r="H6">
            <v>0.1</v>
          </cell>
        </row>
      </sheetData>
      <sheetData sheetId="194">
        <row r="6">
          <cell r="H6">
            <v>0.1</v>
          </cell>
        </row>
      </sheetData>
      <sheetData sheetId="195">
        <row r="6">
          <cell r="H6">
            <v>0.1</v>
          </cell>
        </row>
      </sheetData>
      <sheetData sheetId="196">
        <row r="6">
          <cell r="H6">
            <v>0.1</v>
          </cell>
        </row>
      </sheetData>
      <sheetData sheetId="197">
        <row r="6">
          <cell r="H6">
            <v>0.1</v>
          </cell>
        </row>
      </sheetData>
      <sheetData sheetId="198"/>
      <sheetData sheetId="199"/>
      <sheetData sheetId="200">
        <row r="6">
          <cell r="H6">
            <v>0.1</v>
          </cell>
        </row>
      </sheetData>
      <sheetData sheetId="201">
        <row r="6">
          <cell r="H6">
            <v>0.1</v>
          </cell>
        </row>
      </sheetData>
      <sheetData sheetId="202">
        <row r="6">
          <cell r="H6">
            <v>0.1</v>
          </cell>
        </row>
      </sheetData>
      <sheetData sheetId="203">
        <row r="6">
          <cell r="H6">
            <v>0.1</v>
          </cell>
        </row>
      </sheetData>
      <sheetData sheetId="204">
        <row r="6">
          <cell r="H6">
            <v>0.1</v>
          </cell>
        </row>
      </sheetData>
      <sheetData sheetId="205"/>
      <sheetData sheetId="206">
        <row r="6">
          <cell r="H6">
            <v>0.1</v>
          </cell>
        </row>
      </sheetData>
      <sheetData sheetId="207">
        <row r="6">
          <cell r="H6">
            <v>0.1</v>
          </cell>
        </row>
      </sheetData>
      <sheetData sheetId="208">
        <row r="6">
          <cell r="H6">
            <v>0.1</v>
          </cell>
        </row>
      </sheetData>
      <sheetData sheetId="209">
        <row r="6">
          <cell r="H6">
            <v>0.1</v>
          </cell>
        </row>
      </sheetData>
      <sheetData sheetId="210">
        <row r="6">
          <cell r="H6">
            <v>0.1</v>
          </cell>
        </row>
      </sheetData>
      <sheetData sheetId="211">
        <row r="6">
          <cell r="H6">
            <v>0.1</v>
          </cell>
        </row>
      </sheetData>
      <sheetData sheetId="212"/>
      <sheetData sheetId="213">
        <row r="6">
          <cell r="H6">
            <v>0.1</v>
          </cell>
        </row>
      </sheetData>
      <sheetData sheetId="214"/>
      <sheetData sheetId="215">
        <row r="6">
          <cell r="H6">
            <v>0.1</v>
          </cell>
        </row>
      </sheetData>
      <sheetData sheetId="216">
        <row r="6">
          <cell r="H6">
            <v>0.1</v>
          </cell>
        </row>
      </sheetData>
      <sheetData sheetId="217">
        <row r="6">
          <cell r="H6">
            <v>0.1</v>
          </cell>
        </row>
      </sheetData>
      <sheetData sheetId="218">
        <row r="6">
          <cell r="H6">
            <v>0.1</v>
          </cell>
        </row>
      </sheetData>
      <sheetData sheetId="219">
        <row r="6">
          <cell r="H6">
            <v>0.1</v>
          </cell>
        </row>
      </sheetData>
      <sheetData sheetId="220">
        <row r="6">
          <cell r="H6">
            <v>0.1</v>
          </cell>
        </row>
      </sheetData>
      <sheetData sheetId="221">
        <row r="6">
          <cell r="H6">
            <v>0.1</v>
          </cell>
        </row>
      </sheetData>
      <sheetData sheetId="222">
        <row r="6">
          <cell r="H6">
            <v>0.1</v>
          </cell>
        </row>
      </sheetData>
      <sheetData sheetId="223">
        <row r="6">
          <cell r="H6">
            <v>0.1</v>
          </cell>
        </row>
      </sheetData>
      <sheetData sheetId="224">
        <row r="6">
          <cell r="H6">
            <v>0.1</v>
          </cell>
        </row>
      </sheetData>
      <sheetData sheetId="225">
        <row r="6">
          <cell r="H6">
            <v>0.1</v>
          </cell>
        </row>
      </sheetData>
      <sheetData sheetId="226">
        <row r="6">
          <cell r="H6">
            <v>0.1</v>
          </cell>
        </row>
      </sheetData>
      <sheetData sheetId="227">
        <row r="6">
          <cell r="H6">
            <v>0.1</v>
          </cell>
        </row>
      </sheetData>
      <sheetData sheetId="228">
        <row r="6">
          <cell r="H6">
            <v>0.1</v>
          </cell>
        </row>
      </sheetData>
      <sheetData sheetId="229">
        <row r="6">
          <cell r="H6">
            <v>0.1</v>
          </cell>
        </row>
      </sheetData>
      <sheetData sheetId="230">
        <row r="6">
          <cell r="H6">
            <v>0.1</v>
          </cell>
        </row>
      </sheetData>
      <sheetData sheetId="231">
        <row r="6">
          <cell r="H6">
            <v>0.1</v>
          </cell>
        </row>
      </sheetData>
      <sheetData sheetId="232">
        <row r="6">
          <cell r="H6">
            <v>0.1</v>
          </cell>
        </row>
      </sheetData>
      <sheetData sheetId="233">
        <row r="6">
          <cell r="H6">
            <v>0.1</v>
          </cell>
        </row>
      </sheetData>
      <sheetData sheetId="234">
        <row r="6">
          <cell r="H6">
            <v>0.1</v>
          </cell>
        </row>
      </sheetData>
      <sheetData sheetId="235">
        <row r="6">
          <cell r="H6">
            <v>0.1</v>
          </cell>
        </row>
      </sheetData>
      <sheetData sheetId="236">
        <row r="6">
          <cell r="H6">
            <v>0.1</v>
          </cell>
        </row>
      </sheetData>
      <sheetData sheetId="237">
        <row r="6">
          <cell r="H6">
            <v>0.1</v>
          </cell>
        </row>
      </sheetData>
      <sheetData sheetId="238">
        <row r="6">
          <cell r="H6">
            <v>0.1</v>
          </cell>
        </row>
      </sheetData>
      <sheetData sheetId="239">
        <row r="6">
          <cell r="H6">
            <v>0.1</v>
          </cell>
        </row>
      </sheetData>
      <sheetData sheetId="240">
        <row r="6">
          <cell r="H6">
            <v>0.1</v>
          </cell>
        </row>
      </sheetData>
      <sheetData sheetId="241">
        <row r="6">
          <cell r="H6">
            <v>0.1</v>
          </cell>
        </row>
      </sheetData>
      <sheetData sheetId="242">
        <row r="6">
          <cell r="H6">
            <v>0.1</v>
          </cell>
        </row>
      </sheetData>
      <sheetData sheetId="243">
        <row r="6">
          <cell r="H6">
            <v>0.1</v>
          </cell>
        </row>
      </sheetData>
      <sheetData sheetId="244">
        <row r="6">
          <cell r="H6">
            <v>0.1</v>
          </cell>
        </row>
      </sheetData>
      <sheetData sheetId="245">
        <row r="6">
          <cell r="H6">
            <v>0.1</v>
          </cell>
        </row>
      </sheetData>
      <sheetData sheetId="246">
        <row r="6">
          <cell r="H6">
            <v>0.1</v>
          </cell>
        </row>
      </sheetData>
      <sheetData sheetId="247">
        <row r="6">
          <cell r="H6">
            <v>0.1</v>
          </cell>
        </row>
      </sheetData>
      <sheetData sheetId="248">
        <row r="6">
          <cell r="H6">
            <v>0.1</v>
          </cell>
        </row>
      </sheetData>
      <sheetData sheetId="249">
        <row r="6">
          <cell r="H6">
            <v>0.1</v>
          </cell>
        </row>
      </sheetData>
      <sheetData sheetId="250">
        <row r="6">
          <cell r="H6">
            <v>0.1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>
        <row r="6">
          <cell r="H6">
            <v>0.1</v>
          </cell>
        </row>
      </sheetData>
      <sheetData sheetId="367">
        <row r="6">
          <cell r="H6">
            <v>0.1</v>
          </cell>
        </row>
      </sheetData>
      <sheetData sheetId="368"/>
      <sheetData sheetId="369" refreshError="1"/>
      <sheetData sheetId="370">
        <row r="6">
          <cell r="H6">
            <v>0.1</v>
          </cell>
        </row>
      </sheetData>
      <sheetData sheetId="371">
        <row r="6">
          <cell r="H6">
            <v>0.1</v>
          </cell>
        </row>
      </sheetData>
      <sheetData sheetId="372"/>
      <sheetData sheetId="373"/>
      <sheetData sheetId="374"/>
      <sheetData sheetId="375" refreshError="1"/>
      <sheetData sheetId="376" refreshError="1"/>
      <sheetData sheetId="377">
        <row r="6">
          <cell r="H6">
            <v>0.1</v>
          </cell>
        </row>
      </sheetData>
      <sheetData sheetId="378">
        <row r="6">
          <cell r="H6">
            <v>0.1</v>
          </cell>
        </row>
      </sheetData>
      <sheetData sheetId="379">
        <row r="6">
          <cell r="H6">
            <v>0.1</v>
          </cell>
        </row>
      </sheetData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6">
          <cell r="H6">
            <v>0.1</v>
          </cell>
        </row>
      </sheetData>
      <sheetData sheetId="393">
        <row r="6">
          <cell r="H6">
            <v>0.1</v>
          </cell>
        </row>
      </sheetData>
      <sheetData sheetId="394">
        <row r="6">
          <cell r="H6">
            <v>0.1</v>
          </cell>
        </row>
      </sheetData>
      <sheetData sheetId="395"/>
      <sheetData sheetId="396">
        <row r="6">
          <cell r="H6">
            <v>0.1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>
        <row r="6">
          <cell r="H6">
            <v>0.1</v>
          </cell>
        </row>
      </sheetData>
      <sheetData sheetId="408">
        <row r="6">
          <cell r="H6">
            <v>0.1</v>
          </cell>
        </row>
      </sheetData>
      <sheetData sheetId="409">
        <row r="6">
          <cell r="H6">
            <v>0.1</v>
          </cell>
        </row>
      </sheetData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AN2"/>
      <sheetName val="Feuil1"/>
      <sheetName val="Module1"/>
      <sheetName val="Feuil2"/>
      <sheetName val="Feuil3"/>
      <sheetName val="PG"/>
      <sheetName val="Avanc %"/>
      <sheetName val="BORDEREAU"/>
      <sheetName val="Appros"/>
      <sheetName val="Avanc  par bloc VVT"/>
      <sheetName val="Macro_press"/>
      <sheetName val="Macro_colbrook"/>
      <sheetName val="Macro_cons"/>
      <sheetName val="Macro_Diam_interne"/>
      <sheetName val="Macro_Dexterne"/>
      <sheetName val="Macro_Epaisseur"/>
      <sheetName val="Macro_Long"/>
      <sheetName val="Fourniture"/>
      <sheetName val="Macro-Hardy-Cross"/>
      <sheetName val="Macro-Pression"/>
      <sheetName val="Calcul"/>
      <sheetName val="Z.Fnche"/>
      <sheetName val="Macro_Newton"/>
      <sheetName val="OP FINANCIERS"/>
      <sheetName val="Jugement"/>
      <sheetName val="TAB COMP TEC"/>
      <sheetName val="affichage"/>
      <sheetName val="Signature"/>
      <sheetName val="timbrage"/>
      <sheetName val="Page garde"/>
      <sheetName val="FAX PRECISION"/>
      <sheetName val="tab demarreur"/>
      <sheetName val="FAX CORREC"/>
      <sheetName val="offre fina"/>
      <sheetName val="B.P"/>
      <sheetName val="D.E"/>
      <sheetName val="Soumission (2)"/>
      <sheetName val="ANNEXES"/>
      <sheetName val="etiq"/>
      <sheetName val="GESTION ao"/>
      <sheetName val="Feuil1 (2)"/>
      <sheetName val="linéaire"/>
      <sheetName val="etan"/>
      <sheetName val="BpElecEnnasr-Géneral"/>
      <sheetName val="Bache"/>
      <sheetName val="données_et_résultats"/>
      <sheetName val="BUDGET"/>
      <sheetName val="PU"/>
      <sheetName val="R2CAP"/>
      <sheetName val="S_P12"/>
      <sheetName val="BD"/>
      <sheetName val="GC_150m3_MGHASSINE1"/>
      <sheetName val="AN3"/>
      <sheetName val="dimensio_EU"/>
      <sheetName val="EST_CONF"/>
      <sheetName val="PG1"/>
      <sheetName val="production_distrib"/>
      <sheetName val="Bache_50_m3_SR12"/>
      <sheetName val="Nbr_"/>
      <sheetName val="VRD"/>
      <sheetName val="calculs"/>
      <sheetName val="Récap"/>
      <sheetName val="Echéancier"/>
      <sheetName val="DefinitionPrix"/>
      <sheetName val="DATA"/>
      <sheetName val="aep"/>
      <sheetName val="Rep pop"/>
      <sheetName val="0DONNEESDEBASES"/>
      <sheetName val="Avanc_%"/>
      <sheetName val="Avanc__par_bloc_VVT"/>
      <sheetName val="Z_Fnche"/>
      <sheetName val="Avanc_%1"/>
      <sheetName val="Avanc__par_bloc_VVT1"/>
      <sheetName val="Z_Fnche1"/>
      <sheetName val="récap pein "/>
      <sheetName val="DimensRESEAU (2)"/>
      <sheetName val="Avanc_%2"/>
      <sheetName val="Avanc__par_bloc_VVT2"/>
      <sheetName val="Z_Fnche2"/>
      <sheetName val="Avanc_%3"/>
      <sheetName val="Avanc__par_bloc_VVT3"/>
      <sheetName val="Z_Fnche3"/>
      <sheetName val="Avanc_%4"/>
      <sheetName val="Avanc__par_bloc_VVT4"/>
      <sheetName val="Z_Fnche4"/>
      <sheetName val="Avanc_%5"/>
      <sheetName val="Avanc__par_bloc_VVT5"/>
      <sheetName val="Z_Fnche5"/>
      <sheetName val="Avanc_%6"/>
      <sheetName val="Avanc__par_bloc_VVT6"/>
      <sheetName val="Z_Fnche6"/>
      <sheetName val="Avanc_%7"/>
      <sheetName val="Avanc__par_bloc_VVT7"/>
      <sheetName val="Z_Fnche7"/>
      <sheetName val="Avanc_%8"/>
      <sheetName val="Avanc__par_bloc_VVT8"/>
      <sheetName val="Z_Fnche8"/>
      <sheetName val="Avanc_%9"/>
      <sheetName val="Avanc__par_bloc_VVT9"/>
      <sheetName val="Z_Fnche9"/>
      <sheetName val="Avanc_%10"/>
      <sheetName val="Avanc__par_bloc_VVT10"/>
      <sheetName val="Z_Fnche10"/>
      <sheetName val="Avanc_%11"/>
      <sheetName val="Avanc__par_bloc_VVT11"/>
      <sheetName val="Z_Fnche11"/>
      <sheetName val="Avanc_%12"/>
      <sheetName val="Avanc__par_bloc_VVT12"/>
      <sheetName val="Z_Fnche12"/>
      <sheetName val="Avanc_%13"/>
      <sheetName val="Avanc__par_bloc_VVT13"/>
      <sheetName val="Z_Fnche13"/>
      <sheetName val="Avanc_%14"/>
      <sheetName val="Avanc__par_bloc_VVT14"/>
      <sheetName val="Z_Fnche14"/>
      <sheetName val="Avanc_%15"/>
      <sheetName val="Avanc__par_bloc_VVT15"/>
      <sheetName val="Z_Fnche15"/>
      <sheetName val="Avanc_%16"/>
      <sheetName val="Avanc__par_bloc_VVT16"/>
      <sheetName val="Z_Fnche16"/>
      <sheetName val="Avanc_%17"/>
      <sheetName val="Avanc__par_bloc_VVT17"/>
      <sheetName val="Z_Fnche17"/>
      <sheetName val="Avanc_%18"/>
      <sheetName val="Avanc__par_bloc_VVT18"/>
      <sheetName val="Z_Fnche18"/>
      <sheetName val="Avanc_%21"/>
      <sheetName val="Avanc__par_bloc_VVT21"/>
      <sheetName val="Z_Fnche21"/>
      <sheetName val="OP_FINANCIERS2"/>
      <sheetName val="TAB_COMP_TEC2"/>
      <sheetName val="Page_garde2"/>
      <sheetName val="FAX_PRECISION2"/>
      <sheetName val="tab_demarreur2"/>
      <sheetName val="FAX_CORREC2"/>
      <sheetName val="offre_fina2"/>
      <sheetName val="B_P2"/>
      <sheetName val="D_E2"/>
      <sheetName val="Soumission_(2)2"/>
      <sheetName val="GESTION_ao2"/>
      <sheetName val="Feuil1_(2)2"/>
      <sheetName val="Rep_pop2"/>
      <sheetName val="récap_pein_2"/>
      <sheetName val="DimensRESEAU_(2)2"/>
      <sheetName val="Avanc_%20"/>
      <sheetName val="Avanc__par_bloc_VVT20"/>
      <sheetName val="Z_Fnche20"/>
      <sheetName val="OP_FINANCIERS1"/>
      <sheetName val="TAB_COMP_TEC1"/>
      <sheetName val="Page_garde1"/>
      <sheetName val="FAX_PRECISION1"/>
      <sheetName val="tab_demarreur1"/>
      <sheetName val="FAX_CORREC1"/>
      <sheetName val="offre_fina1"/>
      <sheetName val="B_P1"/>
      <sheetName val="D_E1"/>
      <sheetName val="Soumission_(2)1"/>
      <sheetName val="GESTION_ao1"/>
      <sheetName val="Feuil1_(2)1"/>
      <sheetName val="Rep_pop1"/>
      <sheetName val="récap_pein_1"/>
      <sheetName val="DimensRESEAU_(2)1"/>
      <sheetName val="Avanc_%19"/>
      <sheetName val="Avanc__par_bloc_VVT19"/>
      <sheetName val="Z_Fnche19"/>
      <sheetName val="OP_FINANCIERS"/>
      <sheetName val="TAB_COMP_TEC"/>
      <sheetName val="Page_garde"/>
      <sheetName val="FAX_PRECISION"/>
      <sheetName val="tab_demarreur"/>
      <sheetName val="FAX_CORREC"/>
      <sheetName val="offre_fina"/>
      <sheetName val="B_P"/>
      <sheetName val="D_E"/>
      <sheetName val="Soumission_(2)"/>
      <sheetName val="GESTION_ao"/>
      <sheetName val="Feuil1_(2)"/>
      <sheetName val="Rep_pop"/>
      <sheetName val="récap_pein_"/>
      <sheetName val="DimensRESEAU_(2)"/>
      <sheetName val="Avanc_%22"/>
      <sheetName val="Avanc__par_bloc_VVT22"/>
      <sheetName val="Z_Fnche22"/>
      <sheetName val="OP_FINANCIERS3"/>
      <sheetName val="TAB_COMP_TEC3"/>
      <sheetName val="Page_garde3"/>
      <sheetName val="FAX_PRECISION3"/>
      <sheetName val="tab_demarreur3"/>
      <sheetName val="FAX_CORREC3"/>
      <sheetName val="offre_fina3"/>
      <sheetName val="B_P3"/>
      <sheetName val="D_E3"/>
      <sheetName val="Soumission_(2)3"/>
      <sheetName val="GESTION_ao3"/>
      <sheetName val="Feuil1_(2)3"/>
      <sheetName val="Rep_pop3"/>
      <sheetName val="récap_pein_3"/>
      <sheetName val="DimensRESEAU_(2)3"/>
      <sheetName val="Avanc_%23"/>
      <sheetName val="Avanc__par_bloc_VVT23"/>
      <sheetName val="Z_Fnche23"/>
      <sheetName val="OP_FINANCIERS4"/>
      <sheetName val="TAB_COMP_TEC4"/>
      <sheetName val="Page_garde4"/>
      <sheetName val="FAX_PRECISION4"/>
      <sheetName val="tab_demarreur4"/>
      <sheetName val="FAX_CORREC4"/>
      <sheetName val="offre_fina4"/>
      <sheetName val="B_P4"/>
      <sheetName val="D_E4"/>
      <sheetName val="Soumission_(2)4"/>
      <sheetName val="GESTION_ao4"/>
      <sheetName val="Feuil1_(2)4"/>
      <sheetName val="Rep_pop4"/>
      <sheetName val="récap_pein_4"/>
      <sheetName val="DimensRESEAU_(2)4"/>
      <sheetName val="Avanc_%24"/>
      <sheetName val="Avanc__par_bloc_VVT24"/>
      <sheetName val="Z_Fnche24"/>
      <sheetName val="OP_FINANCIERS5"/>
      <sheetName val="TAB_COMP_TEC5"/>
      <sheetName val="Page_garde5"/>
      <sheetName val="FAX_PRECISION5"/>
      <sheetName val="tab_demarreur5"/>
      <sheetName val="FAX_CORREC5"/>
      <sheetName val="offre_fina5"/>
      <sheetName val="B_P5"/>
      <sheetName val="D_E5"/>
      <sheetName val="Soumission_(2)5"/>
      <sheetName val="GESTION_ao5"/>
      <sheetName val="Feuil1_(2)5"/>
      <sheetName val="Rep_pop5"/>
      <sheetName val="récap_pein_5"/>
      <sheetName val="DimensRESEAU_(2)5"/>
      <sheetName val="AvalCredoc"/>
      <sheetName val="Escompte"/>
      <sheetName val="Q10-Branche-A&amp;B"/>
      <sheetName val="BacheSR3NZ"/>
      <sheetName val="GC 150m3 MGHASSINE"/>
      <sheetName val="coef"/>
      <sheetName val="Coefficient"/>
      <sheetName val="Constantes"/>
      <sheetName val="S_P1"/>
      <sheetName val="GC_150m3_MGHASSINE"/>
      <sheetName val="Border"/>
      <sheetName val="Prix"/>
      <sheetName val="Réservoir_200m3_G8"/>
      <sheetName val="GC_150m3_MGHASSINE2"/>
      <sheetName val="Réservoir_200m3_G82"/>
      <sheetName val="S_P11"/>
      <sheetName val="Réservoir_200m3_G81"/>
      <sheetName val="S.P1"/>
      <sheetName val="Réservoir 200m3_G8"/>
      <sheetName val="progmetr4"/>
      <sheetName val="B_P6"/>
      <sheetName val="D_E6"/>
      <sheetName val="Soumission_(2)6"/>
      <sheetName val="GESTION_ao6"/>
      <sheetName val="Feuil1_(2)6"/>
      <sheetName val="OP_FINANCIERS11"/>
      <sheetName val="TAB_COMP_TEC11"/>
      <sheetName val="Page_garde11"/>
      <sheetName val="FAX_PRECISION11"/>
      <sheetName val="tab_demarreur11"/>
      <sheetName val="FAX_CORREC11"/>
      <sheetName val="offre_fina11"/>
      <sheetName val="B_P12"/>
      <sheetName val="D_E12"/>
      <sheetName val="Soumission_(2)12"/>
      <sheetName val="GESTION_ao12"/>
      <sheetName val="Feuil1_(2)12"/>
      <sheetName val="Rep_pop11"/>
      <sheetName val="récap_pein_11"/>
      <sheetName val="DimensRESEAU_(2)11"/>
      <sheetName val="OP_FINANCIERS6"/>
      <sheetName val="TAB_COMP_TEC6"/>
      <sheetName val="Page_garde6"/>
      <sheetName val="FAX_PRECISION6"/>
      <sheetName val="tab_demarreur6"/>
      <sheetName val="FAX_CORREC6"/>
      <sheetName val="offre_fina6"/>
      <sheetName val="B_P7"/>
      <sheetName val="D_E7"/>
      <sheetName val="Soumission_(2)7"/>
      <sheetName val="GESTION_ao7"/>
      <sheetName val="Feuil1_(2)7"/>
      <sheetName val="Rep_pop6"/>
      <sheetName val="récap_pein_6"/>
      <sheetName val="DimensRESEAU_(2)6"/>
      <sheetName val="OP_FINANCIERS7"/>
      <sheetName val="TAB_COMP_TEC7"/>
      <sheetName val="Page_garde7"/>
      <sheetName val="FAX_PRECISION7"/>
      <sheetName val="tab_demarreur7"/>
      <sheetName val="FAX_CORREC7"/>
      <sheetName val="offre_fina7"/>
      <sheetName val="B_P8"/>
      <sheetName val="D_E8"/>
      <sheetName val="Soumission_(2)8"/>
      <sheetName val="GESTION_ao8"/>
      <sheetName val="Feuil1_(2)8"/>
      <sheetName val="Rep_pop7"/>
      <sheetName val="récap_pein_7"/>
      <sheetName val="DimensRESEAU_(2)7"/>
      <sheetName val="OP_FINANCIERS8"/>
      <sheetName val="TAB_COMP_TEC8"/>
      <sheetName val="Page_garde8"/>
      <sheetName val="FAX_PRECISION8"/>
      <sheetName val="tab_demarreur8"/>
      <sheetName val="FAX_CORREC8"/>
      <sheetName val="offre_fina8"/>
      <sheetName val="B_P9"/>
      <sheetName val="D_E9"/>
      <sheetName val="Soumission_(2)9"/>
      <sheetName val="GESTION_ao9"/>
      <sheetName val="Feuil1_(2)9"/>
      <sheetName val="Rep_pop8"/>
      <sheetName val="récap_pein_8"/>
      <sheetName val="DimensRESEAU_(2)8"/>
      <sheetName val="OP_FINANCIERS10"/>
      <sheetName val="TAB_COMP_TEC10"/>
      <sheetName val="Page_garde10"/>
      <sheetName val="FAX_PRECISION10"/>
      <sheetName val="tab_demarreur10"/>
      <sheetName val="FAX_CORREC10"/>
      <sheetName val="offre_fina10"/>
      <sheetName val="B_P11"/>
      <sheetName val="D_E11"/>
      <sheetName val="Soumission_(2)11"/>
      <sheetName val="GESTION_ao11"/>
      <sheetName val="Feuil1_(2)11"/>
      <sheetName val="Rep_pop10"/>
      <sheetName val="récap_pein_10"/>
      <sheetName val="DimensRESEAU_(2)10"/>
      <sheetName val="OP_FINANCIERS9"/>
      <sheetName val="TAB_COMP_TEC9"/>
      <sheetName val="Page_garde9"/>
      <sheetName val="FAX_PRECISION9"/>
      <sheetName val="tab_demarreur9"/>
      <sheetName val="FAX_CORREC9"/>
      <sheetName val="offre_fina9"/>
      <sheetName val="B_P10"/>
      <sheetName val="D_E10"/>
      <sheetName val="Soumission_(2)10"/>
      <sheetName val="GESTION_ao10"/>
      <sheetName val="Feuil1_(2)10"/>
      <sheetName val="Rep_pop9"/>
      <sheetName val="récap_pein_9"/>
      <sheetName val="DimensRESEAU_(2)9"/>
      <sheetName val="B_P13"/>
      <sheetName val="D_E13"/>
      <sheetName val="Soumission_(2)13"/>
      <sheetName val="GESTION_ao13"/>
      <sheetName val="Feuil1_(2)13"/>
      <sheetName val="B_P14"/>
      <sheetName val="D_E14"/>
      <sheetName val="Soumission_(2)14"/>
      <sheetName val="GESTION_ao14"/>
      <sheetName val="Feuil1_(2)14"/>
      <sheetName val="B_P15"/>
      <sheetName val="D_E15"/>
      <sheetName val="Soumission_(2)15"/>
      <sheetName val="GESTION_ao15"/>
      <sheetName val="Feuil1_(2)15"/>
      <sheetName val="B_P16"/>
      <sheetName val="D_E16"/>
      <sheetName val="Soumission_(2)16"/>
      <sheetName val="GESTION_ao16"/>
      <sheetName val="Feuil1_(2)16"/>
      <sheetName val="B_P17"/>
      <sheetName val="D_E17"/>
      <sheetName val="Soumission_(2)17"/>
      <sheetName val="GESTION_ao17"/>
      <sheetName val="Feuil1_(2)17"/>
      <sheetName val="B_P18"/>
      <sheetName val="D_E18"/>
      <sheetName val="Soumission_(2)18"/>
      <sheetName val="GESTION_ao18"/>
      <sheetName val="Feuil1_(2)18"/>
      <sheetName val="B_P19"/>
      <sheetName val="D_E19"/>
      <sheetName val="Soumission_(2)19"/>
      <sheetName val="GESTION_ao19"/>
      <sheetName val="Feuil1_(2)19"/>
      <sheetName val="B_P20"/>
      <sheetName val="D_E20"/>
      <sheetName val="Soumission_(2)20"/>
      <sheetName val="GESTION_ao20"/>
      <sheetName val="Feuil1_(2)20"/>
      <sheetName val="S_P13"/>
      <sheetName val="GC_150m3_MGHASSINE3"/>
      <sheetName val="Réservoir_200m3_G83"/>
      <sheetName val="S_P14"/>
      <sheetName val="GC_150m3_MGHASSINE4"/>
      <sheetName val="Réservoir_200m3_G84"/>
      <sheetName val="S_P15"/>
      <sheetName val="GC_150m3_MGHASSINE5"/>
      <sheetName val="Réservoir_200m3_G85"/>
      <sheetName val="Table1"/>
      <sheetName val="bord.elec.annasr"/>
      <sheetName val="Personnel"/>
      <sheetName val="bord_elec_annasr"/>
      <sheetName val="elec"/>
      <sheetName val="Base Liste"/>
      <sheetName val="S_P16"/>
      <sheetName val="GC_150m3_MGHASSINE6"/>
      <sheetName val="Réservoir_200m3_G86"/>
      <sheetName val="Base_Liste"/>
      <sheetName val="Réservoir 100m3_G8"/>
      <sheetName val="Réservoir_100m3_G82"/>
      <sheetName val="groupe 2 B-A"/>
      <sheetName val="Avanc_%27"/>
      <sheetName val="Avanc__par_bloc_VVT27"/>
      <sheetName val="Z_Fnche27"/>
      <sheetName val="OP_FINANCIERS12"/>
      <sheetName val="TAB_COMP_TEC12"/>
      <sheetName val="Page_garde12"/>
      <sheetName val="FAX_PRECISION12"/>
      <sheetName val="tab_demarreur12"/>
      <sheetName val="FAX_CORREC12"/>
      <sheetName val="offre_fina12"/>
      <sheetName val="B_P21"/>
      <sheetName val="D_E21"/>
      <sheetName val="Soumission_(2)21"/>
      <sheetName val="GESTION_ao21"/>
      <sheetName val="Feuil1_(2)21"/>
      <sheetName val="Rep_pop12"/>
      <sheetName val="récap_pein_12"/>
      <sheetName val="DimensRESEAU_(2)12"/>
      <sheetName val="bord_elec_annasr2"/>
      <sheetName val="Z_Fnche25"/>
      <sheetName val="Avanc_%25"/>
      <sheetName val="Avanc__par_bloc_VVT25"/>
      <sheetName val="Avanc_%26"/>
      <sheetName val="Avanc__par_bloc_VVT26"/>
      <sheetName val="Z_Fnche26"/>
      <sheetName val="bord_elec_annasr1"/>
      <sheetName val="Avanc_%28"/>
      <sheetName val="Avanc__par_bloc_VVT28"/>
      <sheetName val="Z_Fnche28"/>
      <sheetName val="OP_FINANCIERS13"/>
      <sheetName val="TAB_COMP_TEC13"/>
      <sheetName val="Page_garde13"/>
      <sheetName val="FAX_PRECISION13"/>
      <sheetName val="tab_demarreur13"/>
      <sheetName val="FAX_CORREC13"/>
      <sheetName val="offre_fina13"/>
      <sheetName val="B_P22"/>
      <sheetName val="D_E22"/>
      <sheetName val="Soumission_(2)22"/>
      <sheetName val="GESTION_ao22"/>
      <sheetName val="Feuil1_(2)22"/>
      <sheetName val="Rep_pop13"/>
      <sheetName val="récap_pein_13"/>
      <sheetName val="DimensRESEAU_(2)13"/>
      <sheetName val="choix"/>
      <sheetName val="bord_elec_annasr3"/>
      <sheetName val="bord_elec_annasr4"/>
      <sheetName val="S_P17"/>
      <sheetName val="GC_150m3_MGHASSINE7"/>
      <sheetName val="Réservoir_200m3_G87"/>
      <sheetName val="bord_elec_annasr5"/>
      <sheetName val="S_P18"/>
      <sheetName val="GC_150m3_MGHASSINE8"/>
      <sheetName val="Réservoir_200m3_G88"/>
      <sheetName val="bord_elec_annasr6"/>
      <sheetName val="B_P23"/>
      <sheetName val="D_E23"/>
      <sheetName val="Soumission_(2)23"/>
      <sheetName val="GESTION_ao23"/>
      <sheetName val="Feuil1_(2)23"/>
      <sheetName val="B_P24"/>
      <sheetName val="D_E24"/>
      <sheetName val="Soumission_(2)24"/>
      <sheetName val="GESTION_ao24"/>
      <sheetName val="Feuil1_(2)24"/>
      <sheetName val="B_P25"/>
      <sheetName val="D_E25"/>
      <sheetName val="Soumission_(2)25"/>
      <sheetName val="GESTION_ao25"/>
      <sheetName val="Feuil1_(2)25"/>
      <sheetName val="HALF_SAT"/>
      <sheetName val="PARAMETRES"/>
      <sheetName val="B_P28"/>
      <sheetName val="D_E28"/>
      <sheetName val="Soumission_(2)28"/>
      <sheetName val="GESTION_ao28"/>
      <sheetName val="Feuil1_(2)28"/>
      <sheetName val="B_P26"/>
      <sheetName val="D_E26"/>
      <sheetName val="Soumission_(2)26"/>
      <sheetName val="GESTION_ao26"/>
      <sheetName val="Feuil1_(2)26"/>
      <sheetName val="B_P27"/>
      <sheetName val="D_E27"/>
      <sheetName val="Soumission_(2)27"/>
      <sheetName val="GESTION_ao27"/>
      <sheetName val="Feuil1_(2)27"/>
      <sheetName val="B_P31"/>
      <sheetName val="D_E31"/>
      <sheetName val="Soumission_(2)31"/>
      <sheetName val="GESTION_ao31"/>
      <sheetName val="Feuil1_(2)31"/>
      <sheetName val="B_P29"/>
      <sheetName val="D_E29"/>
      <sheetName val="Soumission_(2)29"/>
      <sheetName val="GESTION_ao29"/>
      <sheetName val="Feuil1_(2)29"/>
      <sheetName val="B_P30"/>
      <sheetName val="D_E30"/>
      <sheetName val="Soumission_(2)30"/>
      <sheetName val="GESTION_ao30"/>
      <sheetName val="Feuil1_(2)30"/>
      <sheetName val="B_P32"/>
      <sheetName val="D_E32"/>
      <sheetName val="Soumission_(2)32"/>
      <sheetName val="GESTION_ao32"/>
      <sheetName val="Feuil1_(2)32"/>
      <sheetName val="OP_FINANCIERS14"/>
      <sheetName val="TAB_COMP_TEC14"/>
      <sheetName val="Page_garde14"/>
      <sheetName val="FAX_PRECISION14"/>
      <sheetName val="tab_demarreur14"/>
      <sheetName val="FAX_CORREC14"/>
      <sheetName val="offre_fina14"/>
      <sheetName val="S_P19"/>
      <sheetName val="GC_150m3_MGHASSINE9"/>
      <sheetName val="Réservoir_200m3_G89"/>
      <sheetName val="Qeu"/>
      <sheetName val="S_P110"/>
      <sheetName val="GC_150m3_MGHASSINE10"/>
      <sheetName val="Réservoir_200m3_G810"/>
      <sheetName val="S_P113"/>
      <sheetName val="GC_150m3_MGHASSINE13"/>
      <sheetName val="Réservoir_200m3_G813"/>
      <sheetName val="S_P111"/>
      <sheetName val="GC_150m3_MGHASSINE11"/>
      <sheetName val="Réservoir_200m3_G811"/>
      <sheetName val="S_P112"/>
      <sheetName val="GC_150m3_MGHASSINE12"/>
      <sheetName val="Réservoir_200m3_G812"/>
      <sheetName val="S_P116"/>
      <sheetName val="GC_150m3_MGHASSINE16"/>
      <sheetName val="Réservoir_200m3_G816"/>
      <sheetName val="S_P114"/>
      <sheetName val="GC_150m3_MGHASSINE14"/>
      <sheetName val="Réservoir_200m3_G814"/>
      <sheetName val="S_P115"/>
      <sheetName val="GC_150m3_MGHASSINE15"/>
      <sheetName val="Réservoir_200m3_G815"/>
      <sheetName val="S_P117"/>
      <sheetName val="GC_150m3_MGHASSINE17"/>
      <sheetName val="Réservoir_200m3_G817"/>
      <sheetName val="OP_FINANCIERS15"/>
      <sheetName val="TAB_COMP_TEC15"/>
      <sheetName val="Page_garde15"/>
      <sheetName val="FAX_PRECISION15"/>
      <sheetName val="tab_demarreur15"/>
      <sheetName val="FAX_CORREC15"/>
      <sheetName val="offre_fina15"/>
      <sheetName val="Ouvrages"/>
      <sheetName val="AN2SF"/>
      <sheetName val="OP_FINANCIERS17"/>
      <sheetName val="TAB_COMP_TEC17"/>
      <sheetName val="Page_garde17"/>
      <sheetName val="FAX_PRECISION17"/>
      <sheetName val="tab_demarreur17"/>
      <sheetName val="FAX_CORREC17"/>
      <sheetName val="offre_fina17"/>
      <sheetName val="OP_FINANCIERS16"/>
      <sheetName val="TAB_COMP_TEC16"/>
      <sheetName val="Page_garde16"/>
      <sheetName val="FAX_PRECISION16"/>
      <sheetName val="tab_demarreur16"/>
      <sheetName val="FAX_CORREC16"/>
      <sheetName val="offre_fina16"/>
      <sheetName val="OP_FINANCIERS20"/>
      <sheetName val="TAB_COMP_TEC20"/>
      <sheetName val="Page_garde20"/>
      <sheetName val="FAX_PRECISION20"/>
      <sheetName val="tab_demarreur20"/>
      <sheetName val="FAX_CORREC20"/>
      <sheetName val="offre_fina20"/>
      <sheetName val="OP_FINANCIERS18"/>
      <sheetName val="TAB_COMP_TEC18"/>
      <sheetName val="Page_garde18"/>
      <sheetName val="FAX_PRECISION18"/>
      <sheetName val="tab_demarreur18"/>
      <sheetName val="FAX_CORREC18"/>
      <sheetName val="offre_fina18"/>
      <sheetName val="OP_FINANCIERS19"/>
      <sheetName val="TAB_COMP_TEC19"/>
      <sheetName val="Page_garde19"/>
      <sheetName val="FAX_PRECISION19"/>
      <sheetName val="tab_demarreur19"/>
      <sheetName val="FAX_CORREC19"/>
      <sheetName val="offre_fina19"/>
      <sheetName val="OP_FINANCIERS21"/>
      <sheetName val="TAB_COMP_TEC21"/>
      <sheetName val="Page_garde21"/>
      <sheetName val="FAX_PRECISION21"/>
      <sheetName val="tab_demarreur21"/>
      <sheetName val="FAX_CORREC21"/>
      <sheetName val="offre_fina21"/>
      <sheetName val="Rep_pop14"/>
      <sheetName val="production_distrib5"/>
      <sheetName val="production distrib"/>
      <sheetName val="AN1SI"/>
      <sheetName val="Rep_pop18"/>
      <sheetName val="récap_pein_18"/>
      <sheetName val="DimensRESEAU_(2)18"/>
      <sheetName val="récap_pein_14"/>
      <sheetName val="DimensRESEAU_(2)14"/>
      <sheetName val="Rep_pop15"/>
      <sheetName val="récap_pein_15"/>
      <sheetName val="DimensRESEAU_(2)15"/>
      <sheetName val="Rep_pop16"/>
      <sheetName val="récap_pein_16"/>
      <sheetName val="DimensRESEAU_(2)16"/>
      <sheetName val="Rep_pop17"/>
      <sheetName val="récap_pein_17"/>
      <sheetName val="DimensRESEAU_(2)17"/>
      <sheetName val="OP_FINANCIERS22"/>
      <sheetName val="TAB_COMP_TEC22"/>
      <sheetName val="Page_garde22"/>
      <sheetName val="FAX_PRECISION22"/>
      <sheetName val="tab_demarreur22"/>
      <sheetName val="FAX_CORREC22"/>
      <sheetName val="offre_fina22"/>
      <sheetName val="Rep_pop22"/>
      <sheetName val="récap_pein_22"/>
      <sheetName val="DimensRESEAU_(2)22"/>
      <sheetName val="Rep_pop19"/>
      <sheetName val="récap_pein_19"/>
      <sheetName val="DimensRESEAU_(2)19"/>
      <sheetName val="Rep_pop20"/>
      <sheetName val="récap_pein_20"/>
      <sheetName val="DimensRESEAU_(2)20"/>
      <sheetName val="Rep_pop21"/>
      <sheetName val="récap_pein_21"/>
      <sheetName val="DimensRESEAU_(2)21"/>
      <sheetName val="OP_FINANCIERS23"/>
      <sheetName val="TAB_COMP_TEC23"/>
      <sheetName val="Page_garde23"/>
      <sheetName val="FAX_PRECISION23"/>
      <sheetName val="tab_demarreur23"/>
      <sheetName val="FAX_CORREC23"/>
      <sheetName val="offre_fina23"/>
      <sheetName val="Rep_pop23"/>
      <sheetName val="récap_pein_23"/>
      <sheetName val="DimensRESEAU_(2)23"/>
      <sheetName val="OP_FINANCIERS24"/>
      <sheetName val="TAB_COMP_TEC24"/>
      <sheetName val="Page_garde24"/>
      <sheetName val="FAX_PRECISION24"/>
      <sheetName val="tab_demarreur24"/>
      <sheetName val="FAX_CORREC24"/>
      <sheetName val="offre_fina24"/>
      <sheetName val="Rep_pop24"/>
      <sheetName val="récap_pein_24"/>
      <sheetName val="DimensRESEAU_(2)24"/>
      <sheetName val="OP_FINANCIERS26"/>
      <sheetName val="TAB_COMP_TEC26"/>
      <sheetName val="Page_garde26"/>
      <sheetName val="FAX_PRECISION26"/>
      <sheetName val="tab_demarreur26"/>
      <sheetName val="FAX_CORREC26"/>
      <sheetName val="offre_fina26"/>
      <sheetName val="Rep_pop26"/>
      <sheetName val="récap_pein_26"/>
      <sheetName val="DimensRESEAU_(2)26"/>
      <sheetName val="OP_FINANCIERS25"/>
      <sheetName val="TAB_COMP_TEC25"/>
      <sheetName val="Page_garde25"/>
      <sheetName val="FAX_PRECISION25"/>
      <sheetName val="tab_demarreur25"/>
      <sheetName val="FAX_CORREC25"/>
      <sheetName val="offre_fina25"/>
      <sheetName val="Rep_pop25"/>
      <sheetName val="récap_pein_25"/>
      <sheetName val="DimensRESEAU_(2)25"/>
      <sheetName val="Avanc_%29"/>
      <sheetName val="Avanc__par_bloc_VVT29"/>
      <sheetName val="Z_Fnche29"/>
      <sheetName val="OP_FINANCIERS27"/>
      <sheetName val="TAB_COMP_TEC27"/>
      <sheetName val="Page_garde27"/>
      <sheetName val="FAX_PRECISION27"/>
      <sheetName val="tab_demarreur27"/>
      <sheetName val="FAX_CORREC27"/>
      <sheetName val="offre_fina27"/>
      <sheetName val="Rep_pop27"/>
      <sheetName val="récap_pein_27"/>
      <sheetName val="DimensRESEAU_(2)27"/>
      <sheetName val="Avanc_%30"/>
      <sheetName val="Avanc__par_bloc_VVT30"/>
      <sheetName val="Z_Fnche30"/>
      <sheetName val="OP_FINANCIERS28"/>
      <sheetName val="TAB_COMP_TEC28"/>
      <sheetName val="Page_garde28"/>
      <sheetName val="FAX_PRECISION28"/>
      <sheetName val="tab_demarreur28"/>
      <sheetName val="FAX_CORREC28"/>
      <sheetName val="offre_fina28"/>
      <sheetName val="Rep_pop28"/>
      <sheetName val="récap_pein_28"/>
      <sheetName val="DimensRESEAU_(2)28"/>
      <sheetName val="Base_Liste2"/>
      <sheetName val="Base_Liste1"/>
      <sheetName val="Base_Liste5"/>
      <sheetName val="Base_Liste3"/>
      <sheetName val="Base_Liste4"/>
      <sheetName val="bord_elec_annasr7"/>
      <sheetName val="Réservoir_100m3_G8"/>
      <sheetName val="groupe_2_B-A"/>
      <sheetName val="données et résultats"/>
      <sheetName val="Avanc_%31"/>
      <sheetName val="Avanc__par_bloc_VVT31"/>
      <sheetName val="Z_Fnche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Pression</v>
          </cell>
        </row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/>
      <sheetData sheetId="16" refreshError="1">
        <row r="1">
          <cell r="A1" t="str">
            <v>Long-Total</v>
          </cell>
        </row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87">
          <cell r="A87">
            <v>2.1697051600065382</v>
          </cell>
        </row>
      </sheetData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7">
          <cell r="A87">
            <v>2.1697051600065382</v>
          </cell>
        </row>
      </sheetData>
      <sheetData sheetId="106">
        <row r="87">
          <cell r="A87">
            <v>2.1697051600065382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87">
          <cell r="A87">
            <v>2.1697051600065382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87">
          <cell r="A87">
            <v>2.1697051600065382</v>
          </cell>
        </row>
      </sheetData>
      <sheetData sheetId="157">
        <row r="87">
          <cell r="A87">
            <v>2.1697051600065382</v>
          </cell>
        </row>
      </sheetData>
      <sheetData sheetId="158">
        <row r="87">
          <cell r="A87">
            <v>2.1697051600065382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>
        <row r="87">
          <cell r="A87">
            <v>2.1697051600065382</v>
          </cell>
        </row>
      </sheetData>
      <sheetData sheetId="285">
        <row r="87">
          <cell r="A87">
            <v>2.1697051600065382</v>
          </cell>
        </row>
      </sheetData>
      <sheetData sheetId="286">
        <row r="87">
          <cell r="A87">
            <v>2.1697051600065382</v>
          </cell>
        </row>
      </sheetData>
      <sheetData sheetId="287"/>
      <sheetData sheetId="288"/>
      <sheetData sheetId="289"/>
      <sheetData sheetId="290"/>
      <sheetData sheetId="291"/>
      <sheetData sheetId="292">
        <row r="87">
          <cell r="A87">
            <v>2.1697051600065382</v>
          </cell>
        </row>
      </sheetData>
      <sheetData sheetId="293">
        <row r="87">
          <cell r="A87">
            <v>2.1697051600065382</v>
          </cell>
        </row>
      </sheetData>
      <sheetData sheetId="294">
        <row r="87">
          <cell r="A87">
            <v>2.1697051600065382</v>
          </cell>
        </row>
      </sheetData>
      <sheetData sheetId="295"/>
      <sheetData sheetId="296"/>
      <sheetData sheetId="297"/>
      <sheetData sheetId="298"/>
      <sheetData sheetId="299"/>
      <sheetData sheetId="300"/>
      <sheetData sheetId="301"/>
      <sheetData sheetId="302">
        <row r="87">
          <cell r="A87">
            <v>2.1697051600065382</v>
          </cell>
        </row>
      </sheetData>
      <sheetData sheetId="303">
        <row r="87">
          <cell r="A87">
            <v>2.1697051600065382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>
        <row r="87">
          <cell r="A87">
            <v>2.1697051600065382</v>
          </cell>
        </row>
      </sheetData>
      <sheetData sheetId="317">
        <row r="87">
          <cell r="A87">
            <v>2.1697051600065382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>
        <row r="87">
          <cell r="A87">
            <v>2.1697051600065382</v>
          </cell>
        </row>
      </sheetData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>
        <row r="87">
          <cell r="A87">
            <v>2.1697051600065382</v>
          </cell>
        </row>
      </sheetData>
      <sheetData sheetId="398"/>
      <sheetData sheetId="399"/>
      <sheetData sheetId="400"/>
      <sheetData sheetId="401"/>
      <sheetData sheetId="402"/>
      <sheetData sheetId="403">
        <row r="87">
          <cell r="A87">
            <v>2.1697051600065382</v>
          </cell>
        </row>
      </sheetData>
      <sheetData sheetId="404">
        <row r="87">
          <cell r="A87">
            <v>2.1697051600065382</v>
          </cell>
        </row>
      </sheetData>
      <sheetData sheetId="405">
        <row r="87">
          <cell r="A87">
            <v>2.1697051600065382</v>
          </cell>
        </row>
      </sheetData>
      <sheetData sheetId="406">
        <row r="87">
          <cell r="A87">
            <v>2.1697051600065382</v>
          </cell>
        </row>
      </sheetData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/>
      <sheetData sheetId="485"/>
      <sheetData sheetId="486"/>
      <sheetData sheetId="487"/>
      <sheetData sheetId="488"/>
      <sheetData sheetId="489">
        <row r="87">
          <cell r="A87">
            <v>2.1697051600065382</v>
          </cell>
        </row>
      </sheetData>
      <sheetData sheetId="490">
        <row r="87">
          <cell r="A87">
            <v>2.1697051600065382</v>
          </cell>
        </row>
      </sheetData>
      <sheetData sheetId="491"/>
      <sheetData sheetId="492">
        <row r="87">
          <cell r="A87">
            <v>2.1697051600065382</v>
          </cell>
        </row>
      </sheetData>
      <sheetData sheetId="493">
        <row r="87">
          <cell r="A87">
            <v>2.1697051600065382</v>
          </cell>
        </row>
      </sheetData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AN2"/>
      <sheetName val="B.P"/>
      <sheetName val="D.E"/>
      <sheetName val="Soumission (2)"/>
      <sheetName val="ANNEXES"/>
      <sheetName val="etiq"/>
      <sheetName val="GESTION ao"/>
      <sheetName val="Feuil1"/>
      <sheetName val="Feuil1 (2)"/>
      <sheetName val="Macro_press"/>
      <sheetName val="Macro_colbrook"/>
      <sheetName val="Macro_cons"/>
      <sheetName val="Macro_Diam_interne"/>
      <sheetName val="Macro_Dexterne"/>
      <sheetName val="Macro_Epaisseur"/>
      <sheetName val="Macro_Long"/>
      <sheetName val="Fourniture"/>
      <sheetName val="Echéancier"/>
      <sheetName val="B_P"/>
      <sheetName val="D_E"/>
      <sheetName val="Soumission_(2)"/>
      <sheetName val="GESTION_ao"/>
      <sheetName val="Feuil1_(2)"/>
      <sheetName val="aep"/>
      <sheetName val="B_P3"/>
      <sheetName val="D_E3"/>
      <sheetName val="Soumission_(2)3"/>
      <sheetName val="GESTION_ao3"/>
      <sheetName val="Feuil1_(2)3"/>
      <sheetName val="B_P2"/>
      <sheetName val="D_E2"/>
      <sheetName val="Soumission_(2)2"/>
      <sheetName val="GESTION_ao2"/>
      <sheetName val="Feuil1_(2)2"/>
      <sheetName val="B_P1"/>
      <sheetName val="D_E1"/>
      <sheetName val="Soumission_(2)1"/>
      <sheetName val="GESTION_ao1"/>
      <sheetName val="Feuil1_(2)1"/>
      <sheetName val="PG"/>
      <sheetName val="Avanc %"/>
      <sheetName val="BORDEREAU"/>
      <sheetName val="Appros"/>
      <sheetName val="Avanc  par bloc VVT"/>
      <sheetName val="Macro-Hardy-Cross"/>
      <sheetName val="Macro-Pression"/>
      <sheetName val="Calcul"/>
      <sheetName val="Z.Fnche"/>
      <sheetName val="Module1"/>
      <sheetName val="Feuil2"/>
      <sheetName val="Feuil3"/>
      <sheetName val="Macro_Newton"/>
      <sheetName val="DefinitionPrix"/>
      <sheetName val="OP FINANCIERS"/>
      <sheetName val="Jugement"/>
      <sheetName val="TAB COMP TEC"/>
      <sheetName val="affichage"/>
      <sheetName val="Signature"/>
      <sheetName val="timbrage"/>
      <sheetName val="Page garde"/>
      <sheetName val="FAX PRECISION"/>
      <sheetName val="tab demarreur"/>
      <sheetName val="FAX CORREC"/>
      <sheetName val="offre fina"/>
      <sheetName val="AN3"/>
      <sheetName val="Avanc_%"/>
      <sheetName val="Avanc__par_bloc_VVT"/>
      <sheetName val="Z_Fnche"/>
      <sheetName val="OP_FINANCIERS"/>
      <sheetName val="TAB_COMP_TEC"/>
      <sheetName val="Page_garde"/>
      <sheetName val="FAX_PRECISION"/>
      <sheetName val="tab_demarreur"/>
      <sheetName val="FAX_CORREC"/>
      <sheetName val="offre_fina"/>
      <sheetName val="AvalCredoc"/>
      <sheetName val="Escompte"/>
      <sheetName val="B_P4"/>
      <sheetName val="D_E4"/>
      <sheetName val="Soumission_(2)4"/>
      <sheetName val="GESTION_ao4"/>
      <sheetName val="Feuil1_(2)4"/>
      <sheetName val="B_P5"/>
      <sheetName val="D_E5"/>
      <sheetName val="Soumission_(2)5"/>
      <sheetName val="GESTION_ao5"/>
      <sheetName val="Feuil1_(2)5"/>
      <sheetName val="Bache"/>
      <sheetName val="B_P6"/>
      <sheetName val="D_E6"/>
      <sheetName val="Soumission_(2)6"/>
      <sheetName val="GESTION_ao6"/>
      <sheetName val="Feuil1_(2)6"/>
      <sheetName val="B_P7"/>
      <sheetName val="D_E7"/>
      <sheetName val="Soumission_(2)7"/>
      <sheetName val="GESTION_ao7"/>
      <sheetName val="Feuil1_(2)7"/>
      <sheetName val="B_P8"/>
      <sheetName val="D_E8"/>
      <sheetName val="Soumission_(2)8"/>
      <sheetName val="GESTION_ao8"/>
      <sheetName val="Feuil1_(2)8"/>
      <sheetName val="B_P9"/>
      <sheetName val="D_E9"/>
      <sheetName val="Soumission_(2)9"/>
      <sheetName val="GESTION_ao9"/>
      <sheetName val="Feuil1_(2)9"/>
      <sheetName val="B_P10"/>
      <sheetName val="D_E10"/>
      <sheetName val="Soumission_(2)10"/>
      <sheetName val="GESTION_ao10"/>
      <sheetName val="Feuil1_(2)10"/>
      <sheetName val="B_P11"/>
      <sheetName val="D_E11"/>
      <sheetName val="Soumission_(2)11"/>
      <sheetName val="GESTION_ao11"/>
      <sheetName val="Feuil1_(2)11"/>
      <sheetName val="B_P12"/>
      <sheetName val="D_E12"/>
      <sheetName val="Soumission_(2)12"/>
      <sheetName val="GESTION_ao12"/>
      <sheetName val="Feuil1_(2)12"/>
      <sheetName val="B_P13"/>
      <sheetName val="D_E13"/>
      <sheetName val="Soumission_(2)13"/>
      <sheetName val="GESTION_ao13"/>
      <sheetName val="Feuil1_(2)13"/>
      <sheetName val="B_P14"/>
      <sheetName val="D_E14"/>
      <sheetName val="Soumission_(2)14"/>
      <sheetName val="GESTION_ao14"/>
      <sheetName val="Feuil1_(2)14"/>
      <sheetName val="B_P15"/>
      <sheetName val="D_E15"/>
      <sheetName val="Soumission_(2)15"/>
      <sheetName val="GESTION_ao15"/>
      <sheetName val="Feuil1_(2)15"/>
      <sheetName val="B_P16"/>
      <sheetName val="D_E16"/>
      <sheetName val="Soumission_(2)16"/>
      <sheetName val="GESTION_ao16"/>
      <sheetName val="Feuil1_(2)16"/>
      <sheetName val="B_P17"/>
      <sheetName val="D_E17"/>
      <sheetName val="Soumission_(2)17"/>
      <sheetName val="GESTION_ao17"/>
      <sheetName val="Feuil1_(2)17"/>
      <sheetName val="B_P18"/>
      <sheetName val="D_E18"/>
      <sheetName val="Soumission_(2)18"/>
      <sheetName val="GESTION_ao18"/>
      <sheetName val="Feuil1_(2)18"/>
      <sheetName val="DATA"/>
      <sheetName val="Rep pop"/>
      <sheetName val="0DONNEESDEBASES"/>
      <sheetName val="B_P21"/>
      <sheetName val="D_E21"/>
      <sheetName val="Soumission_(2)21"/>
      <sheetName val="GESTION_ao21"/>
      <sheetName val="Feuil1_(2)21"/>
      <sheetName val="Avanc_%3"/>
      <sheetName val="Avanc__par_bloc_VVT3"/>
      <sheetName val="Z_Fnche3"/>
      <sheetName val="OP_FINANCIERS3"/>
      <sheetName val="TAB_COMP_TEC3"/>
      <sheetName val="Page_garde3"/>
      <sheetName val="FAX_PRECISION3"/>
      <sheetName val="tab_demarreur3"/>
      <sheetName val="FAX_CORREC3"/>
      <sheetName val="offre_fina3"/>
      <sheetName val="Rep_pop2"/>
      <sheetName val="B_P20"/>
      <sheetName val="D_E20"/>
      <sheetName val="Soumission_(2)20"/>
      <sheetName val="GESTION_ao20"/>
      <sheetName val="Feuil1_(2)20"/>
      <sheetName val="Avanc_%2"/>
      <sheetName val="Avanc__par_bloc_VVT2"/>
      <sheetName val="Z_Fnche2"/>
      <sheetName val="OP_FINANCIERS2"/>
      <sheetName val="TAB_COMP_TEC2"/>
      <sheetName val="Page_garde2"/>
      <sheetName val="FAX_PRECISION2"/>
      <sheetName val="tab_demarreur2"/>
      <sheetName val="FAX_CORREC2"/>
      <sheetName val="offre_fina2"/>
      <sheetName val="Rep_pop1"/>
      <sheetName val="B_P19"/>
      <sheetName val="D_E19"/>
      <sheetName val="Soumission_(2)19"/>
      <sheetName val="GESTION_ao19"/>
      <sheetName val="Feuil1_(2)19"/>
      <sheetName val="Avanc_%1"/>
      <sheetName val="Avanc__par_bloc_VVT1"/>
      <sheetName val="Z_Fnche1"/>
      <sheetName val="OP_FINANCIERS1"/>
      <sheetName val="TAB_COMP_TEC1"/>
      <sheetName val="Page_garde1"/>
      <sheetName val="FAX_PRECISION1"/>
      <sheetName val="tab_demarreur1"/>
      <sheetName val="FAX_CORREC1"/>
      <sheetName val="offre_fina1"/>
      <sheetName val="Rep_pop"/>
      <sheetName val="B_P22"/>
      <sheetName val="D_E22"/>
      <sheetName val="Soumission_(2)22"/>
      <sheetName val="GESTION_ao22"/>
      <sheetName val="Feuil1_(2)22"/>
      <sheetName val="Avanc_%4"/>
      <sheetName val="Avanc__par_bloc_VVT4"/>
      <sheetName val="Z_Fnche4"/>
      <sheetName val="OP_FINANCIERS4"/>
      <sheetName val="TAB_COMP_TEC4"/>
      <sheetName val="Page_garde4"/>
      <sheetName val="FAX_PRECISION4"/>
      <sheetName val="tab_demarreur4"/>
      <sheetName val="FAX_CORREC4"/>
      <sheetName val="offre_fina4"/>
      <sheetName val="Rep_pop3"/>
      <sheetName val="B_P23"/>
      <sheetName val="D_E23"/>
      <sheetName val="Soumission_(2)23"/>
      <sheetName val="GESTION_ao23"/>
      <sheetName val="Feuil1_(2)23"/>
      <sheetName val="Avanc_%5"/>
      <sheetName val="Avanc__par_bloc_VVT5"/>
      <sheetName val="Z_Fnche5"/>
      <sheetName val="OP_FINANCIERS5"/>
      <sheetName val="TAB_COMP_TEC5"/>
      <sheetName val="Page_garde5"/>
      <sheetName val="FAX_PRECISION5"/>
      <sheetName val="tab_demarreur5"/>
      <sheetName val="FAX_CORREC5"/>
      <sheetName val="offre_fina5"/>
      <sheetName val="Rep_pop4"/>
      <sheetName val="B_P24"/>
      <sheetName val="D_E24"/>
      <sheetName val="Soumission_(2)24"/>
      <sheetName val="GESTION_ao24"/>
      <sheetName val="Feuil1_(2)24"/>
      <sheetName val="Avanc_%6"/>
      <sheetName val="Avanc__par_bloc_VVT6"/>
      <sheetName val="Z_Fnche6"/>
      <sheetName val="OP_FINANCIERS6"/>
      <sheetName val="TAB_COMP_TEC6"/>
      <sheetName val="Page_garde6"/>
      <sheetName val="FAX_PRECISION6"/>
      <sheetName val="tab_demarreur6"/>
      <sheetName val="FAX_CORREC6"/>
      <sheetName val="offre_fina6"/>
      <sheetName val="Rep_pop5"/>
      <sheetName val="linéaire"/>
      <sheetName val="etan"/>
      <sheetName val="BpElecEnnasr-Géneral"/>
      <sheetName val="données_et_résultats"/>
      <sheetName val="BUDGET"/>
      <sheetName val="PU"/>
      <sheetName val="R2CAP"/>
      <sheetName val="S_P12"/>
      <sheetName val="BD"/>
      <sheetName val="GC_150m3_MGHASSINE1"/>
      <sheetName val="dimensio_EU"/>
      <sheetName val="EST_CONF"/>
      <sheetName val="PG1"/>
      <sheetName val="production_distrib"/>
      <sheetName val="Bache_50_m3_SR12"/>
      <sheetName val="Nbr_"/>
      <sheetName val="VRD"/>
      <sheetName val="calculs"/>
      <sheetName val="Récap"/>
      <sheetName val="récap pein "/>
      <sheetName val="DimensRESEAU (2)"/>
      <sheetName val="Avanc_%7"/>
      <sheetName val="Avanc__par_bloc_VVT7"/>
      <sheetName val="Z_Fnche7"/>
      <sheetName val="Avanc_%8"/>
      <sheetName val="Avanc__par_bloc_VVT8"/>
      <sheetName val="Z_Fnche8"/>
      <sheetName val="Avanc_%9"/>
      <sheetName val="Avanc__par_bloc_VVT9"/>
      <sheetName val="Z_Fnche9"/>
      <sheetName val="coef"/>
      <sheetName val="Coefficient"/>
      <sheetName val="Constantes"/>
      <sheetName val="S_P1"/>
      <sheetName val="GC_150m3_MGHASSINE"/>
      <sheetName val="Border"/>
      <sheetName val="Prix"/>
      <sheetName val="Réservoir_200m3_G8"/>
      <sheetName val="GC_150m3_MGHASSINE2"/>
      <sheetName val="Réservoir_200m3_G82"/>
      <sheetName val="S_P11"/>
      <sheetName val="Réservoir_200m3_G81"/>
      <sheetName val="S.P1"/>
      <sheetName val="GC 150m3 MGHASSINE"/>
      <sheetName val="Réservoir 200m3_G8"/>
      <sheetName val="S_P13"/>
      <sheetName val="GC_150m3_MGHASSINE3"/>
      <sheetName val="Réservoir_200m3_G83"/>
      <sheetName val="bord.elec.annasr"/>
      <sheetName val="Q10-Branche-A&amp;B"/>
      <sheetName val="BacheSR3NZ"/>
      <sheetName val="B_P30"/>
      <sheetName val="D_E30"/>
      <sheetName val="Soumission_(2)30"/>
      <sheetName val="GESTION_ao30"/>
      <sheetName val="Feuil1_(2)30"/>
      <sheetName val="Avanc_%12"/>
      <sheetName val="Avanc__par_bloc_VVT12"/>
      <sheetName val="Z_Fnche12"/>
      <sheetName val="OP_FINANCIERS12"/>
      <sheetName val="TAB_COMP_TEC12"/>
      <sheetName val="Page_garde12"/>
      <sheetName val="FAX_PRECISION12"/>
      <sheetName val="tab_demarreur12"/>
      <sheetName val="FAX_CORREC12"/>
      <sheetName val="offre_fina12"/>
      <sheetName val="B_P25"/>
      <sheetName val="D_E25"/>
      <sheetName val="Soumission_(2)25"/>
      <sheetName val="GESTION_ao25"/>
      <sheetName val="Feuil1_(2)25"/>
      <sheetName val="OP_FINANCIERS7"/>
      <sheetName val="TAB_COMP_TEC7"/>
      <sheetName val="Page_garde7"/>
      <sheetName val="FAX_PRECISION7"/>
      <sheetName val="tab_demarreur7"/>
      <sheetName val="FAX_CORREC7"/>
      <sheetName val="offre_fina7"/>
      <sheetName val="B_P26"/>
      <sheetName val="D_E26"/>
      <sheetName val="Soumission_(2)26"/>
      <sheetName val="GESTION_ao26"/>
      <sheetName val="Feuil1_(2)26"/>
      <sheetName val="OP_FINANCIERS8"/>
      <sheetName val="TAB_COMP_TEC8"/>
      <sheetName val="Page_garde8"/>
      <sheetName val="FAX_PRECISION8"/>
      <sheetName val="tab_demarreur8"/>
      <sheetName val="FAX_CORREC8"/>
      <sheetName val="offre_fina8"/>
      <sheetName val="B_P27"/>
      <sheetName val="D_E27"/>
      <sheetName val="Soumission_(2)27"/>
      <sheetName val="GESTION_ao27"/>
      <sheetName val="Feuil1_(2)27"/>
      <sheetName val="OP_FINANCIERS9"/>
      <sheetName val="TAB_COMP_TEC9"/>
      <sheetName val="Page_garde9"/>
      <sheetName val="FAX_PRECISION9"/>
      <sheetName val="tab_demarreur9"/>
      <sheetName val="FAX_CORREC9"/>
      <sheetName val="offre_fina9"/>
      <sheetName val="B_P29"/>
      <sheetName val="D_E29"/>
      <sheetName val="Soumission_(2)29"/>
      <sheetName val="GESTION_ao29"/>
      <sheetName val="Feuil1_(2)29"/>
      <sheetName val="Avanc_%11"/>
      <sheetName val="Avanc__par_bloc_VVT11"/>
      <sheetName val="Z_Fnche11"/>
      <sheetName val="OP_FINANCIERS11"/>
      <sheetName val="TAB_COMP_TEC11"/>
      <sheetName val="Page_garde11"/>
      <sheetName val="FAX_PRECISION11"/>
      <sheetName val="tab_demarreur11"/>
      <sheetName val="FAX_CORREC11"/>
      <sheetName val="offre_fina11"/>
      <sheetName val="B_P28"/>
      <sheetName val="D_E28"/>
      <sheetName val="Soumission_(2)28"/>
      <sheetName val="GESTION_ao28"/>
      <sheetName val="Feuil1_(2)28"/>
      <sheetName val="Avanc_%10"/>
      <sheetName val="Avanc__par_bloc_VVT10"/>
      <sheetName val="Z_Fnche10"/>
      <sheetName val="OP_FINANCIERS10"/>
      <sheetName val="TAB_COMP_TEC10"/>
      <sheetName val="Page_garde10"/>
      <sheetName val="FAX_PRECISION10"/>
      <sheetName val="tab_demarreur10"/>
      <sheetName val="FAX_CORREC10"/>
      <sheetName val="offre_fina10"/>
      <sheetName val="récap_pein_"/>
      <sheetName val="DimensRESEAU_(2)"/>
      <sheetName val="Avanc_%13"/>
      <sheetName val="Avanc__par_bloc_VVT13"/>
      <sheetName val="Z_Fnche13"/>
      <sheetName val="Avanc_%14"/>
      <sheetName val="Avanc__par_bloc_VVT14"/>
      <sheetName val="Z_Fnche14"/>
      <sheetName val="Avanc_%15"/>
      <sheetName val="Avanc__par_bloc_VVT15"/>
      <sheetName val="Z_Fnche15"/>
      <sheetName val="Avanc_%16"/>
      <sheetName val="Avanc__par_bloc_VVT16"/>
      <sheetName val="Z_Fnche16"/>
      <sheetName val="Avanc_%17"/>
      <sheetName val="Avanc__par_bloc_VVT17"/>
      <sheetName val="Z_Fnche17"/>
      <sheetName val="Avanc_%18"/>
      <sheetName val="Avanc__par_bloc_VVT18"/>
      <sheetName val="Z_Fnche18"/>
      <sheetName val="récap_pein_1"/>
      <sheetName val="DimensRESEAU_(2)1"/>
      <sheetName val="S_P14"/>
      <sheetName val="GC_150m3_MGHASSINE4"/>
      <sheetName val="Réservoir_200m3_G84"/>
      <sheetName val="S_P15"/>
      <sheetName val="GC_150m3_MGHASSINE5"/>
      <sheetName val="Réservoir_200m3_G85"/>
      <sheetName val="Table1"/>
      <sheetName val="Personnel"/>
      <sheetName val="bord_elec_annasr"/>
      <sheetName val="elec"/>
      <sheetName val="B_P31"/>
      <sheetName val="D_E31"/>
      <sheetName val="Soumission_(2)31"/>
      <sheetName val="GESTION_ao31"/>
      <sheetName val="Feuil1_(2)31"/>
      <sheetName val="OP_FINANCIERS13"/>
      <sheetName val="TAB_COMP_TEC13"/>
      <sheetName val="Page_garde13"/>
      <sheetName val="FAX_PRECISION13"/>
      <sheetName val="tab_demarreur13"/>
      <sheetName val="FAX_CORREC13"/>
      <sheetName val="offre_fina13"/>
      <sheetName val="Rep_pop8"/>
      <sheetName val="Rep_pop6"/>
      <sheetName val="Rep_pop7"/>
      <sheetName val="B_P32"/>
      <sheetName val="D_E32"/>
      <sheetName val="Soumission_(2)32"/>
      <sheetName val="GESTION_ao32"/>
      <sheetName val="Feuil1_(2)32"/>
      <sheetName val="OP_FINANCIERS14"/>
      <sheetName val="TAB_COMP_TEC14"/>
      <sheetName val="Page_garde14"/>
      <sheetName val="FAX_PRECISION14"/>
      <sheetName val="tab_demarreur14"/>
      <sheetName val="FAX_CORREC14"/>
      <sheetName val="offre_fina14"/>
      <sheetName val="Rep_pop9"/>
      <sheetName val="HALF_SAT"/>
      <sheetName val="PARAMETRES"/>
      <sheetName val="preau"/>
      <sheetName val="SEMELFONC"/>
      <sheetName val="classe1"/>
      <sheetName val="B_P33"/>
      <sheetName val="D_E33"/>
      <sheetName val="Soumission_(2)33"/>
      <sheetName val="GESTION_ao33"/>
      <sheetName val="Feuil1_(2)33"/>
      <sheetName val="OP_FINANCIERS18"/>
      <sheetName val="TAB_COMP_TEC18"/>
      <sheetName val="Page_garde18"/>
      <sheetName val="FAX_PRECISION18"/>
      <sheetName val="tab_demarreur18"/>
      <sheetName val="FAX_CORREC18"/>
      <sheetName val="offre_fina18"/>
      <sheetName val="OP_FINANCIERS15"/>
      <sheetName val="TAB_COMP_TEC15"/>
      <sheetName val="Page_garde15"/>
      <sheetName val="FAX_PRECISION15"/>
      <sheetName val="tab_demarreur15"/>
      <sheetName val="FAX_CORREC15"/>
      <sheetName val="offre_fina15"/>
      <sheetName val="OP_FINANCIERS16"/>
      <sheetName val="TAB_COMP_TEC16"/>
      <sheetName val="Page_garde16"/>
      <sheetName val="FAX_PRECISION16"/>
      <sheetName val="tab_demarreur16"/>
      <sheetName val="FAX_CORREC16"/>
      <sheetName val="offre_fina16"/>
      <sheetName val="OP_FINANCIERS17"/>
      <sheetName val="TAB_COMP_TEC17"/>
      <sheetName val="Page_garde17"/>
      <sheetName val="FAX_PRECISION17"/>
      <sheetName val="tab_demarreur17"/>
      <sheetName val="FAX_CORREC17"/>
      <sheetName val="offre_fina17"/>
      <sheetName val="B_P37"/>
      <sheetName val="D_E37"/>
      <sheetName val="Soumission_(2)37"/>
      <sheetName val="GESTION_ao37"/>
      <sheetName val="Feuil1_(2)37"/>
      <sheetName val="Avanc_%22"/>
      <sheetName val="Avanc__par_bloc_VVT22"/>
      <sheetName val="Z_Fnche22"/>
      <sheetName val="OP_FINANCIERS22"/>
      <sheetName val="TAB_COMP_TEC22"/>
      <sheetName val="Page_garde22"/>
      <sheetName val="FAX_PRECISION22"/>
      <sheetName val="tab_demarreur22"/>
      <sheetName val="FAX_CORREC22"/>
      <sheetName val="offre_fina22"/>
      <sheetName val="B_P34"/>
      <sheetName val="D_E34"/>
      <sheetName val="Soumission_(2)34"/>
      <sheetName val="GESTION_ao34"/>
      <sheetName val="Feuil1_(2)34"/>
      <sheetName val="Avanc_%19"/>
      <sheetName val="Avanc__par_bloc_VVT19"/>
      <sheetName val="Z_Fnche19"/>
      <sheetName val="OP_FINANCIERS19"/>
      <sheetName val="TAB_COMP_TEC19"/>
      <sheetName val="Page_garde19"/>
      <sheetName val="FAX_PRECISION19"/>
      <sheetName val="tab_demarreur19"/>
      <sheetName val="FAX_CORREC19"/>
      <sheetName val="offre_fina19"/>
      <sheetName val="B_P35"/>
      <sheetName val="D_E35"/>
      <sheetName val="Soumission_(2)35"/>
      <sheetName val="GESTION_ao35"/>
      <sheetName val="Feuil1_(2)35"/>
      <sheetName val="Avanc_%20"/>
      <sheetName val="Avanc__par_bloc_VVT20"/>
      <sheetName val="Z_Fnche20"/>
      <sheetName val="OP_FINANCIERS20"/>
      <sheetName val="TAB_COMP_TEC20"/>
      <sheetName val="Page_garde20"/>
      <sheetName val="FAX_PRECISION20"/>
      <sheetName val="tab_demarreur20"/>
      <sheetName val="FAX_CORREC20"/>
      <sheetName val="offre_fina20"/>
      <sheetName val="B_P36"/>
      <sheetName val="D_E36"/>
      <sheetName val="Soumission_(2)36"/>
      <sheetName val="GESTION_ao36"/>
      <sheetName val="Feuil1_(2)36"/>
      <sheetName val="Avanc_%21"/>
      <sheetName val="Avanc__par_bloc_VVT21"/>
      <sheetName val="Z_Fnche21"/>
      <sheetName val="OP_FINANCIERS21"/>
      <sheetName val="TAB_COMP_TEC21"/>
      <sheetName val="Page_garde21"/>
      <sheetName val="FAX_PRECISION21"/>
      <sheetName val="tab_demarreur21"/>
      <sheetName val="FAX_CORREC21"/>
      <sheetName val="offre_fina21"/>
      <sheetName val="B_P38"/>
      <sheetName val="D_E38"/>
      <sheetName val="Soumission_(2)38"/>
      <sheetName val="GESTION_ao38"/>
      <sheetName val="Feuil1_(2)38"/>
      <sheetName val="Avanc_%23"/>
      <sheetName val="Avanc__par_bloc_VVT23"/>
      <sheetName val="Z_Fnche23"/>
      <sheetName val="OP_FINANCIERS23"/>
      <sheetName val="TAB_COMP_TEC23"/>
      <sheetName val="Page_garde23"/>
      <sheetName val="FAX_PRECISION23"/>
      <sheetName val="tab_demarreur23"/>
      <sheetName val="FAX_CORREC23"/>
      <sheetName val="offre_fina23"/>
      <sheetName val="B_P39"/>
      <sheetName val="D_E39"/>
      <sheetName val="Soumission_(2)39"/>
      <sheetName val="GESTION_ao39"/>
      <sheetName val="Feuil1_(2)39"/>
      <sheetName val="Avanc_%24"/>
      <sheetName val="Avanc__par_bloc_VVT24"/>
      <sheetName val="Z_Fnche24"/>
      <sheetName val="OP_FINANCIERS24"/>
      <sheetName val="TAB_COMP_TEC24"/>
      <sheetName val="Page_garde24"/>
      <sheetName val="FAX_PRECISION24"/>
      <sheetName val="tab_demarreur24"/>
      <sheetName val="FAX_CORREC24"/>
      <sheetName val="offre_fina24"/>
      <sheetName val="B_P41"/>
      <sheetName val="D_E41"/>
      <sheetName val="Soumission_(2)41"/>
      <sheetName val="GESTION_ao41"/>
      <sheetName val="Feuil1_(2)41"/>
      <sheetName val="Avanc_%26"/>
      <sheetName val="Avanc__par_bloc_VVT26"/>
      <sheetName val="Z_Fnche26"/>
      <sheetName val="OP_FINANCIERS26"/>
      <sheetName val="TAB_COMP_TEC26"/>
      <sheetName val="Page_garde26"/>
      <sheetName val="FAX_PRECISION26"/>
      <sheetName val="tab_demarreur26"/>
      <sheetName val="FAX_CORREC26"/>
      <sheetName val="offre_fina26"/>
      <sheetName val="B_P40"/>
      <sheetName val="D_E40"/>
      <sheetName val="Soumission_(2)40"/>
      <sheetName val="GESTION_ao40"/>
      <sheetName val="Feuil1_(2)40"/>
      <sheetName val="Avanc_%25"/>
      <sheetName val="Avanc__par_bloc_VVT25"/>
      <sheetName val="Z_Fnche25"/>
      <sheetName val="OP_FINANCIERS25"/>
      <sheetName val="TAB_COMP_TEC25"/>
      <sheetName val="Page_garde25"/>
      <sheetName val="FAX_PRECISION25"/>
      <sheetName val="tab_demarreur25"/>
      <sheetName val="FAX_CORREC25"/>
      <sheetName val="offre_fina25"/>
      <sheetName val="B_P42"/>
      <sheetName val="D_E42"/>
      <sheetName val="Soumission_(2)42"/>
      <sheetName val="GESTION_ao42"/>
      <sheetName val="Feuil1_(2)42"/>
      <sheetName val="Avanc_%27"/>
      <sheetName val="Avanc__par_bloc_VVT27"/>
      <sheetName val="Z_Fnche27"/>
      <sheetName val="OP_FINANCIERS27"/>
      <sheetName val="TAB_COMP_TEC27"/>
      <sheetName val="Page_garde27"/>
      <sheetName val="FAX_PRECISION27"/>
      <sheetName val="tab_demarreur27"/>
      <sheetName val="FAX_CORREC27"/>
      <sheetName val="offre_fina27"/>
      <sheetName val="B_P43"/>
      <sheetName val="D_E43"/>
      <sheetName val="Soumission_(2)43"/>
      <sheetName val="GESTION_ao43"/>
      <sheetName val="Feuil1_(2)43"/>
      <sheetName val="Avanc_%28"/>
      <sheetName val="Avanc__par_bloc_VVT28"/>
      <sheetName val="Z_Fnche28"/>
      <sheetName val="OP_FINANCIERS28"/>
      <sheetName val="TAB_COMP_TEC28"/>
      <sheetName val="Page_garde28"/>
      <sheetName val="FAX_PRECISION28"/>
      <sheetName val="tab_demarreur28"/>
      <sheetName val="FAX_CORREC28"/>
      <sheetName val="offre_fina28"/>
      <sheetName val="Base Liste"/>
      <sheetName val="S_P16"/>
      <sheetName val="GC_150m3_MGHASSINE6"/>
      <sheetName val="Réservoir_200m3_G86"/>
      <sheetName val="Base_Liste"/>
      <sheetName val="progmetr4"/>
      <sheetName val="récap_pein_2"/>
      <sheetName val="DimensRESEAU_(2)2"/>
      <sheetName val="récap_pein_3"/>
      <sheetName val="DimensRESEAU_(2)3"/>
      <sheetName val="récap_pein_4"/>
      <sheetName val="DimensRESEAU_(2)4"/>
      <sheetName val="récap_pein_5"/>
      <sheetName val="DimensRESEAU_(2)5"/>
      <sheetName val="récap_pein_6"/>
      <sheetName val="DimensRESEAU_(2)6"/>
      <sheetName val="Réservoir 100m3_G8"/>
      <sheetName val="Réservoir_100m3_G82"/>
      <sheetName val="groupe 2 B-A"/>
      <sheetName val="S_P17"/>
      <sheetName val="GC_150m3_MGHASSINE7"/>
      <sheetName val="Réservoir_200m3_G87"/>
      <sheetName val="S_P18"/>
      <sheetName val="GC_150m3_MGHASSINE8"/>
      <sheetName val="Réservoir_200m3_G88"/>
      <sheetName val="S_P19"/>
      <sheetName val="GC_150m3_MGHASSINE9"/>
      <sheetName val="Réservoir_200m3_G89"/>
      <sheetName val="S_P110"/>
      <sheetName val="GC_150m3_MGHASSINE10"/>
      <sheetName val="Réservoir_200m3_G810"/>
      <sheetName val="Qeu"/>
      <sheetName val="Ouvrages"/>
      <sheetName val="AN2SF"/>
      <sheetName val="production_distrib5"/>
      <sheetName val="production distrib"/>
      <sheetName val="AN1SI"/>
      <sheetName val="récap_pein_9"/>
      <sheetName val="DimensRESEAU_(2)9"/>
      <sheetName val="récap_pein_7"/>
      <sheetName val="DimensRESEAU_(2)7"/>
      <sheetName val="récap_pein_8"/>
      <sheetName val="DimensRESEAU_(2)8"/>
      <sheetName val="Rep_pop12"/>
      <sheetName val="récap_pein_12"/>
      <sheetName val="DimensRESEAU_(2)12"/>
      <sheetName val="bord_elec_annasr2"/>
      <sheetName val="Rep_pop10"/>
      <sheetName val="récap_pein_10"/>
      <sheetName val="DimensRESEAU_(2)10"/>
      <sheetName val="Rep_pop11"/>
      <sheetName val="récap_pein_11"/>
      <sheetName val="DimensRESEAU_(2)11"/>
      <sheetName val="bord_elec_annasr1"/>
      <sheetName val="S_P113"/>
      <sheetName val="GC_150m3_MGHASSINE13"/>
      <sheetName val="Réservoir_200m3_G813"/>
      <sheetName val="S_P111"/>
      <sheetName val="GC_150m3_MGHASSINE11"/>
      <sheetName val="Réservoir_200m3_G811"/>
      <sheetName val="S_P112"/>
      <sheetName val="GC_150m3_MGHASSINE12"/>
      <sheetName val="Réservoir_200m3_G812"/>
      <sheetName val="S_P116"/>
      <sheetName val="GC_150m3_MGHASSINE16"/>
      <sheetName val="Réservoir_200m3_G816"/>
      <sheetName val="S_P114"/>
      <sheetName val="GC_150m3_MGHASSINE14"/>
      <sheetName val="Réservoir_200m3_G814"/>
      <sheetName val="S_P115"/>
      <sheetName val="GC_150m3_MGHASSINE15"/>
      <sheetName val="Réservoir_200m3_G815"/>
      <sheetName val="Rep_pop13"/>
      <sheetName val="Base_Liste2"/>
      <sheetName val="Base_Liste1"/>
      <sheetName val="Base_Liste5"/>
      <sheetName val="Base_Liste3"/>
      <sheetName val="Base_Liste4"/>
      <sheetName val="récap_pein_13"/>
      <sheetName val="DimensRESEAU_(2)13"/>
      <sheetName val="choix"/>
      <sheetName val="bord_elec_annasr3"/>
      <sheetName val="bord_elec_annasr4"/>
      <sheetName val="bord_elec_annasr5"/>
      <sheetName val="bord_elec_annasr6"/>
      <sheetName val="S_P117"/>
      <sheetName val="GC_150m3_MGHASSINE17"/>
      <sheetName val="Réservoir_200m3_G817"/>
      <sheetName val="Rep_pop14"/>
      <sheetName val="avant metre pavillon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Pression</v>
          </cell>
        </row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  <row r="42">
          <cell r="A42">
            <v>10</v>
          </cell>
        </row>
        <row r="43">
          <cell r="A43">
            <v>16.367439582768878</v>
          </cell>
        </row>
        <row r="44">
          <cell r="A44">
            <v>32.348338105082476</v>
          </cell>
        </row>
        <row r="45">
          <cell r="A45">
            <v>45.625545848277014</v>
          </cell>
        </row>
        <row r="46">
          <cell r="A46">
            <v>39.805056309338624</v>
          </cell>
        </row>
        <row r="47">
          <cell r="A47">
            <v>38.668690745495169</v>
          </cell>
        </row>
        <row r="48">
          <cell r="A48">
            <v>31.922975812866991</v>
          </cell>
        </row>
        <row r="49">
          <cell r="A49">
            <v>41.608083527008269</v>
          </cell>
        </row>
        <row r="50">
          <cell r="A50">
            <v>43.783606124703319</v>
          </cell>
        </row>
        <row r="51">
          <cell r="A51">
            <v>48.786275492736586</v>
          </cell>
        </row>
        <row r="52">
          <cell r="A52">
            <v>47.685358620930216</v>
          </cell>
        </row>
        <row r="53">
          <cell r="A53">
            <v>47.942211665379212</v>
          </cell>
        </row>
        <row r="54">
          <cell r="A54">
            <v>47.704679716494681</v>
          </cell>
        </row>
        <row r="55">
          <cell r="A55">
            <v>53.119554569628747</v>
          </cell>
        </row>
        <row r="56">
          <cell r="A56">
            <v>57.526036283234774</v>
          </cell>
        </row>
        <row r="57">
          <cell r="A57">
            <v>57.349467518065538</v>
          </cell>
        </row>
        <row r="58">
          <cell r="A58">
            <v>51.995437636564169</v>
          </cell>
        </row>
        <row r="59">
          <cell r="A59">
            <v>54.677274895435339</v>
          </cell>
        </row>
        <row r="60">
          <cell r="A60">
            <v>55.297251320070181</v>
          </cell>
        </row>
        <row r="61">
          <cell r="A61">
            <v>55.514249889685118</v>
          </cell>
        </row>
        <row r="62">
          <cell r="A62">
            <v>55.321153409609103</v>
          </cell>
        </row>
        <row r="63">
          <cell r="A63">
            <v>54.356341140812169</v>
          </cell>
        </row>
        <row r="64">
          <cell r="A64">
            <v>46.873865971600118</v>
          </cell>
        </row>
        <row r="65">
          <cell r="A65">
            <v>45.984797769734513</v>
          </cell>
        </row>
      </sheetData>
      <sheetData sheetId="10" refreshError="1">
        <row r="1">
          <cell r="A1" t="str">
            <v>Hardy-Cross</v>
          </cell>
        </row>
        <row r="87">
          <cell r="A87">
            <v>2.1697051600065382</v>
          </cell>
          <cell r="B87">
            <v>0.57386815309543371</v>
          </cell>
          <cell r="C87">
            <v>0.96785595422153559</v>
          </cell>
          <cell r="D87">
            <v>0.96785595422153559</v>
          </cell>
          <cell r="E87">
            <v>0.44607717770216254</v>
          </cell>
        </row>
        <row r="88">
          <cell r="A88">
            <v>1.7323562016732046</v>
          </cell>
          <cell r="B88">
            <v>0.31727469633571509</v>
          </cell>
          <cell r="C88">
            <v>0.25910424573438162</v>
          </cell>
          <cell r="D88">
            <v>0.25910424573438162</v>
          </cell>
          <cell r="E88">
            <v>0.14956753436973558</v>
          </cell>
        </row>
        <row r="89">
          <cell r="A89">
            <v>2.6693490464657261E-2</v>
          </cell>
          <cell r="B89">
            <v>0.10853983993039255</v>
          </cell>
          <cell r="C89">
            <v>1.3565360465825269</v>
          </cell>
          <cell r="D89">
            <v>1.3565360465825269</v>
          </cell>
          <cell r="E89">
            <v>50.818983316498418</v>
          </cell>
        </row>
        <row r="90">
          <cell r="A90">
            <v>-0.12306360173553148</v>
          </cell>
          <cell r="B90">
            <v>0.31809292956805524</v>
          </cell>
          <cell r="C90">
            <v>1.1826722466597415</v>
          </cell>
          <cell r="D90">
            <v>-1.1826722466597415</v>
          </cell>
          <cell r="E90">
            <v>9.6102521783926864</v>
          </cell>
        </row>
        <row r="91">
          <cell r="A91">
            <v>-0.12525946721034517</v>
          </cell>
          <cell r="B91">
            <v>0.19783549924116692</v>
          </cell>
          <cell r="C91">
            <v>1.0191014776864087</v>
          </cell>
          <cell r="D91">
            <v>-1.0191014776864087</v>
          </cell>
          <cell r="E91">
            <v>8.1359237779213647</v>
          </cell>
        </row>
        <row r="92">
          <cell r="A92">
            <v>-0.12525946721034517</v>
          </cell>
          <cell r="B92">
            <v>0.19783549924116692</v>
          </cell>
          <cell r="C92">
            <v>0.50800195240295143</v>
          </cell>
          <cell r="D92">
            <v>-0.50800195240295143</v>
          </cell>
          <cell r="E92">
            <v>4.0555972631583694</v>
          </cell>
        </row>
        <row r="93">
          <cell r="A93">
            <v>0.14975709220018865</v>
          </cell>
          <cell r="B93">
            <v>0.23652718441295489</v>
          </cell>
          <cell r="C93">
            <v>1.3175881929617259</v>
          </cell>
          <cell r="D93">
            <v>1.3175881929617259</v>
          </cell>
          <cell r="E93">
            <v>8.7981689120968802</v>
          </cell>
        </row>
        <row r="94">
          <cell r="A94">
            <v>1.358521720018881E-2</v>
          </cell>
          <cell r="B94">
            <v>5.5239583683536153E-2</v>
          </cell>
          <cell r="C94">
            <v>0.31947355663218918</v>
          </cell>
          <cell r="D94">
            <v>0.31947355663218918</v>
          </cell>
          <cell r="E94">
            <v>23.516264180726463</v>
          </cell>
        </row>
        <row r="95">
          <cell r="A95">
            <v>-0.20144394946647773</v>
          </cell>
          <cell r="B95">
            <v>0.31816169427648328</v>
          </cell>
          <cell r="C95">
            <v>1.4935529248670512</v>
          </cell>
          <cell r="D95">
            <v>-1.4935529248670512</v>
          </cell>
          <cell r="E95">
            <v>7.4142357158043763</v>
          </cell>
        </row>
        <row r="96">
          <cell r="A96">
            <v>-0.41426061613314435</v>
          </cell>
          <cell r="B96">
            <v>0.41874273366865006</v>
          </cell>
          <cell r="C96">
            <v>1.0157065877965694</v>
          </cell>
          <cell r="D96">
            <v>-1.0157065877965694</v>
          </cell>
          <cell r="E96">
            <v>2.4518540943561935</v>
          </cell>
        </row>
        <row r="97">
          <cell r="A97">
            <v>-1.737111793813487</v>
          </cell>
          <cell r="B97">
            <v>0.70816506155716419</v>
          </cell>
          <cell r="C97">
            <v>1.3431469555510012</v>
          </cell>
          <cell r="D97">
            <v>-1.3431469555510012</v>
          </cell>
          <cell r="E97">
            <v>0.77320697512644621</v>
          </cell>
        </row>
        <row r="98">
          <cell r="A98">
            <v>-2.2158617938134868</v>
          </cell>
          <cell r="B98">
            <v>0.40582697546558572</v>
          </cell>
          <cell r="C98">
            <v>0.36740466807132061</v>
          </cell>
          <cell r="D98">
            <v>-0.36740466807132061</v>
          </cell>
          <cell r="E98">
            <v>0.16580667129018867</v>
          </cell>
        </row>
        <row r="99">
          <cell r="A99">
            <v>1.3228511776803424</v>
          </cell>
          <cell r="B99">
            <v>0.34988263665891356</v>
          </cell>
          <cell r="C99">
            <v>0.44947632162106926</v>
          </cell>
          <cell r="D99">
            <v>0.44947632162106921</v>
          </cell>
          <cell r="E99">
            <v>0.33977844915951838</v>
          </cell>
        </row>
        <row r="100">
          <cell r="A100">
            <v>0.89685464990256414</v>
          </cell>
          <cell r="B100">
            <v>0.90655822247639561</v>
          </cell>
          <cell r="C100">
            <v>3.7116662569082473</v>
          </cell>
          <cell r="D100">
            <v>3.7116662569082473</v>
          </cell>
          <cell r="E100">
            <v>4.1385371167016745</v>
          </cell>
        </row>
        <row r="101">
          <cell r="A101">
            <v>-0.15930160009743641</v>
          </cell>
          <cell r="B101">
            <v>0.25160183327516333</v>
          </cell>
          <cell r="C101">
            <v>0.88820433253788722</v>
          </cell>
          <cell r="D101">
            <v>-0.88820433253788722</v>
          </cell>
          <cell r="E101">
            <v>5.5756146328387119</v>
          </cell>
        </row>
        <row r="102">
          <cell r="A102">
            <v>-0.39483632231965848</v>
          </cell>
          <cell r="B102">
            <v>0.39910827754543532</v>
          </cell>
          <cell r="C102">
            <v>1.9695170942189271</v>
          </cell>
          <cell r="D102">
            <v>-1.9695170942189271</v>
          </cell>
          <cell r="E102">
            <v>4.9881861999120005</v>
          </cell>
        </row>
        <row r="103">
          <cell r="A103">
            <v>-0.63483632231965881</v>
          </cell>
          <cell r="B103">
            <v>0.25880251626597089</v>
          </cell>
          <cell r="C103">
            <v>1.1204434384738129</v>
          </cell>
          <cell r="D103">
            <v>-1.1204434384738129</v>
          </cell>
          <cell r="E103">
            <v>1.7649327851622778</v>
          </cell>
        </row>
        <row r="104">
          <cell r="A104">
            <v>-1.3326696556529916</v>
          </cell>
          <cell r="B104">
            <v>0.35247953872848115</v>
          </cell>
          <cell r="C104">
            <v>0.30832729052299912</v>
          </cell>
          <cell r="D104">
            <v>-0.30832729052299912</v>
          </cell>
          <cell r="E104">
            <v>0.2313606295567093</v>
          </cell>
        </row>
        <row r="105">
          <cell r="A105">
            <v>-1.4766696556529917</v>
          </cell>
          <cell r="B105">
            <v>0.27044664147763336</v>
          </cell>
          <cell r="C105">
            <v>0.55486130169668568</v>
          </cell>
          <cell r="D105">
            <v>-0.55486130169668568</v>
          </cell>
          <cell r="E105">
            <v>0.37575181393655904</v>
          </cell>
        </row>
        <row r="106">
          <cell r="A106">
            <v>2.1697051600065382</v>
          </cell>
          <cell r="B106">
            <v>0.39737355695914106</v>
          </cell>
          <cell r="C106">
            <v>0.38790056841945375</v>
          </cell>
          <cell r="D106">
            <v>0.38790056841945375</v>
          </cell>
          <cell r="E106">
            <v>0.178780313366764</v>
          </cell>
        </row>
        <row r="107">
          <cell r="A107">
            <v>1.7323562016732046</v>
          </cell>
          <cell r="B107">
            <v>0.45819315558738266</v>
          </cell>
          <cell r="C107">
            <v>0.64331028804068635</v>
          </cell>
          <cell r="D107">
            <v>0.64331028804068624</v>
          </cell>
          <cell r="E107">
            <v>0.37134989179439076</v>
          </cell>
        </row>
        <row r="108">
          <cell r="A108">
            <v>1.0561562500000001</v>
          </cell>
          <cell r="B108">
            <v>0.6824841604386277</v>
          </cell>
          <cell r="C108">
            <v>2.2964847496994252</v>
          </cell>
          <cell r="D108">
            <v>2.2964847496994252</v>
          </cell>
          <cell r="E108">
            <v>2.1743797375619609</v>
          </cell>
        </row>
        <row r="109">
          <cell r="A109">
            <v>0.42389841177110005</v>
          </cell>
          <cell r="B109">
            <v>0.27392154491238097</v>
          </cell>
          <cell r="C109">
            <v>1.4426931309403492</v>
          </cell>
          <cell r="D109">
            <v>1.4426931309403492</v>
          </cell>
          <cell r="E109">
            <v>3.4033935746836104</v>
          </cell>
        </row>
        <row r="110">
          <cell r="A110">
            <v>2.5485217326655724E-2</v>
          </cell>
          <cell r="B110">
            <v>0.10362681541737431</v>
          </cell>
          <cell r="C110">
            <v>1.0161501067326073</v>
          </cell>
          <cell r="D110">
            <v>1.0161501067326073</v>
          </cell>
          <cell r="E110">
            <v>39.872138177522487</v>
          </cell>
        </row>
        <row r="111">
          <cell r="A111">
            <v>-0.1418967271177887</v>
          </cell>
          <cell r="B111">
            <v>0.22411248008020326</v>
          </cell>
          <cell r="C111">
            <v>2.4588432376729181</v>
          </cell>
          <cell r="D111">
            <v>-2.4588432376729181</v>
          </cell>
          <cell r="E111">
            <v>17.328399939991769</v>
          </cell>
        </row>
      </sheetData>
      <sheetData sheetId="11" refreshError="1"/>
      <sheetData sheetId="12" refreshError="1">
        <row r="1">
          <cell r="A1" t="str">
            <v>Cons</v>
          </cell>
        </row>
        <row r="10">
          <cell r="A10">
            <v>6.5</v>
          </cell>
        </row>
      </sheetData>
      <sheetData sheetId="13" refreshError="1">
        <row r="1">
          <cell r="A1" t="str">
            <v>Epaisseur-conuite</v>
          </cell>
        </row>
        <row r="12">
          <cell r="A12">
            <v>2.2200000000000001E-2</v>
          </cell>
        </row>
      </sheetData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  <row r="12">
          <cell r="A12">
            <v>2.2999999999999998</v>
          </cell>
        </row>
      </sheetData>
      <sheetData sheetId="16" refreshError="1">
        <row r="1">
          <cell r="A1" t="str">
            <v>Long-Total</v>
          </cell>
        </row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>
        <row r="87">
          <cell r="A87">
            <v>2.1697051600065382</v>
          </cell>
        </row>
      </sheetData>
      <sheetData sheetId="135">
        <row r="87">
          <cell r="A87">
            <v>2.1697051600065382</v>
          </cell>
        </row>
      </sheetData>
      <sheetData sheetId="136">
        <row r="87">
          <cell r="A87">
            <v>2.1697051600065382</v>
          </cell>
        </row>
      </sheetData>
      <sheetData sheetId="137">
        <row r="87">
          <cell r="A87">
            <v>2.1697051600065382</v>
          </cell>
        </row>
      </sheetData>
      <sheetData sheetId="138">
        <row r="87">
          <cell r="A87">
            <v>2.1697051600065382</v>
          </cell>
        </row>
      </sheetData>
      <sheetData sheetId="139"/>
      <sheetData sheetId="140"/>
      <sheetData sheetId="141"/>
      <sheetData sheetId="142"/>
      <sheetData sheetId="143">
        <row r="87">
          <cell r="A87">
            <v>2.1697051600065382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87">
          <cell r="A87">
            <v>2.1697051600065382</v>
          </cell>
        </row>
      </sheetData>
      <sheetData sheetId="152">
        <row r="87">
          <cell r="A87">
            <v>2.1697051600065382</v>
          </cell>
        </row>
      </sheetData>
      <sheetData sheetId="153">
        <row r="87">
          <cell r="A87">
            <v>2.1697051600065382</v>
          </cell>
        </row>
      </sheetData>
      <sheetData sheetId="154">
        <row r="87">
          <cell r="A87">
            <v>2.1697051600065382</v>
          </cell>
        </row>
      </sheetData>
      <sheetData sheetId="155">
        <row r="87">
          <cell r="A87">
            <v>2.1697051600065382</v>
          </cell>
        </row>
      </sheetData>
      <sheetData sheetId="156">
        <row r="87">
          <cell r="A87">
            <v>2.1697051600065382</v>
          </cell>
        </row>
      </sheetData>
      <sheetData sheetId="157">
        <row r="87">
          <cell r="A87">
            <v>2.1697051600065382</v>
          </cell>
        </row>
      </sheetData>
      <sheetData sheetId="158">
        <row r="87">
          <cell r="A87">
            <v>2.1697051600065382</v>
          </cell>
        </row>
      </sheetData>
      <sheetData sheetId="159">
        <row r="87">
          <cell r="A87">
            <v>2.1697051600065382</v>
          </cell>
        </row>
      </sheetData>
      <sheetData sheetId="160">
        <row r="87">
          <cell r="A87">
            <v>2.1697051600065382</v>
          </cell>
        </row>
      </sheetData>
      <sheetData sheetId="161">
        <row r="87">
          <cell r="A87">
            <v>2.1697051600065382</v>
          </cell>
        </row>
      </sheetData>
      <sheetData sheetId="162">
        <row r="87">
          <cell r="A87">
            <v>2.1697051600065382</v>
          </cell>
        </row>
      </sheetData>
      <sheetData sheetId="163">
        <row r="87">
          <cell r="A87">
            <v>2.1697051600065382</v>
          </cell>
        </row>
      </sheetData>
      <sheetData sheetId="164">
        <row r="87">
          <cell r="A87">
            <v>2.1697051600065382</v>
          </cell>
        </row>
      </sheetData>
      <sheetData sheetId="165">
        <row r="87">
          <cell r="A87">
            <v>2.1697051600065382</v>
          </cell>
        </row>
      </sheetData>
      <sheetData sheetId="166">
        <row r="87">
          <cell r="A87">
            <v>2.1697051600065382</v>
          </cell>
        </row>
      </sheetData>
      <sheetData sheetId="167">
        <row r="87">
          <cell r="A87">
            <v>2.1697051600065382</v>
          </cell>
        </row>
      </sheetData>
      <sheetData sheetId="168">
        <row r="87">
          <cell r="A87">
            <v>2.1697051600065382</v>
          </cell>
        </row>
      </sheetData>
      <sheetData sheetId="169">
        <row r="87">
          <cell r="A87">
            <v>2.1697051600065382</v>
          </cell>
        </row>
      </sheetData>
      <sheetData sheetId="170"/>
      <sheetData sheetId="171">
        <row r="87">
          <cell r="A87">
            <v>2.1697051600065382</v>
          </cell>
        </row>
      </sheetData>
      <sheetData sheetId="172" refreshError="1"/>
      <sheetData sheetId="173">
        <row r="87">
          <cell r="A87">
            <v>2.1697051600065382</v>
          </cell>
        </row>
      </sheetData>
      <sheetData sheetId="174">
        <row r="87">
          <cell r="A87">
            <v>2.1697051600065382</v>
          </cell>
        </row>
      </sheetData>
      <sheetData sheetId="175">
        <row r="87">
          <cell r="A87">
            <v>2.1697051600065382</v>
          </cell>
        </row>
      </sheetData>
      <sheetData sheetId="176">
        <row r="87">
          <cell r="A87">
            <v>2.1697051600065382</v>
          </cell>
        </row>
      </sheetData>
      <sheetData sheetId="177">
        <row r="87">
          <cell r="A87">
            <v>2.1697051600065382</v>
          </cell>
        </row>
      </sheetData>
      <sheetData sheetId="178">
        <row r="87">
          <cell r="A87">
            <v>2.1697051600065382</v>
          </cell>
        </row>
      </sheetData>
      <sheetData sheetId="179">
        <row r="87">
          <cell r="A87">
            <v>2.1697051600065382</v>
          </cell>
        </row>
      </sheetData>
      <sheetData sheetId="180">
        <row r="87">
          <cell r="A87">
            <v>2.1697051600065382</v>
          </cell>
        </row>
      </sheetData>
      <sheetData sheetId="181">
        <row r="87">
          <cell r="A87">
            <v>2.1697051600065382</v>
          </cell>
        </row>
      </sheetData>
      <sheetData sheetId="182">
        <row r="87">
          <cell r="A87">
            <v>2.1697051600065382</v>
          </cell>
        </row>
      </sheetData>
      <sheetData sheetId="183">
        <row r="87">
          <cell r="A87">
            <v>2.1697051600065382</v>
          </cell>
        </row>
      </sheetData>
      <sheetData sheetId="184">
        <row r="87">
          <cell r="A87">
            <v>2.1697051600065382</v>
          </cell>
        </row>
      </sheetData>
      <sheetData sheetId="185">
        <row r="87">
          <cell r="A87">
            <v>2.1697051600065382</v>
          </cell>
        </row>
      </sheetData>
      <sheetData sheetId="186">
        <row r="87">
          <cell r="A87">
            <v>2.1697051600065382</v>
          </cell>
        </row>
      </sheetData>
      <sheetData sheetId="187">
        <row r="87">
          <cell r="A87">
            <v>2.1697051600065382</v>
          </cell>
        </row>
      </sheetData>
      <sheetData sheetId="188">
        <row r="87">
          <cell r="A87">
            <v>2.1697051600065382</v>
          </cell>
        </row>
      </sheetData>
      <sheetData sheetId="189">
        <row r="87">
          <cell r="A87">
            <v>2.1697051600065382</v>
          </cell>
        </row>
      </sheetData>
      <sheetData sheetId="190">
        <row r="87">
          <cell r="A87">
            <v>2.1697051600065382</v>
          </cell>
        </row>
      </sheetData>
      <sheetData sheetId="191">
        <row r="87">
          <cell r="A87">
            <v>2.1697051600065382</v>
          </cell>
        </row>
      </sheetData>
      <sheetData sheetId="192">
        <row r="87">
          <cell r="A87">
            <v>2.1697051600065382</v>
          </cell>
        </row>
      </sheetData>
      <sheetData sheetId="193">
        <row r="87">
          <cell r="A87">
            <v>2.1697051600065382</v>
          </cell>
        </row>
      </sheetData>
      <sheetData sheetId="194">
        <row r="87">
          <cell r="A87">
            <v>2.1697051600065382</v>
          </cell>
        </row>
      </sheetData>
      <sheetData sheetId="195">
        <row r="87">
          <cell r="A87">
            <v>2.1697051600065382</v>
          </cell>
        </row>
      </sheetData>
      <sheetData sheetId="196">
        <row r="87">
          <cell r="A87">
            <v>2.1697051600065382</v>
          </cell>
        </row>
      </sheetData>
      <sheetData sheetId="197">
        <row r="87">
          <cell r="A87">
            <v>2.1697051600065382</v>
          </cell>
        </row>
      </sheetData>
      <sheetData sheetId="198">
        <row r="87">
          <cell r="A87">
            <v>2.1697051600065382</v>
          </cell>
        </row>
      </sheetData>
      <sheetData sheetId="199">
        <row r="87">
          <cell r="A87">
            <v>2.1697051600065382</v>
          </cell>
        </row>
      </sheetData>
      <sheetData sheetId="200">
        <row r="87">
          <cell r="A87">
            <v>2.1697051600065382</v>
          </cell>
        </row>
      </sheetData>
      <sheetData sheetId="201">
        <row r="87">
          <cell r="A87">
            <v>2.1697051600065382</v>
          </cell>
        </row>
      </sheetData>
      <sheetData sheetId="202">
        <row r="87">
          <cell r="A87">
            <v>2.1697051600065382</v>
          </cell>
        </row>
      </sheetData>
      <sheetData sheetId="203"/>
      <sheetData sheetId="204">
        <row r="87">
          <cell r="A87">
            <v>2.1697051600065382</v>
          </cell>
        </row>
      </sheetData>
      <sheetData sheetId="205">
        <row r="87">
          <cell r="A87">
            <v>2.1697051600065382</v>
          </cell>
        </row>
      </sheetData>
      <sheetData sheetId="206">
        <row r="87">
          <cell r="A87">
            <v>2.1697051600065382</v>
          </cell>
        </row>
      </sheetData>
      <sheetData sheetId="207">
        <row r="87">
          <cell r="A87">
            <v>2.1697051600065382</v>
          </cell>
        </row>
      </sheetData>
      <sheetData sheetId="208">
        <row r="87">
          <cell r="A87">
            <v>2.1697051600065382</v>
          </cell>
        </row>
      </sheetData>
      <sheetData sheetId="209">
        <row r="87">
          <cell r="A87">
            <v>2.1697051600065382</v>
          </cell>
        </row>
      </sheetData>
      <sheetData sheetId="210" refreshError="1"/>
      <sheetData sheetId="211" refreshError="1"/>
      <sheetData sheetId="212" refreshError="1"/>
      <sheetData sheetId="213">
        <row r="87">
          <cell r="A87">
            <v>2.1697051600065382</v>
          </cell>
        </row>
      </sheetData>
      <sheetData sheetId="214">
        <row r="87">
          <cell r="A87">
            <v>2.1697051600065382</v>
          </cell>
        </row>
      </sheetData>
      <sheetData sheetId="215">
        <row r="87">
          <cell r="A87">
            <v>2.1697051600065382</v>
          </cell>
        </row>
      </sheetData>
      <sheetData sheetId="216">
        <row r="87">
          <cell r="A87">
            <v>2.1697051600065382</v>
          </cell>
        </row>
      </sheetData>
      <sheetData sheetId="217">
        <row r="87">
          <cell r="A87">
            <v>2.1697051600065382</v>
          </cell>
        </row>
      </sheetData>
      <sheetData sheetId="218">
        <row r="87">
          <cell r="A87">
            <v>2.1697051600065382</v>
          </cell>
        </row>
      </sheetData>
      <sheetData sheetId="219">
        <row r="87">
          <cell r="A87">
            <v>2.1697051600065382</v>
          </cell>
        </row>
      </sheetData>
      <sheetData sheetId="220" refreshError="1"/>
      <sheetData sheetId="221">
        <row r="87">
          <cell r="A87">
            <v>2.1697051600065382</v>
          </cell>
        </row>
      </sheetData>
      <sheetData sheetId="222">
        <row r="87">
          <cell r="A87">
            <v>2.1697051600065382</v>
          </cell>
        </row>
      </sheetData>
      <sheetData sheetId="223">
        <row r="87">
          <cell r="A87">
            <v>2.1697051600065382</v>
          </cell>
        </row>
      </sheetData>
      <sheetData sheetId="224">
        <row r="87">
          <cell r="A87">
            <v>2.1697051600065382</v>
          </cell>
        </row>
      </sheetData>
      <sheetData sheetId="225">
        <row r="87">
          <cell r="A87">
            <v>2.1697051600065382</v>
          </cell>
        </row>
      </sheetData>
      <sheetData sheetId="226">
        <row r="87">
          <cell r="A87">
            <v>2.1697051600065382</v>
          </cell>
        </row>
      </sheetData>
      <sheetData sheetId="227">
        <row r="87">
          <cell r="A87">
            <v>2.1697051600065382</v>
          </cell>
        </row>
      </sheetData>
      <sheetData sheetId="228">
        <row r="87">
          <cell r="A87">
            <v>2.1697051600065382</v>
          </cell>
        </row>
      </sheetData>
      <sheetData sheetId="229">
        <row r="87">
          <cell r="A87">
            <v>2.1697051600065382</v>
          </cell>
        </row>
      </sheetData>
      <sheetData sheetId="230">
        <row r="87">
          <cell r="A87">
            <v>2.1697051600065382</v>
          </cell>
        </row>
      </sheetData>
      <sheetData sheetId="231">
        <row r="87">
          <cell r="A87">
            <v>2.1697051600065382</v>
          </cell>
        </row>
      </sheetData>
      <sheetData sheetId="232">
        <row r="87">
          <cell r="A87">
            <v>2.1697051600065382</v>
          </cell>
        </row>
      </sheetData>
      <sheetData sheetId="233">
        <row r="87">
          <cell r="A87">
            <v>2.1697051600065382</v>
          </cell>
        </row>
      </sheetData>
      <sheetData sheetId="234">
        <row r="87">
          <cell r="A87">
            <v>2.1697051600065382</v>
          </cell>
        </row>
      </sheetData>
      <sheetData sheetId="235">
        <row r="87">
          <cell r="A87">
            <v>2.1697051600065382</v>
          </cell>
        </row>
      </sheetData>
      <sheetData sheetId="236">
        <row r="87">
          <cell r="A87">
            <v>2.1697051600065382</v>
          </cell>
        </row>
      </sheetData>
      <sheetData sheetId="237">
        <row r="87">
          <cell r="A87">
            <v>2.1697051600065382</v>
          </cell>
        </row>
      </sheetData>
      <sheetData sheetId="238">
        <row r="87">
          <cell r="A87">
            <v>2.1697051600065382</v>
          </cell>
        </row>
      </sheetData>
      <sheetData sheetId="239">
        <row r="87">
          <cell r="A87">
            <v>2.1697051600065382</v>
          </cell>
        </row>
      </sheetData>
      <sheetData sheetId="240">
        <row r="87">
          <cell r="A87">
            <v>2.1697051600065382</v>
          </cell>
        </row>
      </sheetData>
      <sheetData sheetId="241">
        <row r="87">
          <cell r="A87">
            <v>2.1697051600065382</v>
          </cell>
        </row>
      </sheetData>
      <sheetData sheetId="242">
        <row r="87">
          <cell r="A87">
            <v>2.1697051600065382</v>
          </cell>
        </row>
      </sheetData>
      <sheetData sheetId="243">
        <row r="87">
          <cell r="A87">
            <v>2.1697051600065382</v>
          </cell>
        </row>
      </sheetData>
      <sheetData sheetId="244">
        <row r="87">
          <cell r="A87">
            <v>2.1697051600065382</v>
          </cell>
        </row>
      </sheetData>
      <sheetData sheetId="245">
        <row r="87">
          <cell r="A87">
            <v>2.1697051600065382</v>
          </cell>
        </row>
      </sheetData>
      <sheetData sheetId="246">
        <row r="87">
          <cell r="A87">
            <v>2.1697051600065382</v>
          </cell>
        </row>
      </sheetData>
      <sheetData sheetId="247"/>
      <sheetData sheetId="248">
        <row r="87">
          <cell r="A87">
            <v>2.1697051600065382</v>
          </cell>
        </row>
      </sheetData>
      <sheetData sheetId="249">
        <row r="87">
          <cell r="A87">
            <v>2.1697051600065382</v>
          </cell>
        </row>
      </sheetData>
      <sheetData sheetId="250">
        <row r="87">
          <cell r="A87">
            <v>2.1697051600065382</v>
          </cell>
        </row>
      </sheetData>
      <sheetData sheetId="251">
        <row r="87">
          <cell r="A87">
            <v>2.1697051600065382</v>
          </cell>
        </row>
      </sheetData>
      <sheetData sheetId="252">
        <row r="87">
          <cell r="A87">
            <v>2.1697051600065382</v>
          </cell>
        </row>
      </sheetData>
      <sheetData sheetId="253">
        <row r="87">
          <cell r="A87">
            <v>2.1697051600065382</v>
          </cell>
        </row>
      </sheetData>
      <sheetData sheetId="254">
        <row r="87">
          <cell r="A87">
            <v>2.1697051600065382</v>
          </cell>
        </row>
      </sheetData>
      <sheetData sheetId="255">
        <row r="87">
          <cell r="A87">
            <v>2.1697051600065382</v>
          </cell>
        </row>
      </sheetData>
      <sheetData sheetId="256">
        <row r="87">
          <cell r="A87">
            <v>2.1697051600065382</v>
          </cell>
        </row>
      </sheetData>
      <sheetData sheetId="257">
        <row r="87">
          <cell r="A87">
            <v>2.1697051600065382</v>
          </cell>
        </row>
      </sheetData>
      <sheetData sheetId="258">
        <row r="87">
          <cell r="A87">
            <v>2.1697051600065382</v>
          </cell>
        </row>
      </sheetData>
      <sheetData sheetId="259">
        <row r="87">
          <cell r="A87">
            <v>2.1697051600065382</v>
          </cell>
        </row>
      </sheetData>
      <sheetData sheetId="260">
        <row r="87">
          <cell r="A87">
            <v>2.1697051600065382</v>
          </cell>
        </row>
      </sheetData>
      <sheetData sheetId="261">
        <row r="87">
          <cell r="A87">
            <v>2.1697051600065382</v>
          </cell>
        </row>
      </sheetData>
      <sheetData sheetId="262">
        <row r="87">
          <cell r="A87">
            <v>2.1697051600065382</v>
          </cell>
        </row>
      </sheetData>
      <sheetData sheetId="263">
        <row r="87">
          <cell r="A87">
            <v>2.1697051600065382</v>
          </cell>
        </row>
      </sheetData>
      <sheetData sheetId="264">
        <row r="87">
          <cell r="A87">
            <v>2.1697051600065382</v>
          </cell>
        </row>
      </sheetData>
      <sheetData sheetId="265">
        <row r="87">
          <cell r="A87">
            <v>2.1697051600065382</v>
          </cell>
        </row>
      </sheetData>
      <sheetData sheetId="266">
        <row r="87">
          <cell r="A87">
            <v>2.1697051600065382</v>
          </cell>
        </row>
      </sheetData>
      <sheetData sheetId="267"/>
      <sheetData sheetId="268"/>
      <sheetData sheetId="269">
        <row r="87">
          <cell r="A87">
            <v>2.1697051600065382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>
        <row r="87">
          <cell r="A87">
            <v>2.1697051600065382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>
        <row r="1">
          <cell r="A1" t="str">
            <v>Epaisseur</v>
          </cell>
        </row>
      </sheetData>
      <sheetData sheetId="300">
        <row r="87">
          <cell r="A87">
            <v>2.1697051600065382</v>
          </cell>
        </row>
      </sheetData>
      <sheetData sheetId="301">
        <row r="87">
          <cell r="A87">
            <v>2.1697051600065382</v>
          </cell>
        </row>
      </sheetData>
      <sheetData sheetId="302">
        <row r="1">
          <cell r="A1" t="str">
            <v>Epaisseur</v>
          </cell>
        </row>
      </sheetData>
      <sheetData sheetId="303"/>
      <sheetData sheetId="304"/>
      <sheetData sheetId="305"/>
      <sheetData sheetId="306"/>
      <sheetData sheetId="307">
        <row r="1">
          <cell r="A1" t="str">
            <v>Epaisseur</v>
          </cell>
        </row>
      </sheetData>
      <sheetData sheetId="308">
        <row r="87">
          <cell r="A87">
            <v>2.1697051600065382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>
        <row r="87">
          <cell r="A87">
            <v>2.1697051600065382</v>
          </cell>
        </row>
      </sheetData>
      <sheetData sheetId="321"/>
      <sheetData sheetId="322"/>
      <sheetData sheetId="323"/>
      <sheetData sheetId="324">
        <row r="1">
          <cell r="A1" t="str">
            <v>Epaisseur</v>
          </cell>
        </row>
      </sheetData>
      <sheetData sheetId="325"/>
      <sheetData sheetId="326">
        <row r="87">
          <cell r="A87">
            <v>2.1697051600065382</v>
          </cell>
        </row>
      </sheetData>
      <sheetData sheetId="327"/>
      <sheetData sheetId="328"/>
      <sheetData sheetId="329">
        <row r="1">
          <cell r="A1" t="str">
            <v>Epaisseur</v>
          </cell>
        </row>
      </sheetData>
      <sheetData sheetId="330"/>
      <sheetData sheetId="331"/>
      <sheetData sheetId="332"/>
      <sheetData sheetId="333">
        <row r="87">
          <cell r="A87">
            <v>2.1697051600065382</v>
          </cell>
        </row>
      </sheetData>
      <sheetData sheetId="334"/>
      <sheetData sheetId="335"/>
      <sheetData sheetId="336"/>
      <sheetData sheetId="337"/>
      <sheetData sheetId="338"/>
      <sheetData sheetId="339">
        <row r="1">
          <cell r="A1" t="str">
            <v>Epaisseur</v>
          </cell>
        </row>
      </sheetData>
      <sheetData sheetId="340"/>
      <sheetData sheetId="341"/>
      <sheetData sheetId="342">
        <row r="1">
          <cell r="A1" t="str">
            <v>Epaisseur</v>
          </cell>
        </row>
      </sheetData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Epaisseur</v>
          </cell>
        </row>
      </sheetData>
      <sheetData sheetId="350"/>
      <sheetData sheetId="351">
        <row r="1">
          <cell r="A1" t="str">
            <v>Epaisseur</v>
          </cell>
        </row>
      </sheetData>
      <sheetData sheetId="352"/>
      <sheetData sheetId="353"/>
      <sheetData sheetId="354"/>
      <sheetData sheetId="355"/>
      <sheetData sheetId="356">
        <row r="1">
          <cell r="A1" t="str">
            <v>Epaisseur</v>
          </cell>
        </row>
      </sheetData>
      <sheetData sheetId="357"/>
      <sheetData sheetId="358"/>
      <sheetData sheetId="359">
        <row r="87">
          <cell r="A87">
            <v>2.1697051600065382</v>
          </cell>
        </row>
      </sheetData>
      <sheetData sheetId="360">
        <row r="87">
          <cell r="A87">
            <v>2.1697051600065382</v>
          </cell>
        </row>
      </sheetData>
      <sheetData sheetId="361">
        <row r="1">
          <cell r="A1" t="str">
            <v>Epaisseur</v>
          </cell>
        </row>
      </sheetData>
      <sheetData sheetId="362">
        <row r="87">
          <cell r="A87">
            <v>2.1697051600065382</v>
          </cell>
        </row>
      </sheetData>
      <sheetData sheetId="363">
        <row r="1">
          <cell r="A1" t="str">
            <v>Epaisseur</v>
          </cell>
        </row>
      </sheetData>
      <sheetData sheetId="364">
        <row r="87">
          <cell r="A87">
            <v>2.1697051600065382</v>
          </cell>
        </row>
      </sheetData>
      <sheetData sheetId="365">
        <row r="87">
          <cell r="A87">
            <v>2.1697051600065382</v>
          </cell>
        </row>
      </sheetData>
      <sheetData sheetId="366">
        <row r="87">
          <cell r="A87">
            <v>2.1697051600065382</v>
          </cell>
        </row>
      </sheetData>
      <sheetData sheetId="367"/>
      <sheetData sheetId="368"/>
      <sheetData sheetId="369">
        <row r="1">
          <cell r="A1" t="str">
            <v>Epaisseur</v>
          </cell>
        </row>
      </sheetData>
      <sheetData sheetId="370"/>
      <sheetData sheetId="371">
        <row r="87">
          <cell r="A87">
            <v>2.1697051600065382</v>
          </cell>
        </row>
      </sheetData>
      <sheetData sheetId="372"/>
      <sheetData sheetId="373">
        <row r="1">
          <cell r="A1" t="str">
            <v>Epaisseur</v>
          </cell>
        </row>
      </sheetData>
      <sheetData sheetId="374"/>
      <sheetData sheetId="375">
        <row r="1">
          <cell r="A1" t="str">
            <v>Epaisseur</v>
          </cell>
        </row>
      </sheetData>
      <sheetData sheetId="376">
        <row r="1">
          <cell r="A1" t="str">
            <v>Epaisseur</v>
          </cell>
        </row>
      </sheetData>
      <sheetData sheetId="377">
        <row r="1">
          <cell r="A1" t="str">
            <v>Epaisseur</v>
          </cell>
        </row>
      </sheetData>
      <sheetData sheetId="378">
        <row r="87">
          <cell r="A87">
            <v>2.1697051600065382</v>
          </cell>
        </row>
      </sheetData>
      <sheetData sheetId="379">
        <row r="1">
          <cell r="A1" t="str">
            <v>Epaisseur</v>
          </cell>
        </row>
      </sheetData>
      <sheetData sheetId="380"/>
      <sheetData sheetId="381"/>
      <sheetData sheetId="382"/>
      <sheetData sheetId="383"/>
      <sheetData sheetId="384"/>
      <sheetData sheetId="385"/>
      <sheetData sheetId="386">
        <row r="87">
          <cell r="A87">
            <v>2.1697051600065382</v>
          </cell>
        </row>
      </sheetData>
      <sheetData sheetId="387">
        <row r="1">
          <cell r="A1" t="str">
            <v>Epaisseur</v>
          </cell>
        </row>
      </sheetData>
      <sheetData sheetId="388">
        <row r="87">
          <cell r="A87">
            <v>2.1697051600065382</v>
          </cell>
        </row>
      </sheetData>
      <sheetData sheetId="389">
        <row r="87">
          <cell r="A87">
            <v>2.1697051600065382</v>
          </cell>
        </row>
      </sheetData>
      <sheetData sheetId="390">
        <row r="1">
          <cell r="A1" t="str">
            <v>Epaisseur</v>
          </cell>
        </row>
      </sheetData>
      <sheetData sheetId="391">
        <row r="87">
          <cell r="A87">
            <v>2.1697051600065382</v>
          </cell>
        </row>
      </sheetData>
      <sheetData sheetId="392">
        <row r="87">
          <cell r="A87">
            <v>2.1697051600065382</v>
          </cell>
        </row>
      </sheetData>
      <sheetData sheetId="393">
        <row r="87">
          <cell r="A87">
            <v>2.1697051600065382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>
        <row r="87">
          <cell r="A87">
            <v>2.1697051600065382</v>
          </cell>
        </row>
      </sheetData>
      <sheetData sheetId="402">
        <row r="87">
          <cell r="A87">
            <v>2.1697051600065382</v>
          </cell>
        </row>
      </sheetData>
      <sheetData sheetId="403">
        <row r="1">
          <cell r="A1" t="str">
            <v>Epaisseur</v>
          </cell>
        </row>
      </sheetData>
      <sheetData sheetId="404">
        <row r="1">
          <cell r="A1" t="str">
            <v>Epaisseur</v>
          </cell>
        </row>
      </sheetData>
      <sheetData sheetId="405"/>
      <sheetData sheetId="406">
        <row r="87">
          <cell r="A87">
            <v>2.1697051600065382</v>
          </cell>
        </row>
      </sheetData>
      <sheetData sheetId="407"/>
      <sheetData sheetId="408"/>
      <sheetData sheetId="409"/>
      <sheetData sheetId="410"/>
      <sheetData sheetId="411">
        <row r="87">
          <cell r="A87">
            <v>2.1697051600065382</v>
          </cell>
        </row>
      </sheetData>
      <sheetData sheetId="412"/>
      <sheetData sheetId="413">
        <row r="87">
          <cell r="A87">
            <v>2.1697051600065382</v>
          </cell>
        </row>
      </sheetData>
      <sheetData sheetId="414"/>
      <sheetData sheetId="415"/>
      <sheetData sheetId="416"/>
      <sheetData sheetId="417"/>
      <sheetData sheetId="418">
        <row r="87">
          <cell r="A87">
            <v>2.1697051600065382</v>
          </cell>
        </row>
      </sheetData>
      <sheetData sheetId="419"/>
      <sheetData sheetId="420"/>
      <sheetData sheetId="421"/>
      <sheetData sheetId="422">
        <row r="87">
          <cell r="A87">
            <v>2.1697051600065382</v>
          </cell>
        </row>
      </sheetData>
      <sheetData sheetId="423"/>
      <sheetData sheetId="424"/>
      <sheetData sheetId="425">
        <row r="87">
          <cell r="A87">
            <v>2.1697051600065382</v>
          </cell>
        </row>
      </sheetData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>
        <row r="87">
          <cell r="A87">
            <v>2.1697051600065382</v>
          </cell>
        </row>
      </sheetData>
      <sheetData sheetId="435"/>
      <sheetData sheetId="436"/>
      <sheetData sheetId="437"/>
      <sheetData sheetId="438"/>
      <sheetData sheetId="439"/>
      <sheetData sheetId="440"/>
      <sheetData sheetId="441"/>
      <sheetData sheetId="442">
        <row r="1">
          <cell r="A1" t="str">
            <v>Epaisseur</v>
          </cell>
        </row>
      </sheetData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87">
          <cell r="A87">
            <v>2.1697051600065382</v>
          </cell>
        </row>
      </sheetData>
      <sheetData sheetId="451"/>
      <sheetData sheetId="452"/>
      <sheetData sheetId="453"/>
      <sheetData sheetId="454">
        <row r="87">
          <cell r="A87">
            <v>2.1697051600065382</v>
          </cell>
        </row>
      </sheetData>
      <sheetData sheetId="455">
        <row r="87">
          <cell r="A87">
            <v>2.1697051600065382</v>
          </cell>
        </row>
      </sheetData>
      <sheetData sheetId="456">
        <row r="1">
          <cell r="A1" t="str">
            <v>Epaisseur</v>
          </cell>
        </row>
      </sheetData>
      <sheetData sheetId="457">
        <row r="87">
          <cell r="A87">
            <v>2.1697051600065382</v>
          </cell>
        </row>
      </sheetData>
      <sheetData sheetId="458">
        <row r="87">
          <cell r="A87">
            <v>2.1697051600065382</v>
          </cell>
        </row>
      </sheetData>
      <sheetData sheetId="459"/>
      <sheetData sheetId="460">
        <row r="87">
          <cell r="A87">
            <v>2.1697051600065382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>
        <row r="1">
          <cell r="A1" t="str">
            <v>Epaisseur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>
        <row r="87">
          <cell r="A87">
            <v>2.1697051600065382</v>
          </cell>
        </row>
      </sheetData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>
        <row r="87">
          <cell r="A87">
            <v>2.1697051600065382</v>
          </cell>
        </row>
      </sheetData>
      <sheetData sheetId="693"/>
      <sheetData sheetId="694"/>
      <sheetData sheetId="695"/>
      <sheetData sheetId="696">
        <row r="87">
          <cell r="A87">
            <v>2.1697051600065382</v>
          </cell>
        </row>
      </sheetData>
      <sheetData sheetId="697"/>
      <sheetData sheetId="698"/>
      <sheetData sheetId="699">
        <row r="87">
          <cell r="A87">
            <v>2.1697051600065382</v>
          </cell>
        </row>
      </sheetData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/>
      <sheetData sheetId="735"/>
      <sheetData sheetId="736"/>
      <sheetData sheetId="737"/>
      <sheetData sheetId="7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Macro-Hardy-Cross"/>
      <sheetName val="Macro-Pression"/>
      <sheetName val="Macro_press"/>
      <sheetName val="Macro_cons"/>
      <sheetName val="Macro_Diam_interne"/>
      <sheetName val="Macro_Dexterne"/>
      <sheetName val="Macro_Epaisseur"/>
      <sheetName val="Macro_Long"/>
      <sheetName val="DefinitionPrix"/>
      <sheetName val="coef"/>
      <sheetName val="Coefficient"/>
      <sheetName val="Constantes"/>
      <sheetName val="S_P1"/>
      <sheetName val="GC_150m3_MGHASSINE"/>
      <sheetName val="Border"/>
      <sheetName val="Prix"/>
      <sheetName val="Réservoir_200m3_G8"/>
      <sheetName val="S_P12"/>
      <sheetName val="GC_150m3_MGHASSINE2"/>
      <sheetName val="Réservoir_200m3_G82"/>
      <sheetName val="S_P11"/>
      <sheetName val="GC_150m3_MGHASSINE1"/>
      <sheetName val="Réservoir_200m3_G81"/>
      <sheetName val="S.P1"/>
      <sheetName val="GC 150m3 MGHASSINE"/>
      <sheetName val="Réservoir 200m3_G8"/>
      <sheetName val="PG"/>
      <sheetName val="Avanc %"/>
      <sheetName val="BORDEREAU"/>
      <sheetName val="Appros"/>
      <sheetName val="Avanc  par bloc VVT"/>
      <sheetName val="AN2"/>
      <sheetName val="Macro_colbrook"/>
      <sheetName val="Fourniture"/>
      <sheetName val="Calcul"/>
      <sheetName val="Z.Fnche"/>
      <sheetName val="Feuil1"/>
      <sheetName val="Module1"/>
      <sheetName val="Feuil2"/>
      <sheetName val="Feuil3"/>
      <sheetName val="Macro_Newton"/>
      <sheetName val="B.P"/>
      <sheetName val="D.E"/>
      <sheetName val="Soumission (2)"/>
      <sheetName val="ANNEXES"/>
      <sheetName val="etiq"/>
      <sheetName val="GESTION ao"/>
      <sheetName val="Feuil1 (2)"/>
      <sheetName val="Echéancier"/>
      <sheetName val="OP FINANCIERS"/>
      <sheetName val="Jugement"/>
      <sheetName val="TAB COMP TEC"/>
      <sheetName val="affichage"/>
      <sheetName val="Signature"/>
      <sheetName val="timbrage"/>
      <sheetName val="Page garde"/>
      <sheetName val="FAX PRECISION"/>
      <sheetName val="tab demarreur"/>
      <sheetName val="FAX CORREC"/>
      <sheetName val="offre fina"/>
      <sheetName val="AN3"/>
      <sheetName val="DATA"/>
      <sheetName val="aep"/>
      <sheetName val="Rep pop"/>
      <sheetName val="0DONNEESDEBASES"/>
      <sheetName val="S_P13"/>
      <sheetName val="GC_150m3_MGHASSINE3"/>
      <sheetName val="Réservoir_200m3_G83"/>
      <sheetName val="B_P"/>
      <sheetName val="D_E"/>
      <sheetName val="Soumission_(2)"/>
      <sheetName val="GESTION_ao"/>
      <sheetName val="Feuil1_(2)"/>
      <sheetName val="BacheSR3NZ"/>
      <sheetName val="AvalCredoc"/>
      <sheetName val="Escompte"/>
      <sheetName val="B_P1"/>
      <sheetName val="D_E1"/>
      <sheetName val="Soumission_(2)1"/>
      <sheetName val="GESTION_ao1"/>
      <sheetName val="Feuil1_(2)1"/>
      <sheetName val="B_P3"/>
      <sheetName val="D_E3"/>
      <sheetName val="Soumission_(2)3"/>
      <sheetName val="GESTION_ao3"/>
      <sheetName val="Feuil1_(2)3"/>
      <sheetName val="B_P2"/>
      <sheetName val="D_E2"/>
      <sheetName val="Soumission_(2)2"/>
      <sheetName val="GESTION_ao2"/>
      <sheetName val="Feuil1_(2)2"/>
      <sheetName val="OP_FINANCIERS"/>
      <sheetName val="TAB_COMP_TEC"/>
      <sheetName val="Page_garde"/>
      <sheetName val="FAX_PRECISION"/>
      <sheetName val="tab_demarreur"/>
      <sheetName val="FAX_CORREC"/>
      <sheetName val="offre_fina"/>
      <sheetName val="OP_FINANCIERS1"/>
      <sheetName val="TAB_COMP_TEC1"/>
      <sheetName val="Page_garde1"/>
      <sheetName val="FAX_PRECISION1"/>
      <sheetName val="tab_demarreur1"/>
      <sheetName val="FAX_CORREC1"/>
      <sheetName val="offre_fina1"/>
      <sheetName val="S_P16"/>
      <sheetName val="GC_150m3_MGHASSINE6"/>
      <sheetName val="Réservoir_200m3_G86"/>
      <sheetName val="Avanc_%2"/>
      <sheetName val="Avanc__par_bloc_VVT2"/>
      <sheetName val="Z_Fnche2"/>
      <sheetName val="B_P6"/>
      <sheetName val="D_E6"/>
      <sheetName val="Soumission_(2)6"/>
      <sheetName val="GESTION_ao6"/>
      <sheetName val="Feuil1_(2)6"/>
      <sheetName val="OP_FINANCIERS2"/>
      <sheetName val="TAB_COMP_TEC2"/>
      <sheetName val="Page_garde2"/>
      <sheetName val="FAX_PRECISION2"/>
      <sheetName val="tab_demarreur2"/>
      <sheetName val="FAX_CORREC2"/>
      <sheetName val="offre_fina2"/>
      <sheetName val="Rep_pop2"/>
      <sheetName val="S_P15"/>
      <sheetName val="GC_150m3_MGHASSINE5"/>
      <sheetName val="Réservoir_200m3_G85"/>
      <sheetName val="Avanc_%1"/>
      <sheetName val="Avanc__par_bloc_VVT1"/>
      <sheetName val="Z_Fnche1"/>
      <sheetName val="B_P5"/>
      <sheetName val="D_E5"/>
      <sheetName val="Soumission_(2)5"/>
      <sheetName val="GESTION_ao5"/>
      <sheetName val="Feuil1_(2)5"/>
      <sheetName val="Rep_pop1"/>
      <sheetName val="S_P14"/>
      <sheetName val="GC_150m3_MGHASSINE4"/>
      <sheetName val="Réservoir_200m3_G84"/>
      <sheetName val="Avanc_%"/>
      <sheetName val="Avanc__par_bloc_VVT"/>
      <sheetName val="Z_Fnche"/>
      <sheetName val="B_P4"/>
      <sheetName val="D_E4"/>
      <sheetName val="Soumission_(2)4"/>
      <sheetName val="GESTION_ao4"/>
      <sheetName val="Feuil1_(2)4"/>
      <sheetName val="Rep_pop"/>
      <sheetName val="S_P17"/>
      <sheetName val="GC_150m3_MGHASSINE7"/>
      <sheetName val="Réservoir_200m3_G87"/>
      <sheetName val="Avanc_%3"/>
      <sheetName val="Avanc__par_bloc_VVT3"/>
      <sheetName val="Z_Fnche3"/>
      <sheetName val="B_P7"/>
      <sheetName val="D_E7"/>
      <sheetName val="Soumission_(2)7"/>
      <sheetName val="GESTION_ao7"/>
      <sheetName val="Feuil1_(2)7"/>
      <sheetName val="OP_FINANCIERS3"/>
      <sheetName val="TAB_COMP_TEC3"/>
      <sheetName val="Page_garde3"/>
      <sheetName val="FAX_PRECISION3"/>
      <sheetName val="tab_demarreur3"/>
      <sheetName val="FAX_CORREC3"/>
      <sheetName val="offre_fina3"/>
      <sheetName val="Rep_pop3"/>
      <sheetName val="S_P18"/>
      <sheetName val="GC_150m3_MGHASSINE8"/>
      <sheetName val="Réservoir_200m3_G88"/>
      <sheetName val="Avanc_%4"/>
      <sheetName val="Avanc__par_bloc_VVT4"/>
      <sheetName val="Z_Fnche4"/>
      <sheetName val="B_P8"/>
      <sheetName val="D_E8"/>
      <sheetName val="Soumission_(2)8"/>
      <sheetName val="GESTION_ao8"/>
      <sheetName val="Feuil1_(2)8"/>
      <sheetName val="OP_FINANCIERS4"/>
      <sheetName val="TAB_COMP_TEC4"/>
      <sheetName val="Page_garde4"/>
      <sheetName val="FAX_PRECISION4"/>
      <sheetName val="tab_demarreur4"/>
      <sheetName val="FAX_CORREC4"/>
      <sheetName val="offre_fina4"/>
      <sheetName val="Rep_pop4"/>
      <sheetName val="S_P19"/>
      <sheetName val="GC_150m3_MGHASSINE9"/>
      <sheetName val="Réservoir_200m3_G89"/>
      <sheetName val="Avanc_%5"/>
      <sheetName val="Avanc__par_bloc_VVT5"/>
      <sheetName val="Z_Fnche5"/>
      <sheetName val="B_P9"/>
      <sheetName val="D_E9"/>
      <sheetName val="Soumission_(2)9"/>
      <sheetName val="GESTION_ao9"/>
      <sheetName val="Feuil1_(2)9"/>
      <sheetName val="OP_FINANCIERS5"/>
      <sheetName val="TAB_COMP_TEC5"/>
      <sheetName val="Page_garde5"/>
      <sheetName val="FAX_PRECISION5"/>
      <sheetName val="tab_demarreur5"/>
      <sheetName val="FAX_CORREC5"/>
      <sheetName val="offre_fina5"/>
      <sheetName val="Rep_pop5"/>
      <sheetName val="Qeu"/>
      <sheetName val="Table1"/>
      <sheetName val="OP_FINANCIERS6"/>
      <sheetName val="TAB_COMP_TEC6"/>
      <sheetName val="Page_garde6"/>
      <sheetName val="FAX_PRECISION6"/>
      <sheetName val="tab_demarreur6"/>
      <sheetName val="FAX_CORREC6"/>
      <sheetName val="offre_fina6"/>
      <sheetName val="OP_FINANCIERS7"/>
      <sheetName val="TAB_COMP_TEC7"/>
      <sheetName val="Page_garde7"/>
      <sheetName val="FAX_PRECISION7"/>
      <sheetName val="tab_demarreur7"/>
      <sheetName val="FAX_CORREC7"/>
      <sheetName val="offre_fina7"/>
      <sheetName val="S_P115"/>
      <sheetName val="GC_150m3_MGHASSINE15"/>
      <sheetName val="Réservoir_200m3_G815"/>
      <sheetName val="B_P13"/>
      <sheetName val="D_E13"/>
      <sheetName val="Soumission_(2)13"/>
      <sheetName val="GESTION_ao13"/>
      <sheetName val="Feuil1_(2)13"/>
      <sheetName val="Avanc_%11"/>
      <sheetName val="Avanc__par_bloc_VVT11"/>
      <sheetName val="Z_Fnche11"/>
      <sheetName val="OP_FINANCIERS13"/>
      <sheetName val="TAB_COMP_TEC13"/>
      <sheetName val="Page_garde13"/>
      <sheetName val="FAX_PRECISION13"/>
      <sheetName val="tab_demarreur13"/>
      <sheetName val="FAX_CORREC13"/>
      <sheetName val="offre_fina13"/>
      <sheetName val="Rep_pop11"/>
      <sheetName val="S_P110"/>
      <sheetName val="GC_150m3_MGHASSINE10"/>
      <sheetName val="Réservoir_200m3_G810"/>
      <sheetName val="Avanc_%6"/>
      <sheetName val="Avanc__par_bloc_VVT6"/>
      <sheetName val="Z_Fnche6"/>
      <sheetName val="OP_FINANCIERS8"/>
      <sheetName val="TAB_COMP_TEC8"/>
      <sheetName val="Page_garde8"/>
      <sheetName val="FAX_PRECISION8"/>
      <sheetName val="tab_demarreur8"/>
      <sheetName val="FAX_CORREC8"/>
      <sheetName val="offre_fina8"/>
      <sheetName val="Rep_pop6"/>
      <sheetName val="S_P111"/>
      <sheetName val="GC_150m3_MGHASSINE11"/>
      <sheetName val="Réservoir_200m3_G811"/>
      <sheetName val="Avanc_%7"/>
      <sheetName val="Avanc__par_bloc_VVT7"/>
      <sheetName val="Z_Fnche7"/>
      <sheetName val="OP_FINANCIERS9"/>
      <sheetName val="TAB_COMP_TEC9"/>
      <sheetName val="Page_garde9"/>
      <sheetName val="FAX_PRECISION9"/>
      <sheetName val="tab_demarreur9"/>
      <sheetName val="FAX_CORREC9"/>
      <sheetName val="offre_fina9"/>
      <sheetName val="Rep_pop7"/>
      <sheetName val="S_P112"/>
      <sheetName val="GC_150m3_MGHASSINE12"/>
      <sheetName val="Réservoir_200m3_G812"/>
      <sheetName val="B_P10"/>
      <sheetName val="D_E10"/>
      <sheetName val="Soumission_(2)10"/>
      <sheetName val="GESTION_ao10"/>
      <sheetName val="Feuil1_(2)10"/>
      <sheetName val="Avanc_%8"/>
      <sheetName val="Avanc__par_bloc_VVT8"/>
      <sheetName val="Z_Fnche8"/>
      <sheetName val="OP_FINANCIERS10"/>
      <sheetName val="TAB_COMP_TEC10"/>
      <sheetName val="Page_garde10"/>
      <sheetName val="FAX_PRECISION10"/>
      <sheetName val="tab_demarreur10"/>
      <sheetName val="FAX_CORREC10"/>
      <sheetName val="offre_fina10"/>
      <sheetName val="Rep_pop8"/>
      <sheetName val="S_P114"/>
      <sheetName val="GC_150m3_MGHASSINE14"/>
      <sheetName val="Réservoir_200m3_G814"/>
      <sheetName val="Avanc_%10"/>
      <sheetName val="Avanc__par_bloc_VVT10"/>
      <sheetName val="Z_Fnche10"/>
      <sheetName val="B_P12"/>
      <sheetName val="D_E12"/>
      <sheetName val="Soumission_(2)12"/>
      <sheetName val="GESTION_ao12"/>
      <sheetName val="Feuil1_(2)12"/>
      <sheetName val="OP_FINANCIERS12"/>
      <sheetName val="TAB_COMP_TEC12"/>
      <sheetName val="Page_garde12"/>
      <sheetName val="FAX_PRECISION12"/>
      <sheetName val="tab_demarreur12"/>
      <sheetName val="FAX_CORREC12"/>
      <sheetName val="offre_fina12"/>
      <sheetName val="Rep_pop10"/>
      <sheetName val="S_P113"/>
      <sheetName val="GC_150m3_MGHASSINE13"/>
      <sheetName val="Réservoir_200m3_G813"/>
      <sheetName val="B_P11"/>
      <sheetName val="D_E11"/>
      <sheetName val="Soumission_(2)11"/>
      <sheetName val="GESTION_ao11"/>
      <sheetName val="Feuil1_(2)11"/>
      <sheetName val="Avanc_%9"/>
      <sheetName val="Avanc__par_bloc_VVT9"/>
      <sheetName val="Z_Fnche9"/>
      <sheetName val="OP_FINANCIERS11"/>
      <sheetName val="TAB_COMP_TEC11"/>
      <sheetName val="Page_garde11"/>
      <sheetName val="FAX_PRECISION11"/>
      <sheetName val="tab_demarreur11"/>
      <sheetName val="FAX_CORREC11"/>
      <sheetName val="offre_fina11"/>
      <sheetName val="Rep_pop9"/>
      <sheetName val="etan"/>
      <sheetName val="S_P116"/>
      <sheetName val="GC_150m3_MGHASSINE16"/>
      <sheetName val="Réservoir_200m3_G816"/>
      <sheetName val="Avanc_%12"/>
      <sheetName val="Avanc__par_bloc_VVT12"/>
      <sheetName val="Z_Fnche12"/>
      <sheetName val="B_P14"/>
      <sheetName val="D_E14"/>
      <sheetName val="Soumission_(2)14"/>
      <sheetName val="GESTION_ao14"/>
      <sheetName val="Feuil1_(2)14"/>
      <sheetName val="OP_FINANCIERS14"/>
      <sheetName val="TAB_COMP_TEC14"/>
      <sheetName val="Page_garde14"/>
      <sheetName val="FAX_PRECISION14"/>
      <sheetName val="tab_demarreur14"/>
      <sheetName val="FAX_CORREC14"/>
      <sheetName val="offre_fina14"/>
      <sheetName val="Rep_pop12"/>
      <sheetName val="S_P117"/>
      <sheetName val="GC_150m3_MGHASSINE17"/>
      <sheetName val="Réservoir_200m3_G817"/>
      <sheetName val="Avanc_%13"/>
      <sheetName val="Avanc__par_bloc_VVT13"/>
      <sheetName val="Z_Fnche13"/>
      <sheetName val="B_P15"/>
      <sheetName val="D_E15"/>
      <sheetName val="Soumission_(2)15"/>
      <sheetName val="GESTION_ao15"/>
      <sheetName val="Feuil1_(2)15"/>
      <sheetName val="OP_FINANCIERS15"/>
      <sheetName val="TAB_COMP_TEC15"/>
      <sheetName val="Page_garde15"/>
      <sheetName val="FAX_PRECISION15"/>
      <sheetName val="tab_demarreur15"/>
      <sheetName val="FAX_CORREC15"/>
      <sheetName val="offre_fina15"/>
      <sheetName val="Rep_pop13"/>
      <sheetName val="preau"/>
      <sheetName val="SEMELFONC"/>
      <sheetName val="classe1"/>
      <sheetName val="S_P118"/>
      <sheetName val="GC_150m3_MGHASSINE18"/>
      <sheetName val="Réservoir_200m3_G818"/>
      <sheetName val="S_P120"/>
      <sheetName val="GC_150m3_MGHASSINE20"/>
      <sheetName val="Réservoir_200m3_G820"/>
      <sheetName val="S_P119"/>
      <sheetName val="GC_150m3_MGHASSINE19"/>
      <sheetName val="Réservoir_200m3_G819"/>
      <sheetName val="S_P125"/>
      <sheetName val="GC_150m3_MGHASSINE25"/>
      <sheetName val="Réservoir_200m3_G825"/>
      <sheetName val="S_P121"/>
      <sheetName val="GC_150m3_MGHASSINE21"/>
      <sheetName val="Réservoir_200m3_G821"/>
      <sheetName val="S_P122"/>
      <sheetName val="GC_150m3_MGHASSINE22"/>
      <sheetName val="Réservoir_200m3_G822"/>
      <sheetName val="S_P123"/>
      <sheetName val="GC_150m3_MGHASSINE23"/>
      <sheetName val="Réservoir_200m3_G823"/>
      <sheetName val="S_P124"/>
      <sheetName val="GC_150m3_MGHASSINE24"/>
      <sheetName val="Réservoir_200m3_G824"/>
      <sheetName val="S_P126"/>
      <sheetName val="GC_150m3_MGHASSINE26"/>
      <sheetName val="Réservoir_200m3_G826"/>
      <sheetName val="S_P132"/>
      <sheetName val="GC_150m3_MGHASSINE32"/>
      <sheetName val="Réservoir_200m3_G832"/>
      <sheetName val="S_P127"/>
      <sheetName val="GC_150m3_MGHASSINE27"/>
      <sheetName val="Réservoir_200m3_G827"/>
      <sheetName val="S_P128"/>
      <sheetName val="GC_150m3_MGHASSINE28"/>
      <sheetName val="Réservoir_200m3_G828"/>
      <sheetName val="S_P129"/>
      <sheetName val="GC_150m3_MGHASSINE29"/>
      <sheetName val="Réservoir_200m3_G829"/>
      <sheetName val="S_P130"/>
      <sheetName val="GC_150m3_MGHASSINE30"/>
      <sheetName val="Réservoir_200m3_G830"/>
      <sheetName val="S_P131"/>
      <sheetName val="GC_150m3_MGHASSINE31"/>
      <sheetName val="Réservoir_200m3_G831"/>
      <sheetName val="S_P136"/>
      <sheetName val="GC_150m3_MGHASSINE36"/>
      <sheetName val="Réservoir_200m3_G836"/>
      <sheetName val="S_P133"/>
      <sheetName val="GC_150m3_MGHASSINE33"/>
      <sheetName val="Réservoir_200m3_G833"/>
      <sheetName val="S_P134"/>
      <sheetName val="GC_150m3_MGHASSINE34"/>
      <sheetName val="Réservoir_200m3_G834"/>
      <sheetName val="S_P135"/>
      <sheetName val="GC_150m3_MGHASSINE35"/>
      <sheetName val="Réservoir_200m3_G835"/>
      <sheetName val="S_P137"/>
      <sheetName val="GC_150m3_MGHASSINE37"/>
      <sheetName val="Réservoir_200m3_G837"/>
      <sheetName val="S_P138"/>
      <sheetName val="GC_150m3_MGHASSINE38"/>
      <sheetName val="Réservoir_200m3_G838"/>
      <sheetName val="S_P140"/>
      <sheetName val="GC_150m3_MGHASSINE40"/>
      <sheetName val="Réservoir_200m3_G840"/>
      <sheetName val="S_P139"/>
      <sheetName val="GC_150m3_MGHASSINE39"/>
      <sheetName val="Réservoir_200m3_G839"/>
      <sheetName val="S_P141"/>
      <sheetName val="GC_150m3_MGHASSINE41"/>
      <sheetName val="Réservoir_200m3_G841"/>
      <sheetName val="S_P142"/>
      <sheetName val="GC_150m3_MGHASSINE42"/>
      <sheetName val="Réservoir_200m3_G842"/>
      <sheetName val="B_P16"/>
      <sheetName val="D_E16"/>
      <sheetName val="Soumission_(2)16"/>
      <sheetName val="GESTION_ao16"/>
      <sheetName val="Feuil1_(2)16"/>
      <sheetName val="Avanc_%14"/>
      <sheetName val="Avanc__par_bloc_VVT14"/>
      <sheetName val="Z_Fnche14"/>
      <sheetName val="OP_FINANCIERS16"/>
      <sheetName val="TAB_COMP_TEC16"/>
      <sheetName val="Page_garde16"/>
      <sheetName val="FAX_PRECISION16"/>
      <sheetName val="tab_demarreur16"/>
      <sheetName val="FAX_CORREC16"/>
      <sheetName val="offre_fina16"/>
      <sheetName val="Rep_pop14"/>
      <sheetName val="Avanc_%15"/>
      <sheetName val="Avanc__par_bloc_VVT15"/>
      <sheetName val="Z_Fnche15"/>
      <sheetName val="B_P17"/>
      <sheetName val="D_E17"/>
      <sheetName val="Soumission_(2)17"/>
      <sheetName val="GESTION_ao17"/>
      <sheetName val="Feuil1_(2)17"/>
      <sheetName val="OP_FINANCIERS17"/>
      <sheetName val="TAB_COMP_TEC17"/>
      <sheetName val="Page_garde17"/>
      <sheetName val="FAX_PRECISION17"/>
      <sheetName val="tab_demarreur17"/>
      <sheetName val="FAX_CORREC17"/>
      <sheetName val="offre_fina17"/>
      <sheetName val="Rep_pop15"/>
      <sheetName val="Avanc_%16"/>
      <sheetName val="Avanc__par_bloc_VVT16"/>
      <sheetName val="Z_Fnche16"/>
      <sheetName val="B_P18"/>
      <sheetName val="D_E18"/>
      <sheetName val="Soumission_(2)18"/>
      <sheetName val="GESTION_ao18"/>
      <sheetName val="Feuil1_(2)18"/>
      <sheetName val="OP_FINANCIERS18"/>
      <sheetName val="TAB_COMP_TEC18"/>
      <sheetName val="Page_garde18"/>
      <sheetName val="FAX_PRECISION18"/>
      <sheetName val="tab_demarreur18"/>
      <sheetName val="FAX_CORREC18"/>
      <sheetName val="offre_fina18"/>
      <sheetName val="Rep_pop16"/>
      <sheetName val="linéaire"/>
      <sheetName val="BpElecEnnasr-Géneral"/>
      <sheetName val="Bache"/>
      <sheetName val="données_et_résultats"/>
      <sheetName val="BUDGET"/>
      <sheetName val="PU"/>
      <sheetName val="R2CAP"/>
      <sheetName val="BD"/>
      <sheetName val="dimensio_EU"/>
      <sheetName val="EST_CONF"/>
      <sheetName val="PG1"/>
      <sheetName val="production_distrib"/>
      <sheetName val="Bache_50_m3_SR12"/>
      <sheetName val="Nbr_"/>
      <sheetName val="VRD"/>
      <sheetName val="calculs"/>
      <sheetName val="Récap"/>
      <sheetName val="récap pein "/>
      <sheetName val="DimensRESEAU (2)"/>
      <sheetName val="récap_pein_"/>
      <sheetName val="DimensRESEAU_(2)"/>
      <sheetName val="Avanc_%17"/>
      <sheetName val="Avanc__par_bloc_VVT17"/>
      <sheetName val="Z_Fnche17"/>
      <sheetName val="Avanc_%18"/>
      <sheetName val="Avanc__par_bloc_VVT18"/>
      <sheetName val="Z_Fnche18"/>
      <sheetName val="récap_pein_1"/>
      <sheetName val="DimensRESEAU_(2)1"/>
      <sheetName val="B_P19"/>
      <sheetName val="D_E19"/>
      <sheetName val="Soumission_(2)19"/>
      <sheetName val="GESTION_ao19"/>
      <sheetName val="Feuil1_(2)19"/>
      <sheetName val="B_P20"/>
      <sheetName val="D_E20"/>
      <sheetName val="Soumission_(2)20"/>
      <sheetName val="GESTION_ao20"/>
      <sheetName val="Feuil1_(2)20"/>
      <sheetName val="bord.elec.annasr"/>
      <sheetName val="Q10-Branche-A&amp;B"/>
      <sheetName val="Personnel"/>
      <sheetName val="bord_elec_annasr"/>
      <sheetName val="Avanc_%21"/>
      <sheetName val="Avanc__par_bloc_VVT21"/>
      <sheetName val="Z_Fnche21"/>
      <sheetName val="récap_pein_2"/>
      <sheetName val="DimensRESEAU_(2)2"/>
      <sheetName val="Avanc_%20"/>
      <sheetName val="Avanc__par_bloc_VVT20"/>
      <sheetName val="Z_Fnche20"/>
      <sheetName val="Avanc_%19"/>
      <sheetName val="Avanc__par_bloc_VVT19"/>
      <sheetName val="Z_Fnche19"/>
      <sheetName val="Avanc_%22"/>
      <sheetName val="Avanc__par_bloc_VVT22"/>
      <sheetName val="Z_Fnche22"/>
      <sheetName val="récap_pein_3"/>
      <sheetName val="DimensRESEAU_(2)3"/>
      <sheetName val="Avanc_%23"/>
      <sheetName val="Avanc__par_bloc_VVT23"/>
      <sheetName val="Z_Fnche23"/>
      <sheetName val="récap_pein_4"/>
      <sheetName val="DimensRESEAU_(2)4"/>
      <sheetName val="Avanc_%24"/>
      <sheetName val="Avanc__par_bloc_VVT24"/>
      <sheetName val="Z_Fnche24"/>
      <sheetName val="récap_pein_5"/>
      <sheetName val="DimensRESEAU_(2)5"/>
      <sheetName val="B_P21"/>
      <sheetName val="D_E21"/>
      <sheetName val="Soumission_(2)21"/>
      <sheetName val="GESTION_ao21"/>
      <sheetName val="Feuil1_(2)21"/>
      <sheetName val="B_P22"/>
      <sheetName val="D_E22"/>
      <sheetName val="Soumission_(2)22"/>
      <sheetName val="GESTION_ao22"/>
      <sheetName val="Feuil1_(2)22"/>
      <sheetName val="B_P23"/>
      <sheetName val="D_E23"/>
      <sheetName val="Soumission_(2)23"/>
      <sheetName val="GESTION_ao23"/>
      <sheetName val="Feuil1_(2)23"/>
      <sheetName val="B_P24"/>
      <sheetName val="D_E24"/>
      <sheetName val="Soumission_(2)24"/>
      <sheetName val="GESTION_ao24"/>
      <sheetName val="Feuil1_(2)24"/>
      <sheetName val="OH_c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Pression</v>
          </cell>
        </row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/>
      <sheetData sheetId="16" refreshError="1">
        <row r="1">
          <cell r="A1" t="str">
            <v>Long-Total</v>
          </cell>
        </row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NMS"/>
      <sheetName val="ETUDE Sidi ali"/>
      <sheetName val="Appr-GC(Sidi Ali)"/>
      <sheetName val="Station forage 2940-15"/>
      <sheetName val="loge forage 2940-15"/>
      <sheetName val="Bache"/>
      <sheetName val="GC R300m3  sidi ali"/>
      <sheetName val="SP sur captage S.ali"/>
      <sheetName val="SIDI ALI"/>
      <sheetName val="Macro-cons"/>
      <sheetName val="RECAP_NMS"/>
      <sheetName val="ETUDE_Sidi_ali"/>
      <sheetName val="Appr-GC(Sidi_Ali)"/>
      <sheetName val="Station_forage_2940-15"/>
      <sheetName val="loge_forage_2940-15"/>
      <sheetName val="GC_R300m3__sidi_ali"/>
      <sheetName val="SP_sur_captage_S_ali"/>
      <sheetName val="SIDI_ALI"/>
      <sheetName val="RECAP_NMS1"/>
      <sheetName val="ETUDE_Sidi_ali1"/>
      <sheetName val="Appr-GC(Sidi_Ali)1"/>
      <sheetName val="Station_forage_2940-151"/>
      <sheetName val="loge_forage_2940-151"/>
      <sheetName val="GC_R300m3__sidi_ali1"/>
      <sheetName val="SP_sur_captage_S_ali1"/>
      <sheetName val="SIDI_ALI1"/>
      <sheetName val="Table1"/>
      <sheetName val="RECAP_NMS3"/>
      <sheetName val="ETUDE_Sidi_ali3"/>
      <sheetName val="Appr-GC(Sidi_Ali)3"/>
      <sheetName val="Station_forage_2940-153"/>
      <sheetName val="loge_forage_2940-153"/>
      <sheetName val="GC_R300m3__sidi_ali3"/>
      <sheetName val="SP_sur_captage_S_ali3"/>
      <sheetName val="RECAP_NMS2"/>
      <sheetName val="ETUDE_Sidi_ali2"/>
      <sheetName val="Appr-GC(Sidi_Ali)2"/>
      <sheetName val="Station_forage_2940-152"/>
      <sheetName val="loge_forage_2940-152"/>
      <sheetName val="GC_R300m3__sidi_ali2"/>
      <sheetName val="SP_sur_captage_S_ali2"/>
      <sheetName val="RECAP_NMS4"/>
      <sheetName val="ETUDE_Sidi_ali4"/>
      <sheetName val="Appr-GC(Sidi_Ali)4"/>
      <sheetName val="Station_forage_2940-154"/>
      <sheetName val="loge_forage_2940-154"/>
      <sheetName val="GC_R300m3__sidi_ali4"/>
      <sheetName val="SP_sur_captage_S_ali4"/>
      <sheetName val="RECAP_NMS6"/>
      <sheetName val="ETUDE_Sidi_ali6"/>
      <sheetName val="Appr-GC(Sidi_Ali)6"/>
      <sheetName val="Station_forage_2940-156"/>
      <sheetName val="loge_forage_2940-156"/>
      <sheetName val="GC_R300m3__sidi_ali6"/>
      <sheetName val="SP_sur_captage_S_ali6"/>
      <sheetName val="RECAP_NMS5"/>
      <sheetName val="ETUDE_Sidi_ali5"/>
      <sheetName val="Appr-GC(Sidi_Ali)5"/>
      <sheetName val="Station_forage_2940-155"/>
      <sheetName val="loge_forage_2940-155"/>
      <sheetName val="GC_R300m3__sidi_ali5"/>
      <sheetName val="SP_sur_captage_S_ali5"/>
      <sheetName val="RECAP_NMS7"/>
      <sheetName val="ETUDE_Sidi_ali7"/>
      <sheetName val="Appr-GC(Sidi_Ali)7"/>
      <sheetName val="Station_forage_2940-157"/>
      <sheetName val="loge_forage_2940-157"/>
      <sheetName val="GC_R300m3__sidi_ali7"/>
      <sheetName val="SP_sur_captage_S_ali7"/>
      <sheetName val="SIDI_ALI2"/>
      <sheetName val="SIDI_ALI3"/>
      <sheetName val="AN2"/>
      <sheetName val="S.P1"/>
      <sheetName val="Macro-Dexterne"/>
      <sheetName val="Macro-Long"/>
      <sheetName val="Macro-press"/>
      <sheetName val="RECAP_NMS8"/>
      <sheetName val="ETUDE_Sidi_ali8"/>
      <sheetName val="Appr-GC(Sidi_Ali)8"/>
      <sheetName val="Station_forage_2940-158"/>
      <sheetName val="loge_forage_2940-158"/>
      <sheetName val="GC_R300m3__sidi_ali8"/>
      <sheetName val="SP_sur_captage_S_ali8"/>
      <sheetName val="SIDI_ALI4"/>
      <sheetName val="SIDI_ALI5"/>
      <sheetName val="SIDI_ALI6"/>
      <sheetName val="RECAP_NMS9"/>
      <sheetName val="ETUDE_Sidi_ali9"/>
      <sheetName val="Appr-GC(Sidi_Ali)9"/>
      <sheetName val="Station_forage_2940-159"/>
      <sheetName val="loge_forage_2940-159"/>
      <sheetName val="GC_R300m3__sidi_ali9"/>
      <sheetName val="SP_sur_captage_S_ali9"/>
      <sheetName val="SIDI_ALI7"/>
      <sheetName val="RECAP_NMS10"/>
      <sheetName val="ETUDE_Sidi_ali10"/>
      <sheetName val="Appr-GC(Sidi_Ali)10"/>
      <sheetName val="Station_forage_2940-1510"/>
      <sheetName val="loge_forage_2940-1510"/>
      <sheetName val="GC_R300m3__sidi_ali10"/>
      <sheetName val="SP_sur_captage_S_ali10"/>
      <sheetName val="SIDI_ALI8"/>
      <sheetName val="RECAP_NMS11"/>
      <sheetName val="ETUDE_Sidi_ali11"/>
      <sheetName val="Appr-GC(Sidi_Ali)11"/>
      <sheetName val="Station_forage_2940-1511"/>
      <sheetName val="loge_forage_2940-1511"/>
      <sheetName val="GC_R300m3__sidi_ali11"/>
      <sheetName val="SP_sur_captage_S_ali11"/>
      <sheetName val="SIDI_ALI9"/>
      <sheetName val="RECAP_NMS12"/>
      <sheetName val="ETUDE_Sidi_ali12"/>
      <sheetName val="Appr-GC(Sidi_Ali)12"/>
      <sheetName val="Station_forage_2940-1512"/>
      <sheetName val="loge_forage_2940-1512"/>
      <sheetName val="GC_R300m3__sidi_ali12"/>
      <sheetName val="SP_sur_captage_S_ali12"/>
      <sheetName val="SIDI_ALI10"/>
      <sheetName val="RECAP_NMS13"/>
      <sheetName val="ETUDE_Sidi_ali13"/>
      <sheetName val="Appr-GC(Sidi_Ali)13"/>
      <sheetName val="Station_forage_2940-1513"/>
      <sheetName val="loge_forage_2940-1513"/>
      <sheetName val="GC_R300m3__sidi_ali13"/>
      <sheetName val="SP_sur_captage_S_ali13"/>
      <sheetName val="SIDI_ALI11"/>
      <sheetName val="RECAP_NMS14"/>
      <sheetName val="ETUDE_Sidi_ali14"/>
      <sheetName val="Appr-GC(Sidi_Ali)14"/>
      <sheetName val="Station_forage_2940-1514"/>
      <sheetName val="loge_forage_2940-1514"/>
      <sheetName val="GC_R300m3__sidi_ali14"/>
      <sheetName val="SP_sur_captage_S_ali14"/>
      <sheetName val="SIDI_ALI12"/>
      <sheetName val="RECAP_NMS15"/>
      <sheetName val="ETUDE_Sidi_ali15"/>
      <sheetName val="Appr-GC(Sidi_Ali)15"/>
      <sheetName val="Station_forage_2940-1515"/>
      <sheetName val="loge_forage_2940-1515"/>
      <sheetName val="GC_R300m3__sidi_ali15"/>
      <sheetName val="SP_sur_captage_S_ali15"/>
      <sheetName val="SIDI_ALI13"/>
      <sheetName val="RECAP_NMS16"/>
      <sheetName val="ETUDE_Sidi_ali16"/>
      <sheetName val="Appr-GC(Sidi_Ali)16"/>
      <sheetName val="Station_forage_2940-1516"/>
      <sheetName val="loge_forage_2940-1516"/>
      <sheetName val="GC_R300m3__sidi_ali16"/>
      <sheetName val="SP_sur_captage_S_ali16"/>
      <sheetName val="SIDI_ALI14"/>
      <sheetName val="RECAP_NMS17"/>
      <sheetName val="ETUDE_Sidi_ali17"/>
      <sheetName val="Appr-GC(Sidi_Ali)17"/>
      <sheetName val="Station_forage_2940-1517"/>
      <sheetName val="loge_forage_2940-1517"/>
      <sheetName val="GC_R300m3__sidi_ali17"/>
      <sheetName val="SP_sur_captage_S_ali17"/>
      <sheetName val="SIDI_ALI15"/>
      <sheetName val="RECAP_NMS18"/>
      <sheetName val="ETUDE_Sidi_ali18"/>
      <sheetName val="Appr-GC(Sidi_Ali)18"/>
      <sheetName val="Station_forage_2940-1518"/>
      <sheetName val="loge_forage_2940-1518"/>
      <sheetName val="GC_R300m3__sidi_ali18"/>
      <sheetName val="SP_sur_captage_S_ali18"/>
      <sheetName val="SIDI_ALI16"/>
      <sheetName val="RECAP_NMS19"/>
      <sheetName val="ETUDE_Sidi_ali19"/>
      <sheetName val="Appr-GC(Sidi_Ali)19"/>
      <sheetName val="Station_forage_2940-1519"/>
      <sheetName val="loge_forage_2940-1519"/>
      <sheetName val="GC_R300m3__sidi_ali19"/>
      <sheetName val="SP_sur_captage_S_ali19"/>
      <sheetName val="SIDI_ALI17"/>
      <sheetName val="RECAP_NMS20"/>
      <sheetName val="ETUDE_Sidi_ali20"/>
      <sheetName val="Appr-GC(Sidi_Ali)20"/>
      <sheetName val="Station_forage_2940-1520"/>
      <sheetName val="loge_forage_2940-1520"/>
      <sheetName val="GC_R300m3__sidi_ali20"/>
      <sheetName val="SP_sur_captage_S_ali20"/>
      <sheetName val="SIDI_ALI18"/>
      <sheetName val="RECAP_NMS23"/>
      <sheetName val="ETUDE_Sidi_ali23"/>
      <sheetName val="Appr-GC(Sidi_Ali)23"/>
      <sheetName val="Station_forage_2940-1523"/>
      <sheetName val="loge_forage_2940-1523"/>
      <sheetName val="GC_R300m3__sidi_ali23"/>
      <sheetName val="SP_sur_captage_S_ali23"/>
      <sheetName val="SIDI_ALI21"/>
      <sheetName val="RECAP_NMS22"/>
      <sheetName val="ETUDE_Sidi_ali22"/>
      <sheetName val="Appr-GC(Sidi_Ali)22"/>
      <sheetName val="Station_forage_2940-1522"/>
      <sheetName val="loge_forage_2940-1522"/>
      <sheetName val="GC_R300m3__sidi_ali22"/>
      <sheetName val="SP_sur_captage_S_ali22"/>
      <sheetName val="SIDI_ALI20"/>
      <sheetName val="RECAP_NMS21"/>
      <sheetName val="ETUDE_Sidi_ali21"/>
      <sheetName val="Appr-GC(Sidi_Ali)21"/>
      <sheetName val="Station_forage_2940-1521"/>
      <sheetName val="loge_forage_2940-1521"/>
      <sheetName val="GC_R300m3__sidi_ali21"/>
      <sheetName val="SP_sur_captage_S_ali21"/>
      <sheetName val="SIDI_ALI19"/>
      <sheetName val="RECAP_NMS24"/>
      <sheetName val="ETUDE_Sidi_ali24"/>
      <sheetName val="Appr-GC(Sidi_Ali)24"/>
      <sheetName val="Station_forage_2940-1524"/>
      <sheetName val="loge_forage_2940-1524"/>
      <sheetName val="GC_R300m3__sidi_ali24"/>
      <sheetName val="SP_sur_captage_S_ali24"/>
      <sheetName val="SIDI_ALI22"/>
      <sheetName val="RECAP_NMS25"/>
      <sheetName val="ETUDE_Sidi_ali25"/>
      <sheetName val="Appr-GC(Sidi_Ali)25"/>
      <sheetName val="Station_forage_2940-1525"/>
      <sheetName val="loge_forage_2940-1525"/>
      <sheetName val="GC_R300m3__sidi_ali25"/>
      <sheetName val="SP_sur_captage_S_ali25"/>
      <sheetName val="SIDI_ALI23"/>
      <sheetName val="RECAP_NMS26"/>
      <sheetName val="ETUDE_Sidi_ali26"/>
      <sheetName val="Appr-GC(Sidi_Ali)26"/>
      <sheetName val="Station_forage_2940-1526"/>
      <sheetName val="loge_forage_2940-1526"/>
      <sheetName val="GC_R300m3__sidi_ali26"/>
      <sheetName val="SP_sur_captage_S_ali26"/>
      <sheetName val="SIDI_ALI24"/>
      <sheetName val="S_P13"/>
      <sheetName val="S_P1"/>
      <sheetName val="S_P11"/>
      <sheetName val="S_P12"/>
      <sheetName val="lot 7 ELEC"/>
      <sheetName val="Fourniture"/>
      <sheetName val="bord.elec.annasr"/>
      <sheetName val="Personnaliser votre decompt"/>
      <sheetName val="bord_elec_annasr"/>
      <sheetName val="Personnaliser_votre_decompt"/>
      <sheetName val="RECAP_NMS29"/>
      <sheetName val="ETUDE_Sidi_ali29"/>
      <sheetName val="Appr-GC(Sidi_Ali)29"/>
      <sheetName val="Station_forage_2940-1529"/>
      <sheetName val="loge_forage_2940-1529"/>
      <sheetName val="GC_R300m3__sidi_ali29"/>
      <sheetName val="SP_sur_captage_S_ali29"/>
      <sheetName val="SIDI_ALI27"/>
      <sheetName val="S_P15"/>
      <sheetName val="lot_7_ELEC2"/>
      <sheetName val="RECAP_NMS27"/>
      <sheetName val="ETUDE_Sidi_ali27"/>
      <sheetName val="Appr-GC(Sidi_Ali)27"/>
      <sheetName val="Station_forage_2940-1527"/>
      <sheetName val="loge_forage_2940-1527"/>
      <sheetName val="GC_R300m3__sidi_ali27"/>
      <sheetName val="SP_sur_captage_S_ali27"/>
      <sheetName val="SIDI_ALI25"/>
      <sheetName val="lot_7_ELEC"/>
      <sheetName val="RECAP_NMS28"/>
      <sheetName val="ETUDE_Sidi_ali28"/>
      <sheetName val="Appr-GC(Sidi_Ali)28"/>
      <sheetName val="Station_forage_2940-1528"/>
      <sheetName val="loge_forage_2940-1528"/>
      <sheetName val="GC_R300m3__sidi_ali28"/>
      <sheetName val="SP_sur_captage_S_ali28"/>
      <sheetName val="SIDI_ALI26"/>
      <sheetName val="S_P14"/>
      <sheetName val="lot_7_ELEC1"/>
      <sheetName val="RECAP_NMS30"/>
      <sheetName val="ETUDE_Sidi_ali30"/>
      <sheetName val="Appr-GC(Sidi_Ali)30"/>
      <sheetName val="Station_forage_2940-1530"/>
      <sheetName val="loge_forage_2940-1530"/>
      <sheetName val="GC_R300m3__sidi_ali30"/>
      <sheetName val="SP_sur_captage_S_ali30"/>
      <sheetName val="SIDI_ALI28"/>
      <sheetName val="RECAP_NMS31"/>
      <sheetName val="ETUDE_Sidi_ali31"/>
      <sheetName val="Appr-GC(Sidi_Ali)31"/>
      <sheetName val="Station_forage_2940-1531"/>
      <sheetName val="loge_forage_2940-1531"/>
      <sheetName val="GC_R300m3__sidi_ali31"/>
      <sheetName val="SP_sur_captage_S_ali31"/>
      <sheetName val="SIDI_ALI29"/>
      <sheetName val="RECAP_NMS32"/>
      <sheetName val="ETUDE_Sidi_ali32"/>
      <sheetName val="Appr-GC(Sidi_Ali)32"/>
      <sheetName val="Station_forage_2940-1532"/>
      <sheetName val="loge_forage_2940-1532"/>
      <sheetName val="GC_R300m3__sidi_ali32"/>
      <sheetName val="SP_sur_captage_S_ali32"/>
      <sheetName val="SIDI_ALI30"/>
      <sheetName val="lot_7_ELEC3"/>
      <sheetName val="S_P16"/>
      <sheetName val="lot_7_ELEC4"/>
      <sheetName val="S_P17"/>
      <sheetName val="RECAP_NMS33"/>
      <sheetName val="ETUDE_Sidi_ali33"/>
      <sheetName val="Appr-GC(Sidi_Ali)33"/>
      <sheetName val="Station_forage_2940-1533"/>
      <sheetName val="loge_forage_2940-1533"/>
      <sheetName val="GC_R300m3__sidi_ali33"/>
      <sheetName val="SP_sur_captage_S_ali33"/>
      <sheetName val="SIDI_ALI31"/>
      <sheetName val="lot_7_ELEC5"/>
      <sheetName val="S_P18"/>
      <sheetName val="bord_elec_annasr1"/>
      <sheetName val="Personnaliser_votre_decompt1"/>
      <sheetName val="BpElecEnnasr-Géneral"/>
      <sheetName val="Macro-Diam-interne"/>
      <sheetName val="Macro-Epaisse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J9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ompte"/>
      <sheetName val="Recap"/>
    </sheetNames>
    <sheetDataSet>
      <sheetData sheetId="0"/>
      <sheetData sheetId="1">
        <row r="18">
          <cell r="D18">
            <v>520402.30800000019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ompte"/>
      <sheetName val="Recap"/>
    </sheetNames>
    <sheetDataSet>
      <sheetData sheetId="0"/>
      <sheetData sheetId="1">
        <row r="18">
          <cell r="D18">
            <v>520402.30800000019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Sheet1"/>
      <sheetName val="Sheet2"/>
      <sheetName val="Para"/>
      <sheetName val="BDUNIQ"/>
      <sheetName val="Recap"/>
      <sheetName val="BDUNIQ-DEF"/>
      <sheetName val="RECAP-DEF"/>
      <sheetName val="RATIOS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OPERATION ZINESSALAM</v>
          </cell>
        </row>
        <row r="4">
          <cell r="B4" t="str">
            <v>TRANCHE 1A</v>
          </cell>
        </row>
        <row r="5">
          <cell r="B5" t="str">
            <v>- CONSTRUCTION DE 54 LOGEMENTS SOCIAUX ET DE 6 COMMERCES -</v>
          </cell>
        </row>
        <row r="7">
          <cell r="B7">
            <v>1</v>
          </cell>
        </row>
        <row r="8">
          <cell r="B8" t="str">
            <v>Gros œuvre - Etanchéité - Revêtements</v>
          </cell>
        </row>
        <row r="10">
          <cell r="B10" t="str">
            <v>IV</v>
          </cell>
        </row>
        <row r="11">
          <cell r="B11" t="str">
            <v>BORDEREAU DES PRIX - DETAIL ESTIMATIF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S_elec_annasr_ImA.Com"/>
      <sheetName val="APS_elec_annasr_ImF"/>
      <sheetName val="NOURICES"/>
      <sheetName val="Feuil1"/>
      <sheetName val="bord.elec.annasr"/>
      <sheetName val="L031_bp_APS_elec_annasr_modif02"/>
      <sheetName val="Bache"/>
      <sheetName val="APS_elec_annasr_ImA_Com"/>
      <sheetName val="bord_elec_annasr"/>
      <sheetName val="APS_elec_annasr_ImA_Com2"/>
      <sheetName val="bord_elec_annasr2"/>
      <sheetName val="APS_elec_annasr_ImA_Com1"/>
      <sheetName val="bord_elec_annasr1"/>
      <sheetName val="APS_elec_annasr_ImA_Com3"/>
      <sheetName val="bord_elec_annasr3"/>
      <sheetName val="APS_elec_annasr_ImA_Com4"/>
      <sheetName val="bord_elec_annasr4"/>
      <sheetName val="données et résultats"/>
      <sheetName val="AN2"/>
      <sheetName val="APS_elec_annasr_ImA_Com5"/>
      <sheetName val="bord_elec_annasr5"/>
      <sheetName val="données_et_résultats"/>
      <sheetName val="données_et_résultats1"/>
      <sheetName val="APS_elec_annasr_ImA_Com6"/>
      <sheetName val="bord_elec_annasr6"/>
      <sheetName val="données_et_résultats2"/>
      <sheetName val="APS_elec_annasr_ImA_Com7"/>
      <sheetName val="bord_elec_annasr7"/>
      <sheetName val="APS_elec_annasr_ImA_Com8"/>
      <sheetName val="bord_elec_annasr8"/>
      <sheetName val="APS_elec_annasr_ImA_Com9"/>
      <sheetName val="bord_elec_annasr9"/>
      <sheetName val="APS_elec_annasr_ImA_Com10"/>
      <sheetName val="bord_elec_annasr10"/>
      <sheetName val="APS_elec_annasr_ImA_Com11"/>
      <sheetName val="bord_elec_annasr11"/>
      <sheetName val="APS_elec_annasr_ImA_Com12"/>
      <sheetName val="bord_elec_annasr12"/>
      <sheetName val="APS_elec_annasr_ImA_Com13"/>
      <sheetName val="bord_elec_annasr13"/>
      <sheetName val="APS_elec_annasr_ImA_Com14"/>
      <sheetName val="bord_elec_annasr14"/>
      <sheetName val="APS_elec_annasr_ImA_Com15"/>
      <sheetName val="bord_elec_annasr15"/>
      <sheetName val="APS_elec_annasr_ImA_Com16"/>
      <sheetName val="bord_elec_annasr16"/>
      <sheetName val="APS_elec_annasr_ImA_Com17"/>
      <sheetName val="bord_elec_annasr17"/>
      <sheetName val="APS_elec_annasr_ImA_Com18"/>
      <sheetName val="bord_elec_annasr18"/>
      <sheetName val="données_et_résultats3"/>
      <sheetName val="APS_elec_annasr_ImA_Com19"/>
      <sheetName val="bord_elec_annasr19"/>
      <sheetName val="données_et_résultats4"/>
      <sheetName val="APS_elec_annasr_ImA_Com20"/>
      <sheetName val="bord_elec_annasr20"/>
      <sheetName val="données_et_résultats5"/>
      <sheetName val="APS_elec_annasr_ImA_Com23"/>
      <sheetName val="bord_elec_annasr23"/>
      <sheetName val="données_et_résultats8"/>
      <sheetName val="APS_elec_annasr_ImA_Com22"/>
      <sheetName val="bord_elec_annasr22"/>
      <sheetName val="données_et_résultats7"/>
      <sheetName val="APS_elec_annasr_ImA_Com21"/>
      <sheetName val="bord_elec_annasr21"/>
      <sheetName val="données_et_résultats6"/>
      <sheetName val="APS_elec_annasr_ImA_Com24"/>
      <sheetName val="bord_elec_annasr24"/>
      <sheetName val="données_et_résultats9"/>
      <sheetName val="APS_elec_annasr_ImA_Com25"/>
      <sheetName val="bord_elec_annasr25"/>
      <sheetName val="données_et_résultats10"/>
      <sheetName val="APS_elec_annasr_ImA_Com26"/>
      <sheetName val="bord_elec_annasr26"/>
      <sheetName val="données_et_résultats11"/>
      <sheetName val="TRANSPORT"/>
      <sheetName val="ETUDE BETON"/>
      <sheetName val="ETUDES BRIQUES"/>
      <sheetName val="etude mortier&amp;enduit"/>
      <sheetName val="ETUDES AGGLOS"/>
      <sheetName val="APS_elec_annasr_ImA_Com27"/>
      <sheetName val="bord_elec_annasr27"/>
      <sheetName val="données_et_résultats12"/>
      <sheetName val="Réservoir 100m3_G8"/>
      <sheetName val="lot 7 ELEC"/>
      <sheetName val="APS_elec_annasr_ImA_Com31"/>
      <sheetName val="bord_elec_annasr31"/>
      <sheetName val="données_et_résultats16"/>
      <sheetName val="APS_elec_annasr_ImA_Com30"/>
      <sheetName val="bord_elec_annasr30"/>
      <sheetName val="données_et_résultats15"/>
      <sheetName val="APS_elec_annasr_ImA_Com28"/>
      <sheetName val="bord_elec_annasr28"/>
      <sheetName val="données_et_résultats13"/>
      <sheetName val="APS_elec_annasr_ImA_Com29"/>
      <sheetName val="bord_elec_annasr29"/>
      <sheetName val="données_et_résultats14"/>
      <sheetName val="APS_elec_annasr_ImA_Com32"/>
      <sheetName val="bord_elec_annasr32"/>
      <sheetName val="données_et_résultats17"/>
      <sheetName val="ETUDE_BETON"/>
      <sheetName val="ETUDES_BRIQUES"/>
      <sheetName val="etude_mortier&amp;enduit"/>
      <sheetName val="ETUDES_AGGLOS"/>
      <sheetName val="APS_elec_annasr_ImA_Com33"/>
      <sheetName val="bord_elec_annasr33"/>
      <sheetName val="données_et_résultats18"/>
      <sheetName val="DATA"/>
      <sheetName val="lot_7_ELEC"/>
      <sheetName val="lot_7_ELEC1"/>
      <sheetName val="ETUDE_BETON1"/>
      <sheetName val="ETUDES_BRIQUES1"/>
      <sheetName val="etude_mortier&amp;enduit1"/>
      <sheetName val="ETUDES_AGGLOS1"/>
      <sheetName val="lot_7_ELEC3"/>
      <sheetName val="ETUDE_BETON3"/>
      <sheetName val="ETUDES_BRIQUES3"/>
      <sheetName val="etude_mortier&amp;enduit3"/>
      <sheetName val="ETUDES_AGGLOS3"/>
      <sheetName val="lot_7_ELEC2"/>
      <sheetName val="ETUDE_BETON2"/>
      <sheetName val="ETUDES_BRIQUES2"/>
      <sheetName val="etude_mortier&amp;enduit2"/>
      <sheetName val="ETUDES_AGGLOS2"/>
      <sheetName val="Données 2"/>
      <sheetName val="APS_elec_annasr_ImA_Com34"/>
      <sheetName val="bord_elec_annasr34"/>
      <sheetName val="données_et_résultats19"/>
      <sheetName val="Réservoir_100m3_G8"/>
      <sheetName val="APS_elec_annasr_ImA_Com35"/>
      <sheetName val="bord_elec_annasr35"/>
      <sheetName val="données_et_résultats20"/>
      <sheetName val="APS_elec_annasr_ImA_Com36"/>
      <sheetName val="bord_elec_annasr36"/>
      <sheetName val="données_et_résultats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.oe"/>
      <sheetName val="REV"/>
      <sheetName val="ETAN"/>
      <sheetName val="MBM"/>
      <sheetName val="MAL"/>
      <sheetName val="elec"/>
      <sheetName val="plom"/>
      <sheetName val="PEIN"/>
      <sheetName val="recap"/>
      <sheetName val="recap générale"/>
      <sheetName val="métrés"/>
      <sheetName val="Feuil1"/>
      <sheetName val="Go4.xls"/>
      <sheetName val="PG "/>
      <sheetName val="DP 2"/>
      <sheetName val="DP 3"/>
      <sheetName val="DP 4"/>
      <sheetName val="DP 8"/>
      <sheetName val="DP 9"/>
      <sheetName val="Bord"/>
      <sheetName val="Macro-cons"/>
      <sheetName val="gr_oe"/>
      <sheetName val="recap_générale"/>
      <sheetName val="Go4_xls"/>
      <sheetName val="PG_"/>
      <sheetName val="DP_2"/>
      <sheetName val="DP_3"/>
      <sheetName val="DP_4"/>
      <sheetName val="DP_8"/>
      <sheetName val="DP_9"/>
      <sheetName val="gr_oe2"/>
      <sheetName val="recap_générale2"/>
      <sheetName val="Go4_xls2"/>
      <sheetName val="PG_2"/>
      <sheetName val="DP_22"/>
      <sheetName val="DP_32"/>
      <sheetName val="DP_42"/>
      <sheetName val="DP_82"/>
      <sheetName val="DP_92"/>
      <sheetName val="gr_oe1"/>
      <sheetName val="recap_générale1"/>
      <sheetName val="Go4_xls1"/>
      <sheetName val="PG_1"/>
      <sheetName val="DP_21"/>
      <sheetName val="DP_31"/>
      <sheetName val="DP_41"/>
      <sheetName val="DP_81"/>
      <sheetName val="DP_91"/>
      <sheetName val="gr_oe3"/>
      <sheetName val="recap_générale3"/>
      <sheetName val="Go4_xls3"/>
      <sheetName val="PG_3"/>
      <sheetName val="DP_23"/>
      <sheetName val="DP_33"/>
      <sheetName val="DP_43"/>
      <sheetName val="DP_83"/>
      <sheetName val="DP_93"/>
      <sheetName val="gr_oe4"/>
      <sheetName val="recap_générale4"/>
      <sheetName val="Go4_xls4"/>
      <sheetName val="PG_4"/>
      <sheetName val="DP_24"/>
      <sheetName val="DP_34"/>
      <sheetName val="DP_44"/>
      <sheetName val="DP_84"/>
      <sheetName val="DP_94"/>
      <sheetName val="gr_oe6"/>
      <sheetName val="recap_générale6"/>
      <sheetName val="Go4_xls6"/>
      <sheetName val="PG_6"/>
      <sheetName val="DP_26"/>
      <sheetName val="DP_36"/>
      <sheetName val="DP_46"/>
      <sheetName val="DP_86"/>
      <sheetName val="DP_96"/>
      <sheetName val="gr_oe5"/>
      <sheetName val="recap_générale5"/>
      <sheetName val="Go4_xls5"/>
      <sheetName val="PG_5"/>
      <sheetName val="DP_25"/>
      <sheetName val="DP_35"/>
      <sheetName val="DP_45"/>
      <sheetName val="DP_85"/>
      <sheetName val="DP_95"/>
      <sheetName val="gr_oe7"/>
      <sheetName val="recap_générale7"/>
      <sheetName val="Go4_xls7"/>
      <sheetName val="PG_7"/>
      <sheetName val="DP_27"/>
      <sheetName val="DP_37"/>
      <sheetName val="DP_47"/>
      <sheetName val="DP_87"/>
      <sheetName val="DP_97"/>
      <sheetName val="gr_oe8"/>
      <sheetName val="recap_générale8"/>
      <sheetName val="Go4_xls8"/>
      <sheetName val="PG_8"/>
      <sheetName val="DP_28"/>
      <sheetName val="DP_38"/>
      <sheetName val="DP_48"/>
      <sheetName val="DP_88"/>
      <sheetName val="DP_98"/>
      <sheetName val="gr_oe9"/>
      <sheetName val="recap_générale9"/>
      <sheetName val="Go4_xls9"/>
      <sheetName val="PG_9"/>
      <sheetName val="DP_29"/>
      <sheetName val="DP_39"/>
      <sheetName val="DP_49"/>
      <sheetName val="DP_89"/>
      <sheetName val="DP_99"/>
      <sheetName val="gr_oe10"/>
      <sheetName val="recap_générale10"/>
      <sheetName val="Go4_xls10"/>
      <sheetName val="PG_10"/>
      <sheetName val="DP_210"/>
      <sheetName val="DP_310"/>
      <sheetName val="DP_410"/>
      <sheetName val="DP_810"/>
      <sheetName val="DP_910"/>
      <sheetName val="AN2"/>
      <sheetName val="BacheSR3NZ"/>
      <sheetName val="Macro-press"/>
      <sheetName val="Macro-Dexterne"/>
      <sheetName val="Macro-Long"/>
      <sheetName val="PERSONNALISER"/>
      <sheetName val="Brd d'envoi"/>
      <sheetName val="Page de garde"/>
      <sheetName val="Décompte Provisoire"/>
      <sheetName val="RECAP QTE EQ25.EQ26"/>
      <sheetName val="DETAILS METRE EQ.25"/>
      <sheetName val=" Armature fondtion EQ 25"/>
      <sheetName val="LEVER ET COTE EQ 25"/>
      <sheetName val="DETAILS METRE EQ.26"/>
      <sheetName val=" Armature fondtion EQ 26"/>
      <sheetName val="LEVER ET COTE EQ 26"/>
      <sheetName val="B.PR"/>
      <sheetName val="bord.elec.annasr"/>
      <sheetName val="gr_oe11"/>
      <sheetName val="recap_générale11"/>
      <sheetName val="Go4_xls11"/>
      <sheetName val="PG_11"/>
      <sheetName val="DP_211"/>
      <sheetName val="DP_311"/>
      <sheetName val="DP_411"/>
      <sheetName val="DP_811"/>
      <sheetName val="DP_911"/>
      <sheetName val="gr_oe12"/>
      <sheetName val="recap_générale12"/>
      <sheetName val="Go4_xls12"/>
      <sheetName val="PG_12"/>
      <sheetName val="DP_212"/>
      <sheetName val="DP_312"/>
      <sheetName val="DP_412"/>
      <sheetName val="DP_812"/>
      <sheetName val="DP_912"/>
      <sheetName val="gr_oe13"/>
      <sheetName val="recap_générale13"/>
      <sheetName val="Go4_xls13"/>
      <sheetName val="PG_13"/>
      <sheetName val="DP_213"/>
      <sheetName val="DP_313"/>
      <sheetName val="DP_413"/>
      <sheetName val="DP_813"/>
      <sheetName val="DP_913"/>
      <sheetName val="gr_oe14"/>
      <sheetName val="recap_générale14"/>
      <sheetName val="Go4_xls14"/>
      <sheetName val="PG_14"/>
      <sheetName val="DP_214"/>
      <sheetName val="DP_314"/>
      <sheetName val="DP_414"/>
      <sheetName val="DP_814"/>
      <sheetName val="DP_914"/>
      <sheetName val="gr_oe15"/>
      <sheetName val="recap_générale15"/>
      <sheetName val="Go4_xls15"/>
      <sheetName val="PG_15"/>
      <sheetName val="DP_215"/>
      <sheetName val="DP_315"/>
      <sheetName val="DP_415"/>
      <sheetName val="DP_815"/>
      <sheetName val="DP_915"/>
      <sheetName val="gr_oe16"/>
      <sheetName val="recap_générale16"/>
      <sheetName val="Go4_xls16"/>
      <sheetName val="PG_16"/>
      <sheetName val="DP_216"/>
      <sheetName val="DP_316"/>
      <sheetName val="DP_416"/>
      <sheetName val="DP_816"/>
      <sheetName val="DP_916"/>
      <sheetName val="gr_oe17"/>
      <sheetName val="recap_générale17"/>
      <sheetName val="Go4_xls17"/>
      <sheetName val="PG_17"/>
      <sheetName val="DP_217"/>
      <sheetName val="DP_317"/>
      <sheetName val="DP_417"/>
      <sheetName val="DP_817"/>
      <sheetName val="DP_917"/>
      <sheetName val="gr_oe18"/>
      <sheetName val="recap_générale18"/>
      <sheetName val="Go4_xls18"/>
      <sheetName val="PG_18"/>
      <sheetName val="DP_218"/>
      <sheetName val="DP_318"/>
      <sheetName val="DP_418"/>
      <sheetName val="DP_818"/>
      <sheetName val="DP_918"/>
      <sheetName val="gr_oe19"/>
      <sheetName val="recap_générale19"/>
      <sheetName val="Go4_xls19"/>
      <sheetName val="PG_19"/>
      <sheetName val="DP_219"/>
      <sheetName val="DP_319"/>
      <sheetName val="DP_419"/>
      <sheetName val="DP_819"/>
      <sheetName val="DP_919"/>
      <sheetName val="gr_oe20"/>
      <sheetName val="recap_générale20"/>
      <sheetName val="Go4_xls20"/>
      <sheetName val="PG_20"/>
      <sheetName val="DP_220"/>
      <sheetName val="DP_320"/>
      <sheetName val="DP_420"/>
      <sheetName val="DP_820"/>
      <sheetName val="DP_920"/>
      <sheetName val="Brd_d'envoi"/>
      <sheetName val="Page_de_garde"/>
      <sheetName val="Décompte_Provisoire"/>
      <sheetName val="RECAP_QTE_EQ25_EQ26"/>
      <sheetName val="DETAILS_METRE_EQ_25"/>
      <sheetName val="_Armature_fondtion_EQ_25"/>
      <sheetName val="LEVER_ET_COTE_EQ_25"/>
      <sheetName val="DETAILS_METRE_EQ_26"/>
      <sheetName val="_Armature_fondtion_EQ_26"/>
      <sheetName val="LEVER_ET_COTE_EQ_26"/>
      <sheetName val="B_PR"/>
      <sheetName val="bord_elec_annasr"/>
      <sheetName val="Calcul"/>
      <sheetName val="Brd_d'envoi1"/>
      <sheetName val="Page_de_garde1"/>
      <sheetName val="Décompte_Provisoire1"/>
      <sheetName val="RECAP_QTE_EQ25_EQ261"/>
      <sheetName val="DETAILS_METRE_EQ_251"/>
      <sheetName val="_Armature_fondtion_EQ_251"/>
      <sheetName val="LEVER_ET_COTE_EQ_251"/>
      <sheetName val="DETAILS_METRE_EQ_261"/>
      <sheetName val="_Armature_fondtion_EQ_261"/>
      <sheetName val="LEVER_ET_COTE_EQ_261"/>
      <sheetName val="B_PR1"/>
      <sheetName val="gr_oe23"/>
      <sheetName val="recap_générale23"/>
      <sheetName val="Go4_xls23"/>
      <sheetName val="PG_23"/>
      <sheetName val="DP_223"/>
      <sheetName val="DP_323"/>
      <sheetName val="DP_423"/>
      <sheetName val="DP_823"/>
      <sheetName val="DP_923"/>
      <sheetName val="Brd_d'envoi2"/>
      <sheetName val="Page_de_garde2"/>
      <sheetName val="Décompte_Provisoire2"/>
      <sheetName val="RECAP_QTE_EQ25_EQ262"/>
      <sheetName val="DETAILS_METRE_EQ_252"/>
      <sheetName val="_Armature_fondtion_EQ_252"/>
      <sheetName val="LEVER_ET_COTE_EQ_252"/>
      <sheetName val="DETAILS_METRE_EQ_262"/>
      <sheetName val="_Armature_fondtion_EQ_262"/>
      <sheetName val="LEVER_ET_COTE_EQ_262"/>
      <sheetName val="B_PR2"/>
      <sheetName val="gr_oe22"/>
      <sheetName val="recap_générale22"/>
      <sheetName val="Go4_xls22"/>
      <sheetName val="PG_22"/>
      <sheetName val="DP_222"/>
      <sheetName val="DP_322"/>
      <sheetName val="DP_422"/>
      <sheetName val="DP_822"/>
      <sheetName val="DP_922"/>
      <sheetName val="gr_oe21"/>
      <sheetName val="recap_générale21"/>
      <sheetName val="Go4_xls21"/>
      <sheetName val="PG_21"/>
      <sheetName val="DP_221"/>
      <sheetName val="DP_321"/>
      <sheetName val="DP_421"/>
      <sheetName val="DP_821"/>
      <sheetName val="DP_921"/>
      <sheetName val="gr_oe24"/>
      <sheetName val="recap_générale24"/>
      <sheetName val="Go4_xls24"/>
      <sheetName val="PG_24"/>
      <sheetName val="DP_224"/>
      <sheetName val="DP_324"/>
      <sheetName val="DP_424"/>
      <sheetName val="DP_824"/>
      <sheetName val="DP_924"/>
      <sheetName val="Brd_d'envoi3"/>
      <sheetName val="Page_de_garde3"/>
      <sheetName val="Décompte_Provisoire3"/>
      <sheetName val="RECAP_QTE_EQ25_EQ263"/>
      <sheetName val="DETAILS_METRE_EQ_253"/>
      <sheetName val="_Armature_fondtion_EQ_253"/>
      <sheetName val="LEVER_ET_COTE_EQ_253"/>
      <sheetName val="DETAILS_METRE_EQ_263"/>
      <sheetName val="_Armature_fondtion_EQ_263"/>
      <sheetName val="LEVER_ET_COTE_EQ_263"/>
      <sheetName val="B_PR3"/>
      <sheetName val="gr_oe25"/>
      <sheetName val="recap_générale25"/>
      <sheetName val="Go4_xls25"/>
      <sheetName val="PG_25"/>
      <sheetName val="DP_225"/>
      <sheetName val="DP_325"/>
      <sheetName val="DP_425"/>
      <sheetName val="DP_825"/>
      <sheetName val="DP_925"/>
      <sheetName val="Brd_d'envoi4"/>
      <sheetName val="Page_de_garde4"/>
      <sheetName val="Décompte_Provisoire4"/>
      <sheetName val="RECAP_QTE_EQ25_EQ264"/>
      <sheetName val="DETAILS_METRE_EQ_254"/>
      <sheetName val="_Armature_fondtion_EQ_254"/>
      <sheetName val="LEVER_ET_COTE_EQ_254"/>
      <sheetName val="DETAILS_METRE_EQ_264"/>
      <sheetName val="_Armature_fondtion_EQ_264"/>
      <sheetName val="LEVER_ET_COTE_EQ_264"/>
      <sheetName val="B_PR4"/>
      <sheetName val="gr_oe26"/>
      <sheetName val="recap_générale26"/>
      <sheetName val="Go4_xls26"/>
      <sheetName val="PG_26"/>
      <sheetName val="DP_226"/>
      <sheetName val="DP_326"/>
      <sheetName val="DP_426"/>
      <sheetName val="DP_826"/>
      <sheetName val="DP_926"/>
      <sheetName val="Brd_d'envoi5"/>
      <sheetName val="Page_de_garde5"/>
      <sheetName val="Décompte_Provisoire5"/>
      <sheetName val="RECAP_QTE_EQ25_EQ265"/>
      <sheetName val="DETAILS_METRE_EQ_255"/>
      <sheetName val="_Armature_fondtion_EQ_255"/>
      <sheetName val="LEVER_ET_COTE_EQ_255"/>
      <sheetName val="DETAILS_METRE_EQ_265"/>
      <sheetName val="_Armature_fondtion_EQ_265"/>
      <sheetName val="LEVER_ET_COTE_EQ_265"/>
      <sheetName val="B_PR5"/>
      <sheetName val="bord_elec_annasr1"/>
      <sheetName val="BpElecEnnasr-Géneral"/>
      <sheetName val="DimensRESEAU (2)"/>
      <sheetName val="R2CAP"/>
      <sheetName val="production distrib"/>
      <sheetName val="Z.Fnche"/>
      <sheetName val="Recappe_EP"/>
      <sheetName val="D.E1A"/>
      <sheetName val="Macro-Diam-interne"/>
      <sheetName val="Macro-Epaisseur"/>
      <sheetName val="bord_elec_annasr3"/>
      <sheetName val="bord_elec_annasr2"/>
      <sheetName val="Brd_d'envoi6"/>
      <sheetName val="Page_de_garde6"/>
      <sheetName val="Décompte_Provisoire6"/>
      <sheetName val="RECAP_QTE_EQ25_EQ266"/>
      <sheetName val="DETAILS_METRE_EQ_256"/>
      <sheetName val="_Armature_fondtion_EQ_256"/>
      <sheetName val="LEVER_ET_COTE_EQ_256"/>
      <sheetName val="DETAILS_METRE_EQ_266"/>
      <sheetName val="_Armature_fondtion_EQ_266"/>
      <sheetName val="LEVER_ET_COTE_EQ_266"/>
      <sheetName val="B_PR6"/>
      <sheetName val="bord_elec_annasr6"/>
      <sheetName val="bord_elec_annasr4"/>
      <sheetName val="bord_elec_annasr5"/>
      <sheetName val="CPS1"/>
      <sheetName val="Macro-colbrook"/>
      <sheetName val="Macro-Newton"/>
      <sheetName val="Qeu"/>
      <sheetName val="Brd_d'envoi10"/>
      <sheetName val="Page_de_garde10"/>
      <sheetName val="Décompte_Provisoire10"/>
      <sheetName val="RECAP_QTE_EQ25_EQ2610"/>
      <sheetName val="DETAILS_METRE_EQ_2510"/>
      <sheetName val="_Armature_fondtion_EQ_2510"/>
      <sheetName val="LEVER_ET_COTE_EQ_2510"/>
      <sheetName val="DETAILS_METRE_EQ_2610"/>
      <sheetName val="_Armature_fondtion_EQ_2610"/>
      <sheetName val="LEVER_ET_COTE_EQ_2610"/>
      <sheetName val="B_PR10"/>
      <sheetName val="bord_elec_annasr10"/>
      <sheetName val="Brd_d'envoi9"/>
      <sheetName val="Page_de_garde9"/>
      <sheetName val="Décompte_Provisoire9"/>
      <sheetName val="RECAP_QTE_EQ25_EQ269"/>
      <sheetName val="DETAILS_METRE_EQ_259"/>
      <sheetName val="_Armature_fondtion_EQ_259"/>
      <sheetName val="LEVER_ET_COTE_EQ_259"/>
      <sheetName val="DETAILS_METRE_EQ_269"/>
      <sheetName val="_Armature_fondtion_EQ_269"/>
      <sheetName val="LEVER_ET_COTE_EQ_269"/>
      <sheetName val="B_PR9"/>
      <sheetName val="bord_elec_annasr9"/>
      <sheetName val="Brd_d'envoi7"/>
      <sheetName val="Page_de_garde7"/>
      <sheetName val="Décompte_Provisoire7"/>
      <sheetName val="RECAP_QTE_EQ25_EQ267"/>
      <sheetName val="DETAILS_METRE_EQ_257"/>
      <sheetName val="_Armature_fondtion_EQ_257"/>
      <sheetName val="LEVER_ET_COTE_EQ_257"/>
      <sheetName val="DETAILS_METRE_EQ_267"/>
      <sheetName val="_Armature_fondtion_EQ_267"/>
      <sheetName val="LEVER_ET_COTE_EQ_267"/>
      <sheetName val="B_PR7"/>
      <sheetName val="bord_elec_annasr7"/>
      <sheetName val="Brd_d'envoi8"/>
      <sheetName val="Page_de_garde8"/>
      <sheetName val="Décompte_Provisoire8"/>
      <sheetName val="RECAP_QTE_EQ25_EQ268"/>
      <sheetName val="DETAILS_METRE_EQ_258"/>
      <sheetName val="_Armature_fondtion_EQ_258"/>
      <sheetName val="LEVER_ET_COTE_EQ_258"/>
      <sheetName val="DETAILS_METRE_EQ_268"/>
      <sheetName val="_Armature_fondtion_EQ_268"/>
      <sheetName val="LEVER_ET_COTE_EQ_268"/>
      <sheetName val="B_PR8"/>
      <sheetName val="bord_elec_annasr8"/>
      <sheetName val="gr_oe27"/>
      <sheetName val="recap_générale27"/>
      <sheetName val="Go4_xls27"/>
      <sheetName val="PG_27"/>
      <sheetName val="DP_227"/>
      <sheetName val="DP_327"/>
      <sheetName val="DP_427"/>
      <sheetName val="DP_827"/>
      <sheetName val="DP_927"/>
      <sheetName val="gr_oe29"/>
      <sheetName val="recap_générale29"/>
      <sheetName val="Go4_xls29"/>
      <sheetName val="PG_29"/>
      <sheetName val="DP_229"/>
      <sheetName val="DP_329"/>
      <sheetName val="DP_429"/>
      <sheetName val="DP_829"/>
      <sheetName val="DP_929"/>
      <sheetName val="Brd_d'envoi12"/>
      <sheetName val="Page_de_garde12"/>
      <sheetName val="Décompte_Provisoire12"/>
      <sheetName val="RECAP_QTE_EQ25_EQ2612"/>
      <sheetName val="DETAILS_METRE_EQ_2512"/>
      <sheetName val="_Armature_fondtion_EQ_2512"/>
      <sheetName val="LEVER_ET_COTE_EQ_2512"/>
      <sheetName val="DETAILS_METRE_EQ_2612"/>
      <sheetName val="_Armature_fondtion_EQ_2612"/>
      <sheetName val="LEVER_ET_COTE_EQ_2612"/>
      <sheetName val="B_PR12"/>
      <sheetName val="bord_elec_annasr12"/>
      <sheetName val="DimensRESEAU_(2)2"/>
      <sheetName val="D_E1A2"/>
      <sheetName val="production_distrib2"/>
      <sheetName val="Z_Fnche2"/>
      <sheetName val="DimensRESEAU_(2)"/>
      <sheetName val="D_E1A"/>
      <sheetName val="production_distrib"/>
      <sheetName val="Z_Fnche"/>
      <sheetName val="gr_oe28"/>
      <sheetName val="recap_générale28"/>
      <sheetName val="Go4_xls28"/>
      <sheetName val="PG_28"/>
      <sheetName val="DP_228"/>
      <sheetName val="DP_328"/>
      <sheetName val="DP_428"/>
      <sheetName val="DP_828"/>
      <sheetName val="DP_928"/>
      <sheetName val="Brd_d'envoi11"/>
      <sheetName val="Page_de_garde11"/>
      <sheetName val="Décompte_Provisoire11"/>
      <sheetName val="RECAP_QTE_EQ25_EQ2611"/>
      <sheetName val="DETAILS_METRE_EQ_2511"/>
      <sheetName val="_Armature_fondtion_EQ_2511"/>
      <sheetName val="LEVER_ET_COTE_EQ_2511"/>
      <sheetName val="DETAILS_METRE_EQ_2611"/>
      <sheetName val="_Armature_fondtion_EQ_2611"/>
      <sheetName val="LEVER_ET_COTE_EQ_2611"/>
      <sheetName val="B_PR11"/>
      <sheetName val="bord_elec_annasr11"/>
      <sheetName val="DimensRESEAU_(2)1"/>
      <sheetName val="D_E1A1"/>
      <sheetName val="production_distrib1"/>
      <sheetName val="Z_Fnche1"/>
      <sheetName val="gr_oe30"/>
      <sheetName val="recap_générale30"/>
      <sheetName val="Go4_xls30"/>
      <sheetName val="PG_30"/>
      <sheetName val="DP_230"/>
      <sheetName val="DP_330"/>
      <sheetName val="DP_430"/>
      <sheetName val="DP_830"/>
      <sheetName val="DP_930"/>
      <sheetName val="bord_elec_annasr13"/>
      <sheetName val="Brd_d'envoi13"/>
      <sheetName val="Page_de_garde13"/>
      <sheetName val="Décompte_Provisoire13"/>
      <sheetName val="RECAP_QTE_EQ25_EQ2613"/>
      <sheetName val="DETAILS_METRE_EQ_2513"/>
      <sheetName val="_Armature_fondtion_EQ_2513"/>
      <sheetName val="LEVER_ET_COTE_EQ_2513"/>
      <sheetName val="DETAILS_METRE_EQ_2613"/>
      <sheetName val="_Armature_fondtion_EQ_2613"/>
      <sheetName val="LEVER_ET_COTE_EQ_2613"/>
      <sheetName val="B_PR13"/>
      <sheetName val="lot 1"/>
      <sheetName val="lot 2"/>
      <sheetName val="lot_11"/>
      <sheetName val="lot_21"/>
      <sheetName val="lot_1"/>
      <sheetName val="lot_2"/>
      <sheetName val="DimensRESEAU_(2)3"/>
      <sheetName val="gr_oe31"/>
      <sheetName val="recap_générale31"/>
      <sheetName val="Go4_xls31"/>
      <sheetName val="PG_31"/>
      <sheetName val="DP_231"/>
      <sheetName val="DP_331"/>
      <sheetName val="DP_431"/>
      <sheetName val="DP_831"/>
      <sheetName val="DP_931"/>
      <sheetName val="DimensRESEAU_(2)4"/>
      <sheetName val="récap pein "/>
      <sheetName val="production_distrib3"/>
      <sheetName val="Z_Fnche3"/>
      <sheetName val="D_E1A3"/>
      <sheetName val="Facture N°6 = 7 - 6"/>
      <sheetName val="Brd_d'envoi14"/>
      <sheetName val="Page_de_garde14"/>
      <sheetName val="Décompte_Provisoire14"/>
      <sheetName val="RECAP_QTE_EQ25_EQ2614"/>
      <sheetName val="DETAILS_METRE_EQ_2514"/>
      <sheetName val="_Armature_fondtion_EQ_2514"/>
      <sheetName val="LEVER_ET_COTE_EQ_2514"/>
      <sheetName val="DETAILS_METRE_EQ_2614"/>
      <sheetName val="_Armature_fondtion_EQ_2614"/>
      <sheetName val="LEVER_ET_COTE_EQ_2614"/>
      <sheetName val="B_PR14"/>
      <sheetName val="bord_elec_annasr14"/>
      <sheetName val="gr_oe32"/>
      <sheetName val="recap_générale32"/>
      <sheetName val="Go4_xls32"/>
      <sheetName val="PG_32"/>
      <sheetName val="DP_232"/>
      <sheetName val="DP_332"/>
      <sheetName val="DP_432"/>
      <sheetName val="DP_832"/>
      <sheetName val="DP_932"/>
      <sheetName val="Brd_d'envoi15"/>
      <sheetName val="Page_de_garde15"/>
      <sheetName val="Décompte_Provisoire15"/>
      <sheetName val="RECAP_QTE_EQ25_EQ2615"/>
      <sheetName val="DETAILS_METRE_EQ_2515"/>
      <sheetName val="_Armature_fondtion_EQ_2515"/>
      <sheetName val="LEVER_ET_COTE_EQ_2515"/>
      <sheetName val="DETAILS_METRE_EQ_2615"/>
      <sheetName val="_Armature_fondtion_EQ_2615"/>
      <sheetName val="LEVER_ET_COTE_EQ_2615"/>
      <sheetName val="B_PR15"/>
      <sheetName val="bord_elec_annasr15"/>
      <sheetName val="DimensRESEAU_(2)5"/>
      <sheetName val="D_E1A4"/>
      <sheetName val="production_distrib4"/>
      <sheetName val="Z_Fnche4"/>
      <sheetName val="gr_oe33"/>
      <sheetName val="lot_12"/>
      <sheetName val="lot_22"/>
      <sheetName val="recap_générale33"/>
      <sheetName val="Go4_xls33"/>
      <sheetName val="PG_33"/>
      <sheetName val="DP_233"/>
      <sheetName val="DP_333"/>
      <sheetName val="DP_433"/>
      <sheetName val="DP_833"/>
      <sheetName val="DP_933"/>
      <sheetName val="DimensRESEAU_(2)6"/>
      <sheetName val="lot_13"/>
      <sheetName val="lot_23"/>
      <sheetName val="gr_oe36"/>
      <sheetName val="recap_générale36"/>
      <sheetName val="Go4_xls36"/>
      <sheetName val="PG_36"/>
      <sheetName val="DP_236"/>
      <sheetName val="DP_336"/>
      <sheetName val="DP_436"/>
      <sheetName val="DP_836"/>
      <sheetName val="DP_936"/>
      <sheetName val="DimensRESEAU_(2)9"/>
      <sheetName val="D_E1A6"/>
      <sheetName val="production_distrib6"/>
      <sheetName val="Z_Fnche6"/>
      <sheetName val="lot_16"/>
      <sheetName val="lot_26"/>
      <sheetName val="gr_oe35"/>
      <sheetName val="recap_générale35"/>
      <sheetName val="Go4_xls35"/>
      <sheetName val="PG_35"/>
      <sheetName val="DP_235"/>
      <sheetName val="DP_335"/>
      <sheetName val="DP_435"/>
      <sheetName val="DP_835"/>
      <sheetName val="DP_935"/>
      <sheetName val="DimensRESEAU_(2)8"/>
      <sheetName val="D_E1A5"/>
      <sheetName val="production_distrib5"/>
      <sheetName val="Z_Fnche5"/>
      <sheetName val="lot_15"/>
      <sheetName val="lot_25"/>
      <sheetName val="gr_oe34"/>
      <sheetName val="recap_générale34"/>
      <sheetName val="Go4_xls34"/>
      <sheetName val="PG_34"/>
      <sheetName val="DP_234"/>
      <sheetName val="DP_334"/>
      <sheetName val="DP_434"/>
      <sheetName val="DP_834"/>
      <sheetName val="DP_934"/>
      <sheetName val="DimensRESEAU_(2)7"/>
      <sheetName val="lot_14"/>
      <sheetName val="lot_24"/>
      <sheetName val="Brd_d'envoi16"/>
      <sheetName val="Page_de_garde16"/>
      <sheetName val="Décompte_Provisoire16"/>
      <sheetName val="RECAP_QTE_EQ25_EQ2616"/>
      <sheetName val="DETAILS_METRE_EQ_2516"/>
      <sheetName val="_Armature_fondtion_EQ_2516"/>
      <sheetName val="LEVER_ET_COTE_EQ_2516"/>
      <sheetName val="DETAILS_METRE_EQ_2616"/>
      <sheetName val="_Armature_fondtion_EQ_2616"/>
      <sheetName val="LEVER_ET_COTE_EQ_2616"/>
      <sheetName val="B_PR16"/>
      <sheetName val="bord_elec_annasr16"/>
      <sheetName val="Réservoir 250m3"/>
      <sheetName val="Location materiel"/>
      <sheetName val="Formulation B10"/>
      <sheetName val="Besoin en energie"/>
      <sheetName val="Prix coffrage B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S1"/>
      <sheetName val="Masse"/>
      <sheetName val="SIT"/>
      <sheetName val="REC"/>
      <sheetName val="FNDt"/>
      <sheetName val=" S2.A"/>
      <sheetName val="S2.B"/>
      <sheetName val="S2.C"/>
      <sheetName val="S2.D"/>
      <sheetName val="S2.E"/>
      <sheetName val="S1.K"/>
      <sheetName val="S1.L"/>
      <sheetName val="S1.M"/>
      <sheetName val="S1.N"/>
      <sheetName val="S3.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S1"/>
      <sheetName val="FORF"/>
      <sheetName val="VENT"/>
      <sheetName val="V.St I"/>
      <sheetName val="V.St II"/>
      <sheetName val="PG1"/>
      <sheetName val="PG2"/>
      <sheetName val="PG3"/>
      <sheetName val="SIT"/>
    </sheetNames>
    <sheetDataSet>
      <sheetData sheetId="0" refreshError="1">
        <row r="15">
          <cell r="B15" t="str">
            <v xml:space="preserve"> 1 - GROS-ŒUVRE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"/>
      <sheetName val="DP4"/>
      <sheetName val="SITU 4"/>
      <sheetName val="ATT CLASSES"/>
      <sheetName val="ATT INTERNAT"/>
      <sheetName val="ATT SANI GARCON"/>
      <sheetName val="ATT SANITAIRE filles"/>
      <sheetName val="Acier ELE CLASSE DP3"/>
      <sheetName val="ACIER ELE INTERNAT"/>
      <sheetName val="acier fon sani filles"/>
      <sheetName val="acier fon sani garçons"/>
      <sheetName val="acier ele sani filles"/>
      <sheetName val="Acier ele sani garcon"/>
      <sheetName val="P ATT"/>
      <sheetName val="Feuil1"/>
    </sheetNames>
    <sheetDataSet>
      <sheetData sheetId="0" refreshError="1"/>
      <sheetData sheetId="1" refreshError="1"/>
      <sheetData sheetId="2">
        <row r="5">
          <cell r="M5">
            <v>653.17999999999995</v>
          </cell>
        </row>
      </sheetData>
      <sheetData sheetId="3">
        <row r="8">
          <cell r="J8">
            <v>305.09399999999999</v>
          </cell>
        </row>
      </sheetData>
      <sheetData sheetId="4">
        <row r="8">
          <cell r="J8">
            <v>320.31</v>
          </cell>
        </row>
      </sheetData>
      <sheetData sheetId="5" refreshError="1"/>
      <sheetData sheetId="6">
        <row r="9">
          <cell r="J9">
            <v>13.8864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"/>
      <sheetName val="Z.Fnche"/>
      <sheetName val="besoin.ZF"/>
      <sheetName val="1ERE trche"/>
      <sheetName val="deb.ZF "/>
      <sheetName val="debjor.ZF "/>
      <sheetName val="Z.Indst"/>
      <sheetName val="besoin.ZI"/>
      <sheetName val="debitZI"/>
      <sheetName val="debjouZI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elec"/>
      <sheetName val="OP FINANCIERS"/>
      <sheetName val="Jugement"/>
      <sheetName val="TAB COMP TEC"/>
      <sheetName val="affichage"/>
      <sheetName val="Signature"/>
      <sheetName val="timbrage"/>
      <sheetName val="Page garde"/>
      <sheetName val="FAX PRECISION"/>
      <sheetName val="tab demarreur"/>
      <sheetName val="FAX CORREC"/>
      <sheetName val="offre fina"/>
      <sheetName val="Z_Fnche"/>
      <sheetName val="Macro-press"/>
      <sheetName val="Macro-Long"/>
      <sheetName val="Macro-Dexterne"/>
      <sheetName val="Z_Fnche1"/>
      <sheetName val="besoin_ZF"/>
      <sheetName val="1ERE_trche"/>
      <sheetName val="deb_ZF_"/>
      <sheetName val="debjor_ZF_"/>
      <sheetName val="Z_Indst"/>
      <sheetName val="besoin_ZI"/>
      <sheetName val="OP_FINANCIERS"/>
      <sheetName val="TAB_COMP_TEC"/>
      <sheetName val="Page_garde"/>
      <sheetName val="FAX_PRECISION"/>
      <sheetName val="tab_demarreur"/>
      <sheetName val="FAX_CORREC"/>
      <sheetName val="offre_fina"/>
      <sheetName val="Z_Fnche2"/>
      <sheetName val="besoin_ZF1"/>
      <sheetName val="1ERE_trche1"/>
      <sheetName val="deb_ZF_1"/>
      <sheetName val="debjor_ZF_1"/>
      <sheetName val="Z_Indst1"/>
      <sheetName val="besoin_ZI1"/>
      <sheetName val="OP_FINANCIERS1"/>
      <sheetName val="TAB_COMP_TEC1"/>
      <sheetName val="Page_garde1"/>
      <sheetName val="FAX_PRECISION1"/>
      <sheetName val="tab_demarreur1"/>
      <sheetName val="FAX_CORREC1"/>
      <sheetName val="offre_fina1"/>
      <sheetName val="Recap"/>
      <sheetName val="BORD"/>
      <sheetName val="Z_Fnche3"/>
      <sheetName val="besoin_ZF2"/>
      <sheetName val="1ERE_trche2"/>
      <sheetName val="deb_ZF_2"/>
      <sheetName val="debjor_ZF_2"/>
      <sheetName val="Z_Indst2"/>
      <sheetName val="besoin_ZI2"/>
      <sheetName val="OP_FINANCIERS2"/>
      <sheetName val="TAB_COMP_TEC2"/>
      <sheetName val="Page_garde2"/>
      <sheetName val="FAX_PRECISION2"/>
      <sheetName val="tab_demarreur2"/>
      <sheetName val="FAX_CORREC2"/>
      <sheetName val="offre_fina2"/>
      <sheetName val="Z_Fnche5"/>
      <sheetName val="besoin_ZF4"/>
      <sheetName val="1ERE_trche4"/>
      <sheetName val="deb_ZF_4"/>
      <sheetName val="debjor_ZF_4"/>
      <sheetName val="Z_Indst4"/>
      <sheetName val="besoin_ZI4"/>
      <sheetName val="OP_FINANCIERS4"/>
      <sheetName val="TAB_COMP_TEC4"/>
      <sheetName val="Page_garde4"/>
      <sheetName val="FAX_PRECISION4"/>
      <sheetName val="tab_demarreur4"/>
      <sheetName val="FAX_CORREC4"/>
      <sheetName val="offre_fina4"/>
      <sheetName val="Z_Fnche4"/>
      <sheetName val="besoin_ZF3"/>
      <sheetName val="1ERE_trche3"/>
      <sheetName val="deb_ZF_3"/>
      <sheetName val="debjor_ZF_3"/>
      <sheetName val="Z_Indst3"/>
      <sheetName val="besoin_ZI3"/>
      <sheetName val="OP_FINANCIERS3"/>
      <sheetName val="TAB_COMP_TEC3"/>
      <sheetName val="Page_garde3"/>
      <sheetName val="FAX_PRECISION3"/>
      <sheetName val="tab_demarreur3"/>
      <sheetName val="FAX_CORREC3"/>
      <sheetName val="offre_fina3"/>
      <sheetName val="Z_Fnche6"/>
      <sheetName val="besoin_ZF5"/>
      <sheetName val="1ERE_trche5"/>
      <sheetName val="deb_ZF_5"/>
      <sheetName val="debjor_ZF_5"/>
      <sheetName val="Z_Indst5"/>
      <sheetName val="besoin_ZI5"/>
      <sheetName val="OP_FINANCIERS5"/>
      <sheetName val="TAB_COMP_TEC5"/>
      <sheetName val="Page_garde5"/>
      <sheetName val="FAX_PRECISION5"/>
      <sheetName val="tab_demarreur5"/>
      <sheetName val="FAX_CORREC5"/>
      <sheetName val="offre_fina5"/>
      <sheetName val="Z_Fnche7"/>
      <sheetName val="besoin_ZF6"/>
      <sheetName val="1ERE_trche6"/>
      <sheetName val="deb_ZF_6"/>
      <sheetName val="debjor_ZF_6"/>
      <sheetName val="Z_Indst6"/>
      <sheetName val="besoin_ZI6"/>
      <sheetName val="OP_FINANCIERS6"/>
      <sheetName val="TAB_COMP_TEC6"/>
      <sheetName val="Page_garde6"/>
      <sheetName val="FAX_PRECISION6"/>
      <sheetName val="tab_demarreur6"/>
      <sheetName val="FAX_CORREC6"/>
      <sheetName val="offre_fina6"/>
      <sheetName val="CPS1"/>
      <sheetName val="AN1SF"/>
      <sheetName val="AN2SF"/>
      <sheetName val="AN1SI"/>
      <sheetName val="BT"/>
      <sheetName val="Macro-cons"/>
      <sheetName val="AN2"/>
      <sheetName val="ELEC LOT 122"/>
      <sheetName val="_x0001_䁀_x0001_"/>
      <sheetName val="_x0001_䁄_x0001_晦晦♦䁜"/>
      <sheetName val="ONEP"/>
      <sheetName val="GC 150m3 MGHASSINE"/>
      <sheetName val="S.P1"/>
      <sheetName val=""/>
      <sheetName val="Macro-Diam-interne"/>
      <sheetName val="Macro-Epaisseur"/>
      <sheetName val="besoin_ZF7"/>
      <sheetName val="1ERE_trche7"/>
      <sheetName val="deb_ZF_7"/>
      <sheetName val="debjor_ZF_7"/>
      <sheetName val="Z_Indst7"/>
      <sheetName val="besoin_ZI7"/>
      <sheetName val="Z_Fnche8"/>
      <sheetName val="besoin_ZF8"/>
      <sheetName val="1ERE_trche8"/>
      <sheetName val="deb_ZF_8"/>
      <sheetName val="debjor_ZF_8"/>
      <sheetName val="Z_Indst8"/>
      <sheetName val="besoin_ZI8"/>
      <sheetName val="OP_FINANCIERS7"/>
      <sheetName val="TAB_COMP_TEC7"/>
      <sheetName val="Page_garde7"/>
      <sheetName val="FAX_PRECISION7"/>
      <sheetName val="tab_demarreur7"/>
      <sheetName val="FAX_CORREC7"/>
      <sheetName val="offre_fina7"/>
      <sheetName val="Z_Fnche9"/>
      <sheetName val="besoin_ZF9"/>
      <sheetName val="1ERE_trche9"/>
      <sheetName val="deb_ZF_9"/>
      <sheetName val="debjor_ZF_9"/>
      <sheetName val="Z_Indst9"/>
      <sheetName val="besoin_ZI9"/>
      <sheetName val="OP_FINANCIERS8"/>
      <sheetName val="TAB_COMP_TEC8"/>
      <sheetName val="Page_garde8"/>
      <sheetName val="FAX_PRECISION8"/>
      <sheetName val="tab_demarreur8"/>
      <sheetName val="FAX_CORREC8"/>
      <sheetName val="offre_fina8"/>
      <sheetName val="Z_Fnche10"/>
      <sheetName val="besoin_ZF10"/>
      <sheetName val="1ERE_trche10"/>
      <sheetName val="deb_ZF_10"/>
      <sheetName val="debjor_ZF_10"/>
      <sheetName val="Z_Indst10"/>
      <sheetName val="besoin_ZI10"/>
      <sheetName val="OP_FINANCIERS9"/>
      <sheetName val="TAB_COMP_TEC9"/>
      <sheetName val="Page_garde9"/>
      <sheetName val="FAX_PRECISION9"/>
      <sheetName val="tab_demarreur9"/>
      <sheetName val="FAX_CORREC9"/>
      <sheetName val="offre_fina9"/>
      <sheetName val="Z_Fnche11"/>
      <sheetName val="besoin_ZF11"/>
      <sheetName val="1ERE_trche11"/>
      <sheetName val="deb_ZF_11"/>
      <sheetName val="debjor_ZF_11"/>
      <sheetName val="Z_Indst11"/>
      <sheetName val="besoin_ZI11"/>
      <sheetName val="OP_FINANCIERS10"/>
      <sheetName val="TAB_COMP_TEC10"/>
      <sheetName val="Page_garde10"/>
      <sheetName val="FAX_PRECISION10"/>
      <sheetName val="tab_demarreur10"/>
      <sheetName val="FAX_CORREC10"/>
      <sheetName val="offre_fina10"/>
      <sheetName val="Z_Fnche12"/>
      <sheetName val="besoin_ZF12"/>
      <sheetName val="1ERE_trche12"/>
      <sheetName val="deb_ZF_12"/>
      <sheetName val="debjor_ZF_12"/>
      <sheetName val="Z_Indst12"/>
      <sheetName val="besoin_ZI12"/>
      <sheetName val="OP_FINANCIERS11"/>
      <sheetName val="TAB_COMP_TEC11"/>
      <sheetName val="Page_garde11"/>
      <sheetName val="FAX_PRECISION11"/>
      <sheetName val="tab_demarreur11"/>
      <sheetName val="FAX_CORREC11"/>
      <sheetName val="offre_fina11"/>
      <sheetName val="Z_Fnche13"/>
      <sheetName val="besoin_ZF13"/>
      <sheetName val="1ERE_trche13"/>
      <sheetName val="deb_ZF_13"/>
      <sheetName val="debjor_ZF_13"/>
      <sheetName val="Z_Indst13"/>
      <sheetName val="besoin_ZI13"/>
      <sheetName val="OP_FINANCIERS12"/>
      <sheetName val="TAB_COMP_TEC12"/>
      <sheetName val="Page_garde12"/>
      <sheetName val="FAX_PRECISION12"/>
      <sheetName val="tab_demarreur12"/>
      <sheetName val="FAX_CORREC12"/>
      <sheetName val="offre_fina12"/>
      <sheetName val="Z_Fnche14"/>
      <sheetName val="besoin_ZF14"/>
      <sheetName val="1ERE_trche14"/>
      <sheetName val="deb_ZF_14"/>
      <sheetName val="debjor_ZF_14"/>
      <sheetName val="Z_Indst14"/>
      <sheetName val="besoin_ZI14"/>
      <sheetName val="OP_FINANCIERS13"/>
      <sheetName val="TAB_COMP_TEC13"/>
      <sheetName val="Page_garde13"/>
      <sheetName val="FAX_PRECISION13"/>
      <sheetName val="tab_demarreur13"/>
      <sheetName val="FAX_CORREC13"/>
      <sheetName val="offre_fina13"/>
      <sheetName val="Z_Fnche15"/>
      <sheetName val="besoin_ZF15"/>
      <sheetName val="1ERE_trche15"/>
      <sheetName val="deb_ZF_15"/>
      <sheetName val="debjor_ZF_15"/>
      <sheetName val="Z_Indst15"/>
      <sheetName val="besoin_ZI15"/>
      <sheetName val="OP_FINANCIERS14"/>
      <sheetName val="TAB_COMP_TEC14"/>
      <sheetName val="Page_garde14"/>
      <sheetName val="FAX_PRECISION14"/>
      <sheetName val="tab_demarreur14"/>
      <sheetName val="FAX_CORREC14"/>
      <sheetName val="offre_fina14"/>
      <sheetName val="Z_Fnche16"/>
      <sheetName val="besoin_ZF16"/>
      <sheetName val="1ERE_trche16"/>
      <sheetName val="deb_ZF_16"/>
      <sheetName val="debjor_ZF_16"/>
      <sheetName val="Z_Indst16"/>
      <sheetName val="besoin_ZI16"/>
      <sheetName val="OP_FINANCIERS15"/>
      <sheetName val="TAB_COMP_TEC15"/>
      <sheetName val="Page_garde15"/>
      <sheetName val="FAX_PRECISION15"/>
      <sheetName val="tab_demarreur15"/>
      <sheetName val="FAX_CORREC15"/>
      <sheetName val="offre_fina15"/>
      <sheetName val="Z_Fnche17"/>
      <sheetName val="besoin_ZF17"/>
      <sheetName val="1ERE_trche17"/>
      <sheetName val="deb_ZF_17"/>
      <sheetName val="debjor_ZF_17"/>
      <sheetName val="Z_Indst17"/>
      <sheetName val="besoin_ZI17"/>
      <sheetName val="OP_FINANCIERS16"/>
      <sheetName val="TAB_COMP_TEC16"/>
      <sheetName val="Page_garde16"/>
      <sheetName val="FAX_PRECISION16"/>
      <sheetName val="tab_demarreur16"/>
      <sheetName val="FAX_CORREC16"/>
      <sheetName val="offre_fina16"/>
      <sheetName val="Z_Fnche18"/>
      <sheetName val="besoin_ZF18"/>
      <sheetName val="1ERE_trche18"/>
      <sheetName val="deb_ZF_18"/>
      <sheetName val="debjor_ZF_18"/>
      <sheetName val="Z_Indst18"/>
      <sheetName val="besoin_ZI18"/>
      <sheetName val="OP_FINANCIERS17"/>
      <sheetName val="TAB_COMP_TEC17"/>
      <sheetName val="Page_garde17"/>
      <sheetName val="FAX_PRECISION17"/>
      <sheetName val="tab_demarreur17"/>
      <sheetName val="FAX_CORREC17"/>
      <sheetName val="offre_fina17"/>
      <sheetName val="Z_Fnche19"/>
      <sheetName val="besoin_ZF19"/>
      <sheetName val="1ERE_trche19"/>
      <sheetName val="deb_ZF_19"/>
      <sheetName val="debjor_ZF_19"/>
      <sheetName val="Z_Indst19"/>
      <sheetName val="besoin_ZI19"/>
      <sheetName val="OP_FINANCIERS18"/>
      <sheetName val="TAB_COMP_TEC18"/>
      <sheetName val="Page_garde18"/>
      <sheetName val="FAX_PRECISION18"/>
      <sheetName val="tab_demarreur18"/>
      <sheetName val="FAX_CORREC18"/>
      <sheetName val="offre_fina18"/>
      <sheetName val="䁀"/>
      <sheetName val="䁄晦晦♦䁜"/>
      <sheetName val="BUDSTAFF(2)"/>
      <sheetName val="???_x0001_????䁀????_x0001_????"/>
      <sheetName val="???_x0001_????䁄????_x0001_???晦晦♦䁜"/>
      <sheetName val="ELEC_LOT_1221"/>
      <sheetName val="ELEC_LOT_122"/>
      <sheetName val="Z_Fnche20"/>
      <sheetName val="besoin_ZF20"/>
      <sheetName val="1ERE_trche20"/>
      <sheetName val="deb_ZF_20"/>
      <sheetName val="debjor_ZF_20"/>
      <sheetName val="Z_Indst20"/>
      <sheetName val="besoin_ZI20"/>
      <sheetName val="OP_FINANCIERS19"/>
      <sheetName val="TAB_COMP_TEC19"/>
      <sheetName val="Page_garde19"/>
      <sheetName val="FAX_PRECISION19"/>
      <sheetName val="tab_demarreur19"/>
      <sheetName val="FAX_CORREC19"/>
      <sheetName val="offre_fina19"/>
      <sheetName val="???????䁀????????"/>
      <sheetName val="???????䁄???????晦晦♦䁜"/>
      <sheetName val="Z_Fnche21"/>
      <sheetName val="besoin_ZF21"/>
      <sheetName val="1ERE_trche21"/>
      <sheetName val="deb_ZF_21"/>
      <sheetName val="debjor_ZF_21"/>
      <sheetName val="Z_Indst21"/>
      <sheetName val="besoin_ZI21"/>
      <sheetName val="OP_FINANCIERS20"/>
      <sheetName val="TAB_COMP_TEC20"/>
      <sheetName val="Page_garde20"/>
      <sheetName val="FAX_PRECISION20"/>
      <sheetName val="tab_demarreur20"/>
      <sheetName val="FAX_CORREC20"/>
      <sheetName val="offre_fina20"/>
      <sheetName val="Z_Fnche22"/>
      <sheetName val="besoin_ZF22"/>
      <sheetName val="1ERE_trche22"/>
      <sheetName val="deb_ZF_22"/>
      <sheetName val="debjor_ZF_22"/>
      <sheetName val="Z_Indst22"/>
      <sheetName val="besoin_ZI22"/>
      <sheetName val="OP_FINANCIERS21"/>
      <sheetName val="TAB_COMP_TEC21"/>
      <sheetName val="Page_garde21"/>
      <sheetName val="FAX_PRECISION21"/>
      <sheetName val="tab_demarreur21"/>
      <sheetName val="FAX_CORREC21"/>
      <sheetName val="offre_fina21"/>
      <sheetName val="ELEC_LOT_1222"/>
      <sheetName val="Z_Fnche23"/>
      <sheetName val="besoin_ZF23"/>
      <sheetName val="1ERE_trche23"/>
      <sheetName val="deb_ZF_23"/>
      <sheetName val="debjor_ZF_23"/>
      <sheetName val="Z_Indst23"/>
      <sheetName val="besoin_ZI23"/>
      <sheetName val="OP_FINANCIERS22"/>
      <sheetName val="TAB_COMP_TEC22"/>
      <sheetName val="Page_garde22"/>
      <sheetName val="FAX_PRECISION22"/>
      <sheetName val="tab_demarreur22"/>
      <sheetName val="FAX_CORREC22"/>
      <sheetName val="offre_fina22"/>
      <sheetName val="ELEC_LOT_1223"/>
      <sheetName val="Z_Fnche24"/>
      <sheetName val="besoin_ZF24"/>
      <sheetName val="1ERE_trche24"/>
      <sheetName val="deb_ZF_24"/>
      <sheetName val="debjor_ZF_24"/>
      <sheetName val="Z_Indst24"/>
      <sheetName val="besoin_ZI24"/>
      <sheetName val="OP_FINANCIERS23"/>
      <sheetName val="TAB_COMP_TEC23"/>
      <sheetName val="Page_garde23"/>
      <sheetName val="FAX_PRECISION23"/>
      <sheetName val="tab_demarreur23"/>
      <sheetName val="FAX_CORREC23"/>
      <sheetName val="offre_fina23"/>
      <sheetName val="ELEC_LOT_1224"/>
      <sheetName val="Z_Fnche25"/>
      <sheetName val="besoin_ZF25"/>
      <sheetName val="1ERE_trche25"/>
      <sheetName val="deb_ZF_25"/>
      <sheetName val="debjor_ZF_25"/>
      <sheetName val="Z_Indst25"/>
      <sheetName val="besoin_ZI25"/>
      <sheetName val="OP_FINANCIERS24"/>
      <sheetName val="TAB_COMP_TEC24"/>
      <sheetName val="Page_garde24"/>
      <sheetName val="FAX_PRECISION24"/>
      <sheetName val="tab_demarreur24"/>
      <sheetName val="FAX_CORREC24"/>
      <sheetName val="offre_fina24"/>
      <sheetName val="ELEC_LOT_1225"/>
      <sheetName val="GC_150m3_MGHASSINE"/>
      <sheetName val="S_P1"/>
      <sheetName val="Z_Fnche30"/>
      <sheetName val="besoin_ZF30"/>
      <sheetName val="1ERE_trche30"/>
      <sheetName val="deb_ZF_30"/>
      <sheetName val="debjor_ZF_30"/>
      <sheetName val="Z_Indst30"/>
      <sheetName val="besoin_ZI30"/>
      <sheetName val="OP_FINANCIERS29"/>
      <sheetName val="TAB_COMP_TEC29"/>
      <sheetName val="Page_garde29"/>
      <sheetName val="FAX_PRECISION29"/>
      <sheetName val="tab_demarreur29"/>
      <sheetName val="FAX_CORREC29"/>
      <sheetName val="offre_fina29"/>
      <sheetName val="ELEC_LOT_12210"/>
      <sheetName val="Z_Fnche29"/>
      <sheetName val="besoin_ZF29"/>
      <sheetName val="1ERE_trche29"/>
      <sheetName val="deb_ZF_29"/>
      <sheetName val="debjor_ZF_29"/>
      <sheetName val="Z_Indst29"/>
      <sheetName val="besoin_ZI29"/>
      <sheetName val="OP_FINANCIERS28"/>
      <sheetName val="TAB_COMP_TEC28"/>
      <sheetName val="Page_garde28"/>
      <sheetName val="FAX_PRECISION28"/>
      <sheetName val="tab_demarreur28"/>
      <sheetName val="FAX_CORREC28"/>
      <sheetName val="offre_fina28"/>
      <sheetName val="ELEC_LOT_1229"/>
      <sheetName val="GC_150m3_MGHASSINE2"/>
      <sheetName val="S_P12"/>
      <sheetName val="Z_Fnche26"/>
      <sheetName val="besoin_ZF26"/>
      <sheetName val="1ERE_trche26"/>
      <sheetName val="deb_ZF_26"/>
      <sheetName val="debjor_ZF_26"/>
      <sheetName val="Z_Indst26"/>
      <sheetName val="besoin_ZI26"/>
      <sheetName val="OP_FINANCIERS25"/>
      <sheetName val="TAB_COMP_TEC25"/>
      <sheetName val="Page_garde25"/>
      <sheetName val="FAX_PRECISION25"/>
      <sheetName val="tab_demarreur25"/>
      <sheetName val="FAX_CORREC25"/>
      <sheetName val="offre_fina25"/>
      <sheetName val="ELEC_LOT_1226"/>
      <sheetName val="Z_Fnche27"/>
      <sheetName val="besoin_ZF27"/>
      <sheetName val="1ERE_trche27"/>
      <sheetName val="deb_ZF_27"/>
      <sheetName val="debjor_ZF_27"/>
      <sheetName val="Z_Indst27"/>
      <sheetName val="besoin_ZI27"/>
      <sheetName val="OP_FINANCIERS26"/>
      <sheetName val="TAB_COMP_TEC26"/>
      <sheetName val="Page_garde26"/>
      <sheetName val="FAX_PRECISION26"/>
      <sheetName val="tab_demarreur26"/>
      <sheetName val="FAX_CORREC26"/>
      <sheetName val="offre_fina26"/>
      <sheetName val="ELEC_LOT_1227"/>
      <sheetName val="Z_Fnche28"/>
      <sheetName val="besoin_ZF28"/>
      <sheetName val="1ERE_trche28"/>
      <sheetName val="deb_ZF_28"/>
      <sheetName val="debjor_ZF_28"/>
      <sheetName val="Z_Indst28"/>
      <sheetName val="besoin_ZI28"/>
      <sheetName val="OP_FINANCIERS27"/>
      <sheetName val="TAB_COMP_TEC27"/>
      <sheetName val="Page_garde27"/>
      <sheetName val="FAX_PRECISION27"/>
      <sheetName val="tab_demarreur27"/>
      <sheetName val="FAX_CORREC27"/>
      <sheetName val="offre_fina27"/>
      <sheetName val="ELEC_LOT_1228"/>
      <sheetName val="GC_150m3_MGHASSINE1"/>
      <sheetName val="S_P11"/>
      <sheetName val="ZONES rec"/>
      <sheetName val="Z_Fnche32"/>
      <sheetName val="besoin_ZF32"/>
      <sheetName val="1ERE_trche32"/>
      <sheetName val="deb_ZF_32"/>
      <sheetName val="debjor_ZF_32"/>
      <sheetName val="Z_Indst32"/>
      <sheetName val="besoin_ZI32"/>
      <sheetName val="OP_FINANCIERS31"/>
      <sheetName val="TAB_COMP_TEC31"/>
      <sheetName val="Page_garde31"/>
      <sheetName val="FAX_PRECISION31"/>
      <sheetName val="tab_demarreur31"/>
      <sheetName val="FAX_CORREC31"/>
      <sheetName val="offre_fina31"/>
      <sheetName val="ELEC_LOT_12212"/>
      <sheetName val="GC_150m3_MGHASSINE5"/>
      <sheetName val="S_P15"/>
      <sheetName val="GC_150m3_MGHASSINE3"/>
      <sheetName val="S_P13"/>
      <sheetName val="Z_Fnche31"/>
      <sheetName val="besoin_ZF31"/>
      <sheetName val="1ERE_trche31"/>
      <sheetName val="deb_ZF_31"/>
      <sheetName val="debjor_ZF_31"/>
      <sheetName val="Z_Indst31"/>
      <sheetName val="besoin_ZI31"/>
      <sheetName val="OP_FINANCIERS30"/>
      <sheetName val="TAB_COMP_TEC30"/>
      <sheetName val="Page_garde30"/>
      <sheetName val="FAX_PRECISION30"/>
      <sheetName val="tab_demarreur30"/>
      <sheetName val="FAX_CORREC30"/>
      <sheetName val="offre_fina30"/>
      <sheetName val="ELEC_LOT_12211"/>
      <sheetName val="GC_150m3_MGHASSINE4"/>
      <sheetName val="S_P14"/>
      <sheetName val="Z_Fnche33"/>
      <sheetName val="besoin_ZF33"/>
      <sheetName val="1ERE_trche33"/>
      <sheetName val="deb_ZF_33"/>
      <sheetName val="debjor_ZF_33"/>
      <sheetName val="Z_Indst33"/>
      <sheetName val="besoin_ZI33"/>
      <sheetName val="OP_FINANCIERS32"/>
      <sheetName val="TAB_COMP_TEC32"/>
      <sheetName val="Page_garde32"/>
      <sheetName val="Z_Fnche35"/>
      <sheetName val="besoin_ZF35"/>
      <sheetName val="1ERE_trche35"/>
      <sheetName val="deb_ZF_35"/>
      <sheetName val="debjor_ZF_35"/>
      <sheetName val="Z_Indst35"/>
      <sheetName val="besoin_ZI35"/>
      <sheetName val="ELEC_LOT_12218"/>
      <sheetName val="ELEC_LOT_12213"/>
      <sheetName val="ELEC_LOT_12214"/>
      <sheetName val="ELEC_LOT_12215"/>
      <sheetName val="ELEC_LOT_12216"/>
      <sheetName val="Z_Fnche34"/>
      <sheetName val="besoin_ZF34"/>
      <sheetName val="1ERE_trche34"/>
      <sheetName val="deb_ZF_34"/>
      <sheetName val="debjor_ZF_34"/>
      <sheetName val="Z_Indst34"/>
      <sheetName val="besoin_ZI34"/>
      <sheetName val="ELEC_LOT_12217"/>
      <sheetName val="Z_Fnche39"/>
      <sheetName val="besoin_ZF39"/>
      <sheetName val="1ERE_trche39"/>
      <sheetName val="deb_ZF_39"/>
      <sheetName val="debjor_ZF_39"/>
      <sheetName val="Z_Indst39"/>
      <sheetName val="besoin_ZI39"/>
      <sheetName val="OP_FINANCIERS34"/>
      <sheetName val="TAB_COMP_TEC34"/>
      <sheetName val="Page_garde34"/>
      <sheetName val="FAX_PRECISION34"/>
      <sheetName val="tab_demarreur34"/>
      <sheetName val="FAX_CORREC34"/>
      <sheetName val="offre_fina34"/>
      <sheetName val="ELEC_LOT_12222"/>
      <sheetName val="Z_Fnche36"/>
      <sheetName val="besoin_ZF36"/>
      <sheetName val="1ERE_trche36"/>
      <sheetName val="deb_ZF_36"/>
      <sheetName val="debjor_ZF_36"/>
      <sheetName val="Z_Indst36"/>
      <sheetName val="besoin_ZI36"/>
      <sheetName val="ELEC_LOT_12219"/>
      <sheetName val="Z_Fnche37"/>
      <sheetName val="besoin_ZF37"/>
      <sheetName val="1ERE_trche37"/>
      <sheetName val="deb_ZF_37"/>
      <sheetName val="debjor_ZF_37"/>
      <sheetName val="Z_Indst37"/>
      <sheetName val="besoin_ZI37"/>
      <sheetName val="FAX_PRECISION32"/>
      <sheetName val="tab_demarreur32"/>
      <sheetName val="FAX_CORREC32"/>
      <sheetName val="offre_fina32"/>
      <sheetName val="ELEC_LOT_12220"/>
      <sheetName val="Z_Fnche38"/>
      <sheetName val="besoin_ZF38"/>
      <sheetName val="1ERE_trche38"/>
      <sheetName val="deb_ZF_38"/>
      <sheetName val="debjor_ZF_38"/>
      <sheetName val="Z_Indst38"/>
      <sheetName val="besoin_ZI38"/>
      <sheetName val="OP_FINANCIERS33"/>
      <sheetName val="TAB_COMP_TEC33"/>
      <sheetName val="Page_garde33"/>
      <sheetName val="FAX_PRECISION33"/>
      <sheetName val="tab_demarreur33"/>
      <sheetName val="FAX_CORREC33"/>
      <sheetName val="offre_fina33"/>
      <sheetName val="ELEC_LOT_12221"/>
      <sheetName val="Z_Fnche40"/>
      <sheetName val="besoin_ZF40"/>
      <sheetName val="1ERE_trche40"/>
      <sheetName val="deb_ZF_40"/>
      <sheetName val="debjor_ZF_40"/>
      <sheetName val="Z_Indst40"/>
      <sheetName val="besoin_ZI40"/>
      <sheetName val="OP_FINANCIERS35"/>
      <sheetName val="TAB_COMP_TEC35"/>
      <sheetName val="Page_garde35"/>
      <sheetName val="FAX_PRECISION35"/>
      <sheetName val="tab_demarreur35"/>
      <sheetName val="FAX_CORREC35"/>
      <sheetName val="offre_fina35"/>
      <sheetName val="ELEC_LOT_12223"/>
      <sheetName val="Z_Fnche41"/>
      <sheetName val="besoin_ZF41"/>
      <sheetName val="1ERE_trche41"/>
      <sheetName val="deb_ZF_41"/>
      <sheetName val="debjor_ZF_41"/>
      <sheetName val="Z_Indst41"/>
      <sheetName val="besoin_ZI41"/>
      <sheetName val="OP_FINANCIERS36"/>
      <sheetName val="TAB_COMP_TEC36"/>
      <sheetName val="Page_garde36"/>
      <sheetName val="FAX_PRECISION36"/>
      <sheetName val="tab_demarreur36"/>
      <sheetName val="FAX_CORREC36"/>
      <sheetName val="offre_fina36"/>
      <sheetName val="ELEC_LOT_12224"/>
      <sheetName val="Z_Fnche43"/>
      <sheetName val="besoin_ZF43"/>
      <sheetName val="1ERE_trche43"/>
      <sheetName val="deb_ZF_43"/>
      <sheetName val="debjor_ZF_43"/>
      <sheetName val="Z_Indst43"/>
      <sheetName val="besoin_ZI43"/>
      <sheetName val="OP_FINANCIERS38"/>
      <sheetName val="TAB_COMP_TEC38"/>
      <sheetName val="Page_garde38"/>
      <sheetName val="FAX_PRECISION38"/>
      <sheetName val="tab_demarreur38"/>
      <sheetName val="FAX_CORREC38"/>
      <sheetName val="offre_fina38"/>
      <sheetName val="ELEC_LOT_12226"/>
      <sheetName val="Z_Fnche42"/>
      <sheetName val="besoin_ZF42"/>
      <sheetName val="1ERE_trche42"/>
      <sheetName val="deb_ZF_42"/>
      <sheetName val="debjor_ZF_42"/>
      <sheetName val="Z_Indst42"/>
      <sheetName val="besoin_ZI42"/>
      <sheetName val="OP_FINANCIERS37"/>
      <sheetName val="TAB_COMP_TEC37"/>
      <sheetName val="Page_garde37"/>
      <sheetName val="FAX_PRECISION37"/>
      <sheetName val="tab_demarreur37"/>
      <sheetName val="FAX_CORREC37"/>
      <sheetName val="offre_fina37"/>
      <sheetName val="ELEC_LOT_12225"/>
      <sheetName val="Z_Fnche44"/>
      <sheetName val="besoin_ZF44"/>
      <sheetName val="1ERE_trche44"/>
      <sheetName val="deb_ZF_44"/>
      <sheetName val="debjor_ZF_44"/>
      <sheetName val="Z_Indst44"/>
      <sheetName val="besoin_ZI44"/>
      <sheetName val="OP_FINANCIERS39"/>
      <sheetName val="TAB_COMP_TEC39"/>
      <sheetName val="Page_garde39"/>
      <sheetName val="FAX_PRECISION39"/>
      <sheetName val="tab_demarreur39"/>
      <sheetName val="FAX_CORREC39"/>
      <sheetName val="offre_fina39"/>
      <sheetName val="ELEC_LOT_12227"/>
      <sheetName val="Z_Fnche45"/>
      <sheetName val="besoin_ZF45"/>
      <sheetName val="1ERE_trche45"/>
      <sheetName val="deb_ZF_45"/>
      <sheetName val="debjor_ZF_45"/>
      <sheetName val="Z_Indst45"/>
      <sheetName val="besoin_ZI45"/>
      <sheetName val="OP_FINANCIERS40"/>
      <sheetName val="TAB_COMP_TEC40"/>
      <sheetName val="Page_garde40"/>
      <sheetName val="FAX_PRECISION40"/>
      <sheetName val="tab_demarreur40"/>
      <sheetName val="FAX_CORREC40"/>
      <sheetName val="offre_fina40"/>
      <sheetName val="ELEC_LOT_12228"/>
      <sheetName val="GC_150m3_MGHASSINE6"/>
      <sheetName val="S_P16"/>
      <sheetName val="ZONES_rec"/>
      <sheetName val="Aga"/>
      <sheetName val="GC_150m3_MGHASSINE7"/>
      <sheetName val="S_P17"/>
      <sheetName val="GC_150m3_MGHASSINE8"/>
      <sheetName val="S_P18"/>
      <sheetName val="récap pein "/>
      <sheetName val="_x0001__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/>
      <sheetData sheetId="330"/>
      <sheetData sheetId="331" refreshError="1"/>
      <sheetData sheetId="332" refreshError="1"/>
      <sheetData sheetId="333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/>
      <sheetData sheetId="720"/>
      <sheetData sheetId="721"/>
      <sheetData sheetId="722"/>
      <sheetData sheetId="723"/>
      <sheetData sheetId="724" refreshError="1"/>
      <sheetData sheetId="7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ées de base"/>
      <sheetName val="Note de calcul RP"/>
      <sheetName val="Feuil3"/>
      <sheetName val="Note de calcul RP (2)"/>
    </sheetNames>
    <sheetDataSet>
      <sheetData sheetId="0">
        <row r="3">
          <cell r="L3" t="str">
            <v>BAT6</v>
          </cell>
        </row>
        <row r="4">
          <cell r="L4" t="str">
            <v>ING</v>
          </cell>
        </row>
        <row r="5">
          <cell r="L5" t="str">
            <v>TR3bis</v>
          </cell>
        </row>
        <row r="6">
          <cell r="L6" t="str">
            <v>BAT3</v>
          </cell>
        </row>
        <row r="7">
          <cell r="L7" t="str">
            <v>BAT1</v>
          </cell>
        </row>
        <row r="8">
          <cell r="L8" t="str">
            <v>BAT2</v>
          </cell>
        </row>
        <row r="9">
          <cell r="L9" t="str">
            <v>BAT4</v>
          </cell>
        </row>
        <row r="10">
          <cell r="L10" t="str">
            <v>BAT5</v>
          </cell>
        </row>
        <row r="13">
          <cell r="M13" t="str">
            <v>révisables</v>
          </cell>
        </row>
        <row r="14">
          <cell r="M14" t="str">
            <v>fermes</v>
          </cell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 Immeuble Type D "/>
      <sheetName val="RECAPE Imm Type D - GO"/>
      <sheetName val="Hypothèses générales"/>
      <sheetName val="DETAI_Immeuble_Type_D_"/>
      <sheetName val="RECAPE_Imm_Type_D_-_GO"/>
      <sheetName val="Hypothèses_générales"/>
      <sheetName val="DETAI_Immeuble_Type_D_3"/>
      <sheetName val="RECAPE_Imm_Type_D_-_GO3"/>
      <sheetName val="Hypothèses_générales3"/>
      <sheetName val="DETAI_Immeuble_Type_D_1"/>
      <sheetName val="RECAPE_Imm_Type_D_-_GO1"/>
      <sheetName val="Hypothèses_générales1"/>
      <sheetName val="DETAI_Immeuble_Type_D_2"/>
      <sheetName val="RECAPE_Imm_Type_D_-_GO2"/>
      <sheetName val="Hypothèses_générales2"/>
      <sheetName val="DETAI_Immeuble_Type_D_4"/>
      <sheetName val="RECAPE_Imm_Type_D_-_GO4"/>
      <sheetName val="Hypothèses_générales4"/>
      <sheetName val="DETAI_Immeuble_Type_D_5"/>
      <sheetName val="RECAPE_Imm_Type_D_-_GO5"/>
      <sheetName val="Hypothèses_générales5"/>
      <sheetName val="DETAI_Immeuble_Type_D_6"/>
      <sheetName val="RECAPE_Imm_Type_D_-_GO6"/>
      <sheetName val="Hypothèses_générales6"/>
    </sheetNames>
    <sheetDataSet>
      <sheetData sheetId="0" refreshError="1"/>
      <sheetData sheetId="1" refreshError="1"/>
      <sheetData sheetId="2" refreshError="1">
        <row r="8">
          <cell r="B8">
            <v>1.1000000000000001</v>
          </cell>
        </row>
        <row r="9">
          <cell r="B9">
            <v>1.1000000000000001</v>
          </cell>
        </row>
        <row r="18">
          <cell r="B18">
            <v>0.4</v>
          </cell>
        </row>
        <row r="20">
          <cell r="B20">
            <v>0.45</v>
          </cell>
        </row>
        <row r="24">
          <cell r="C24">
            <v>0.05</v>
          </cell>
        </row>
        <row r="26">
          <cell r="C26">
            <v>0.5</v>
          </cell>
        </row>
      </sheetData>
      <sheetData sheetId="3"/>
      <sheetData sheetId="4"/>
      <sheetData sheetId="5">
        <row r="8">
          <cell r="B8">
            <v>1.1000000000000001</v>
          </cell>
        </row>
      </sheetData>
      <sheetData sheetId="6"/>
      <sheetData sheetId="7"/>
      <sheetData sheetId="8"/>
      <sheetData sheetId="9"/>
      <sheetData sheetId="10"/>
      <sheetData sheetId="11">
        <row r="8">
          <cell r="B8">
            <v>1.1000000000000001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 Immeuble Type D "/>
      <sheetName val="RECAPE Imm Type D - GO"/>
      <sheetName val="Hypothèses générales"/>
      <sheetName val="DETAI_Immeuble_Type_D_"/>
      <sheetName val="RECAPE_Imm_Type_D_-_GO"/>
      <sheetName val="Hypothèses_générales"/>
      <sheetName val="DETAI_Immeuble_Type_D_1"/>
      <sheetName val="RECAPE_Imm_Type_D_-_GO1"/>
      <sheetName val="Hypothèses_générales1"/>
    </sheetNames>
    <sheetDataSet>
      <sheetData sheetId="0" refreshError="1"/>
      <sheetData sheetId="1" refreshError="1"/>
      <sheetData sheetId="2" refreshError="1">
        <row r="8">
          <cell r="B8">
            <v>1.1000000000000001</v>
          </cell>
        </row>
        <row r="9">
          <cell r="B9">
            <v>1.1000000000000001</v>
          </cell>
        </row>
        <row r="18">
          <cell r="B18">
            <v>0.4</v>
          </cell>
        </row>
        <row r="20">
          <cell r="B20">
            <v>0.45</v>
          </cell>
        </row>
        <row r="24">
          <cell r="C24">
            <v>0.05</v>
          </cell>
        </row>
        <row r="26">
          <cell r="C26">
            <v>0.5</v>
          </cell>
        </row>
      </sheetData>
      <sheetData sheetId="3"/>
      <sheetData sheetId="4"/>
      <sheetData sheetId="5">
        <row r="8">
          <cell r="B8">
            <v>1.1000000000000001</v>
          </cell>
        </row>
      </sheetData>
      <sheetData sheetId="6"/>
      <sheetData sheetId="7"/>
      <sheetData sheetId="8">
        <row r="8">
          <cell r="B8">
            <v>1.1000000000000001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INDEX"/>
      <sheetName val="REVISION"/>
      <sheetName val="FACTURE"/>
      <sheetName val="DPn°15"/>
      <sheetName val="ETANCH"/>
      <sheetName val="REV"/>
      <sheetName val="ENDUIT"/>
      <sheetName val="Cloison"/>
      <sheetName val="RECAP.FDT"/>
      <sheetName val="RECAPELV"/>
      <sheetName val="Assai"/>
      <sheetName val="Pa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"/>
      <sheetName val="TAMGHART"/>
      <sheetName val="Notes"/>
      <sheetName val="SDP OFFRE"/>
      <sheetName val="TRESORERIE"/>
      <sheetName val="DE"/>
      <sheetName val="OUVRAGES DR"/>
      <sheetName val="Taux Horaire du Matériel"/>
      <sheetName val="SPECIFIQUES"/>
      <sheetName val="INSTALLATIONS"/>
      <sheetName val="Déboursés Unitaires"/>
      <sheetName val="Prix élémentaires"/>
      <sheetName val="Recap"/>
      <sheetName val="Bouclage"/>
      <sheetName val="Marge"/>
      <sheetName val="Fraisgénéraux"/>
      <sheetName val="Personnelindivis"/>
      <sheetName val="Matériel Indivis"/>
      <sheetName val="Fraisfixes"/>
    </sheetNames>
    <sheetDataSet>
      <sheetData sheetId="0"/>
      <sheetData sheetId="1"/>
      <sheetData sheetId="2" refreshError="1">
        <row r="2">
          <cell r="A2">
            <v>39503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.P1"/>
      <sheetName val="S.P2"/>
      <sheetName val="S.P3"/>
      <sheetName val="S.P4"/>
      <sheetName val="S.P5"/>
      <sheetName val="S.P6"/>
      <sheetName val="Feuil1"/>
      <sheetName val="Feuil2"/>
      <sheetName val="Feuil3"/>
      <sheetName val="Macro-cons"/>
      <sheetName val="Macro-Epaisseur"/>
      <sheetName val="Macro-Hardy-Cross"/>
      <sheetName val="Macro-Long"/>
      <sheetName val="Macro-Newton"/>
      <sheetName val="Macro-Pression"/>
      <sheetName val="S_P1"/>
      <sheetName val="S_P2"/>
      <sheetName val="S_P3"/>
      <sheetName val="S_P4"/>
      <sheetName val="S_P5"/>
      <sheetName val="S_P6"/>
      <sheetName val="S_P11"/>
      <sheetName val="S_P21"/>
      <sheetName val="S_P31"/>
      <sheetName val="S_P41"/>
      <sheetName val="S_P51"/>
      <sheetName val="S_P61"/>
      <sheetName val="Macro-Diam-interne"/>
      <sheetName val="Macro-Dexterne"/>
      <sheetName val="Macro-press"/>
      <sheetName val="Macro-colbrook"/>
      <sheetName val="Ancien SP"/>
      <sheetName val="S_P12"/>
      <sheetName val="S_P22"/>
      <sheetName val="S_P32"/>
      <sheetName val="S_P42"/>
      <sheetName val="S_P52"/>
      <sheetName val="S_P62"/>
      <sheetName val="S_P13"/>
      <sheetName val="S_P23"/>
      <sheetName val="S_P33"/>
      <sheetName val="S_P43"/>
      <sheetName val="S_P53"/>
      <sheetName val="S_P63"/>
      <sheetName val="S_P14"/>
      <sheetName val="S_P24"/>
      <sheetName val="S_P34"/>
      <sheetName val="S_P44"/>
      <sheetName val="S_P54"/>
      <sheetName val="S_P64"/>
      <sheetName val="S_P15"/>
      <sheetName val="S_P25"/>
      <sheetName val="S_P35"/>
      <sheetName val="S_P45"/>
      <sheetName val="S_P55"/>
      <sheetName val="S_P65"/>
      <sheetName val="S_P16"/>
      <sheetName val="S_P26"/>
      <sheetName val="S_P36"/>
      <sheetName val="S_P46"/>
      <sheetName val="S_P56"/>
      <sheetName val="S_P66"/>
      <sheetName val="S_P17"/>
      <sheetName val="S_P27"/>
      <sheetName val="S_P37"/>
      <sheetName val="S_P47"/>
      <sheetName val="S_P57"/>
      <sheetName val="S_P67"/>
      <sheetName val="S_P18"/>
      <sheetName val="S_P28"/>
      <sheetName val="S_P38"/>
      <sheetName val="S_P48"/>
      <sheetName val="S_P58"/>
      <sheetName val="S_P68"/>
      <sheetName val="Ancien_SP"/>
      <sheetName val="S_P19"/>
      <sheetName val="S_P29"/>
      <sheetName val="S_P39"/>
      <sheetName val="S_P49"/>
      <sheetName val="S_P59"/>
      <sheetName val="S_P69"/>
      <sheetName val="S_P110"/>
      <sheetName val="S_P210"/>
      <sheetName val="S_P310"/>
      <sheetName val="S_P410"/>
      <sheetName val="S_P510"/>
      <sheetName val="S_P610"/>
      <sheetName val="S_P111"/>
      <sheetName val="S_P211"/>
      <sheetName val="S_P311"/>
      <sheetName val="S_P411"/>
      <sheetName val="S_P511"/>
      <sheetName val="S_P611"/>
      <sheetName val="S_P112"/>
      <sheetName val="S_P212"/>
      <sheetName val="S_P312"/>
      <sheetName val="S_P412"/>
      <sheetName val="S_P512"/>
      <sheetName val="S_P612"/>
      <sheetName val="S_P113"/>
      <sheetName val="S_P213"/>
      <sheetName val="S_P313"/>
      <sheetName val="S_P413"/>
      <sheetName val="S_P513"/>
      <sheetName val="S_P613"/>
      <sheetName val="S_P114"/>
      <sheetName val="S_P214"/>
      <sheetName val="S_P314"/>
      <sheetName val="S_P414"/>
      <sheetName val="S_P514"/>
      <sheetName val="S_P614"/>
      <sheetName val="S_P115"/>
      <sheetName val="S_P215"/>
      <sheetName val="S_P315"/>
      <sheetName val="S_P415"/>
      <sheetName val="S_P515"/>
      <sheetName val="S_P615"/>
      <sheetName val="S_P116"/>
      <sheetName val="S_P216"/>
      <sheetName val="S_P316"/>
      <sheetName val="S_P416"/>
      <sheetName val="S_P516"/>
      <sheetName val="S_P616"/>
      <sheetName val="S_P117"/>
      <sheetName val="S_P217"/>
      <sheetName val="S_P317"/>
      <sheetName val="S_P417"/>
      <sheetName val="S_P517"/>
      <sheetName val="S_P617"/>
      <sheetName val="S_P118"/>
      <sheetName val="S_P218"/>
      <sheetName val="S_P318"/>
      <sheetName val="S_P418"/>
      <sheetName val="S_P518"/>
      <sheetName val="S_P618"/>
      <sheetName val="S_P119"/>
      <sheetName val="S_P219"/>
      <sheetName val="S_P319"/>
      <sheetName val="S_P419"/>
      <sheetName val="S_P519"/>
      <sheetName val="S_P619"/>
      <sheetName val="S_P120"/>
      <sheetName val="S_P220"/>
      <sheetName val="S_P320"/>
      <sheetName val="S_P420"/>
      <sheetName val="S_P520"/>
      <sheetName val="S_P620"/>
      <sheetName val="Ancien_SP1"/>
      <sheetName val="RE SEV 50"/>
      <sheetName val="BacheSR3NZ"/>
      <sheetName val="S_P123"/>
      <sheetName val="S_P223"/>
      <sheetName val="S_P323"/>
      <sheetName val="S_P423"/>
      <sheetName val="S_P523"/>
      <sheetName val="S_P623"/>
      <sheetName val="Ancien_SP4"/>
      <sheetName val="S_P122"/>
      <sheetName val="S_P222"/>
      <sheetName val="S_P322"/>
      <sheetName val="S_P422"/>
      <sheetName val="S_P522"/>
      <sheetName val="S_P622"/>
      <sheetName val="Ancien_SP3"/>
      <sheetName val="S_P121"/>
      <sheetName val="S_P221"/>
      <sheetName val="S_P321"/>
      <sheetName val="S_P421"/>
      <sheetName val="S_P521"/>
      <sheetName val="S_P621"/>
      <sheetName val="Ancien_SP2"/>
      <sheetName val="S_P124"/>
      <sheetName val="S_P224"/>
      <sheetName val="S_P324"/>
      <sheetName val="S_P424"/>
      <sheetName val="S_P524"/>
      <sheetName val="S_P624"/>
      <sheetName val="Ancien_SP5"/>
      <sheetName val="S_P125"/>
      <sheetName val="S_P225"/>
      <sheetName val="S_P325"/>
      <sheetName val="S_P425"/>
      <sheetName val="S_P525"/>
      <sheetName val="S_P625"/>
      <sheetName val="Ancien_SP6"/>
      <sheetName val="S_P126"/>
      <sheetName val="S_P226"/>
      <sheetName val="S_P326"/>
      <sheetName val="S_P426"/>
      <sheetName val="S_P526"/>
      <sheetName val="S_P626"/>
      <sheetName val="Ancien_SP7"/>
      <sheetName val="Dimension INF PERC"/>
      <sheetName val="Feuil9"/>
      <sheetName val="Bache"/>
      <sheetName val="Fourniture"/>
      <sheetName val="Ancien_SP8"/>
      <sheetName val="Ancien_SP9"/>
      <sheetName val="Ancien_SP11"/>
      <sheetName val="Ancien_SP10"/>
      <sheetName val="Ancien_SP12"/>
      <sheetName val="Ancien_SP13"/>
      <sheetName val="Ancien_SP14"/>
      <sheetName val="Ancien_SP15"/>
      <sheetName val="S_P132"/>
      <sheetName val="S_P232"/>
      <sheetName val="S_P332"/>
      <sheetName val="S_P432"/>
      <sheetName val="S_P532"/>
      <sheetName val="S_P632"/>
      <sheetName val="RE_SEV_503"/>
      <sheetName val="S_P127"/>
      <sheetName val="S_P227"/>
      <sheetName val="S_P327"/>
      <sheetName val="S_P427"/>
      <sheetName val="S_P527"/>
      <sheetName val="S_P627"/>
      <sheetName val="RE_SEV_50"/>
      <sheetName val="S_P128"/>
      <sheetName val="S_P228"/>
      <sheetName val="S_P328"/>
      <sheetName val="S_P428"/>
      <sheetName val="S_P528"/>
      <sheetName val="S_P628"/>
      <sheetName val="S_P129"/>
      <sheetName val="S_P229"/>
      <sheetName val="S_P329"/>
      <sheetName val="S_P429"/>
      <sheetName val="S_P529"/>
      <sheetName val="S_P629"/>
      <sheetName val="RE_SEV_501"/>
      <sheetName val="S_P131"/>
      <sheetName val="S_P231"/>
      <sheetName val="S_P331"/>
      <sheetName val="S_P431"/>
      <sheetName val="S_P531"/>
      <sheetName val="S_P631"/>
      <sheetName val="S_P130"/>
      <sheetName val="S_P230"/>
      <sheetName val="S_P330"/>
      <sheetName val="S_P430"/>
      <sheetName val="S_P530"/>
      <sheetName val="S_P630"/>
      <sheetName val="RE_SEV_502"/>
      <sheetName val="Z.Fnche"/>
      <sheetName val="S_P133"/>
      <sheetName val="S_P233"/>
      <sheetName val="S_P333"/>
      <sheetName val="S_P433"/>
      <sheetName val="S_P533"/>
      <sheetName val="S_P633"/>
      <sheetName val="RE_SEV_505"/>
      <sheetName val="Dimension_INF_PERC2"/>
      <sheetName val="Dimension_INF_PERC"/>
      <sheetName val="RE_SEV_504"/>
      <sheetName val="Dimension_INF_PERC1"/>
      <sheetName val="S_P134"/>
      <sheetName val="S_P234"/>
      <sheetName val="S_P334"/>
      <sheetName val="S_P434"/>
      <sheetName val="S_P534"/>
      <sheetName val="S_P634"/>
      <sheetName val="DESC_ILOT9"/>
      <sheetName val="DESC_ILOT10"/>
      <sheetName val="DESC_ILOT9-10 "/>
      <sheetName val="DESC_ILOT9-10 160409"/>
      <sheetName val="PU"/>
      <sheetName val="bord.elec.annasr"/>
      <sheetName val="Dimension_INF_PERC3"/>
      <sheetName val="Dimension_INF_PERC4"/>
      <sheetName val="Dimension_INF_PERC5"/>
      <sheetName val="Z_Fnche"/>
      <sheetName val="Dimension_INF_PERC6"/>
      <sheetName val="Z_Fnche1"/>
      <sheetName val="S_P135"/>
      <sheetName val="S_P235"/>
      <sheetName val="S_P335"/>
      <sheetName val="S_P435"/>
      <sheetName val="S_P535"/>
      <sheetName val="S_P635"/>
      <sheetName val="Ancien_SP16"/>
      <sheetName val="RE_SEV_506"/>
      <sheetName val="S_P136"/>
      <sheetName val="S_P236"/>
      <sheetName val="S_P336"/>
      <sheetName val="S_P436"/>
      <sheetName val="S_P536"/>
      <sheetName val="S_P636"/>
      <sheetName val="Ancien_SP17"/>
      <sheetName val="RE_SEV_507"/>
      <sheetName val="S_P137"/>
      <sheetName val="S_P237"/>
      <sheetName val="S_P337"/>
      <sheetName val="S_P437"/>
      <sheetName val="S_P537"/>
      <sheetName val="S_P637"/>
      <sheetName val="Ancien_SP18"/>
      <sheetName val="RE_SEV_508"/>
      <sheetName val="linéaire"/>
      <sheetName val="groupe 2 b-a"/>
      <sheetName val="lot 7 elec"/>
      <sheetName val=""/>
    </sheetNames>
    <sheetDataSet>
      <sheetData sheetId="0" refreshError="1">
        <row r="7">
          <cell r="E7" t="str">
            <v>Dirhams</v>
          </cell>
          <cell r="F7" t="str">
            <v>Yens</v>
          </cell>
          <cell r="G7" t="str">
            <v>Dirhams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7">
          <cell r="E7" t="str">
            <v>Dirhams</v>
          </cell>
        </row>
      </sheetData>
      <sheetData sheetId="69">
        <row r="7">
          <cell r="E7" t="str">
            <v>Dirhams</v>
          </cell>
        </row>
      </sheetData>
      <sheetData sheetId="70">
        <row r="7">
          <cell r="E7" t="str">
            <v>Dirhams</v>
          </cell>
        </row>
      </sheetData>
      <sheetData sheetId="71">
        <row r="7">
          <cell r="E7" t="str">
            <v>Dirhams</v>
          </cell>
        </row>
      </sheetData>
      <sheetData sheetId="72">
        <row r="7">
          <cell r="E7" t="str">
            <v>Dirhams</v>
          </cell>
        </row>
      </sheetData>
      <sheetData sheetId="73">
        <row r="7">
          <cell r="E7" t="str">
            <v>Dirhams</v>
          </cell>
        </row>
      </sheetData>
      <sheetData sheetId="74">
        <row r="7">
          <cell r="E7" t="str">
            <v>Dirhams</v>
          </cell>
        </row>
      </sheetData>
      <sheetData sheetId="75">
        <row r="7">
          <cell r="E7" t="str">
            <v>Dirhams</v>
          </cell>
        </row>
      </sheetData>
      <sheetData sheetId="76">
        <row r="7">
          <cell r="E7" t="str">
            <v>Dirhams</v>
          </cell>
        </row>
      </sheetData>
      <sheetData sheetId="77">
        <row r="7">
          <cell r="E7" t="str">
            <v>Dirhams</v>
          </cell>
        </row>
      </sheetData>
      <sheetData sheetId="78">
        <row r="7">
          <cell r="E7" t="str">
            <v>Dirhams</v>
          </cell>
        </row>
      </sheetData>
      <sheetData sheetId="79">
        <row r="7">
          <cell r="E7" t="str">
            <v>Dirhams</v>
          </cell>
        </row>
      </sheetData>
      <sheetData sheetId="80">
        <row r="7">
          <cell r="E7" t="str">
            <v>Dirhams</v>
          </cell>
        </row>
      </sheetData>
      <sheetData sheetId="81">
        <row r="7">
          <cell r="E7" t="str">
            <v>Dirhams</v>
          </cell>
        </row>
      </sheetData>
      <sheetData sheetId="82">
        <row r="7">
          <cell r="E7" t="str">
            <v>Dirhams</v>
          </cell>
        </row>
      </sheetData>
      <sheetData sheetId="83">
        <row r="7">
          <cell r="E7" t="str">
            <v>Dirhams</v>
          </cell>
        </row>
      </sheetData>
      <sheetData sheetId="84">
        <row r="7">
          <cell r="E7" t="str">
            <v>Dirhams</v>
          </cell>
        </row>
      </sheetData>
      <sheetData sheetId="85">
        <row r="7">
          <cell r="E7" t="str">
            <v>Dirhams</v>
          </cell>
        </row>
      </sheetData>
      <sheetData sheetId="86">
        <row r="7">
          <cell r="E7" t="str">
            <v>Dirhams</v>
          </cell>
        </row>
      </sheetData>
      <sheetData sheetId="87">
        <row r="7">
          <cell r="E7" t="str">
            <v>Dirhams</v>
          </cell>
        </row>
      </sheetData>
      <sheetData sheetId="88">
        <row r="7">
          <cell r="E7" t="str">
            <v>Dirhams</v>
          </cell>
        </row>
      </sheetData>
      <sheetData sheetId="89">
        <row r="7">
          <cell r="E7" t="str">
            <v>Dirhams</v>
          </cell>
        </row>
      </sheetData>
      <sheetData sheetId="90">
        <row r="7">
          <cell r="E7" t="str">
            <v>Dirhams</v>
          </cell>
        </row>
      </sheetData>
      <sheetData sheetId="91">
        <row r="7">
          <cell r="E7" t="str">
            <v>Dirhams</v>
          </cell>
        </row>
      </sheetData>
      <sheetData sheetId="92">
        <row r="7">
          <cell r="E7" t="str">
            <v>Dirhams</v>
          </cell>
        </row>
      </sheetData>
      <sheetData sheetId="93">
        <row r="7">
          <cell r="E7" t="str">
            <v>Dirhams</v>
          </cell>
        </row>
      </sheetData>
      <sheetData sheetId="94">
        <row r="7">
          <cell r="E7" t="str">
            <v>Dirhams</v>
          </cell>
        </row>
      </sheetData>
      <sheetData sheetId="95">
        <row r="7">
          <cell r="E7" t="str">
            <v>Dirhams</v>
          </cell>
        </row>
      </sheetData>
      <sheetData sheetId="96">
        <row r="7">
          <cell r="E7" t="str">
            <v>Dirhams</v>
          </cell>
        </row>
      </sheetData>
      <sheetData sheetId="97">
        <row r="7">
          <cell r="E7" t="str">
            <v>Dirhams</v>
          </cell>
        </row>
      </sheetData>
      <sheetData sheetId="98">
        <row r="7">
          <cell r="E7" t="str">
            <v>Dirhams</v>
          </cell>
        </row>
      </sheetData>
      <sheetData sheetId="99">
        <row r="7">
          <cell r="E7" t="str">
            <v>Dirhams</v>
          </cell>
        </row>
      </sheetData>
      <sheetData sheetId="100">
        <row r="7">
          <cell r="E7" t="str">
            <v>Dirhams</v>
          </cell>
        </row>
      </sheetData>
      <sheetData sheetId="101">
        <row r="7">
          <cell r="E7" t="str">
            <v>Dirhams</v>
          </cell>
        </row>
      </sheetData>
      <sheetData sheetId="102">
        <row r="7">
          <cell r="E7" t="str">
            <v>Dirhams</v>
          </cell>
        </row>
      </sheetData>
      <sheetData sheetId="103">
        <row r="7">
          <cell r="E7" t="str">
            <v>Dirhams</v>
          </cell>
        </row>
      </sheetData>
      <sheetData sheetId="104">
        <row r="7">
          <cell r="E7" t="str">
            <v>Dirhams</v>
          </cell>
        </row>
      </sheetData>
      <sheetData sheetId="105">
        <row r="7">
          <cell r="E7" t="str">
            <v>Dirhams</v>
          </cell>
        </row>
      </sheetData>
      <sheetData sheetId="106">
        <row r="7">
          <cell r="E7" t="str">
            <v>Dirhams</v>
          </cell>
        </row>
      </sheetData>
      <sheetData sheetId="107">
        <row r="7">
          <cell r="E7" t="str">
            <v>Dirhams</v>
          </cell>
        </row>
      </sheetData>
      <sheetData sheetId="108">
        <row r="7">
          <cell r="E7" t="str">
            <v>Dirhams</v>
          </cell>
        </row>
      </sheetData>
      <sheetData sheetId="109">
        <row r="7">
          <cell r="E7" t="str">
            <v>Dirhams</v>
          </cell>
        </row>
      </sheetData>
      <sheetData sheetId="110">
        <row r="7">
          <cell r="E7" t="str">
            <v>Dirhams</v>
          </cell>
        </row>
      </sheetData>
      <sheetData sheetId="111">
        <row r="7">
          <cell r="E7" t="str">
            <v>Dirhams</v>
          </cell>
        </row>
      </sheetData>
      <sheetData sheetId="112">
        <row r="7">
          <cell r="E7" t="str">
            <v>Dirhams</v>
          </cell>
        </row>
      </sheetData>
      <sheetData sheetId="113">
        <row r="7">
          <cell r="E7" t="str">
            <v>Dirhams</v>
          </cell>
        </row>
      </sheetData>
      <sheetData sheetId="114">
        <row r="7">
          <cell r="E7" t="str">
            <v>Dirhams</v>
          </cell>
        </row>
      </sheetData>
      <sheetData sheetId="115">
        <row r="7">
          <cell r="E7" t="str">
            <v>Dirhams</v>
          </cell>
        </row>
      </sheetData>
      <sheetData sheetId="116">
        <row r="7">
          <cell r="E7" t="str">
            <v>Dirhams</v>
          </cell>
        </row>
      </sheetData>
      <sheetData sheetId="117">
        <row r="7">
          <cell r="E7" t="str">
            <v>Dirhams</v>
          </cell>
        </row>
      </sheetData>
      <sheetData sheetId="118">
        <row r="7">
          <cell r="E7" t="str">
            <v>Dirhams</v>
          </cell>
        </row>
      </sheetData>
      <sheetData sheetId="119">
        <row r="7">
          <cell r="E7" t="str">
            <v>Dirhams</v>
          </cell>
        </row>
      </sheetData>
      <sheetData sheetId="120">
        <row r="7">
          <cell r="E7" t="str">
            <v>Dirhams</v>
          </cell>
        </row>
      </sheetData>
      <sheetData sheetId="121">
        <row r="7">
          <cell r="E7" t="str">
            <v>Dirhams</v>
          </cell>
        </row>
      </sheetData>
      <sheetData sheetId="122">
        <row r="7">
          <cell r="E7" t="str">
            <v>Dirhams</v>
          </cell>
        </row>
      </sheetData>
      <sheetData sheetId="123">
        <row r="7">
          <cell r="E7" t="str">
            <v>Dirhams</v>
          </cell>
        </row>
      </sheetData>
      <sheetData sheetId="124">
        <row r="7">
          <cell r="E7" t="str">
            <v>Dirhams</v>
          </cell>
        </row>
      </sheetData>
      <sheetData sheetId="125">
        <row r="7">
          <cell r="E7" t="str">
            <v>Dirhams</v>
          </cell>
        </row>
      </sheetData>
      <sheetData sheetId="126">
        <row r="7">
          <cell r="E7" t="str">
            <v>Dirhams</v>
          </cell>
        </row>
      </sheetData>
      <sheetData sheetId="127">
        <row r="7">
          <cell r="E7" t="str">
            <v>Dirhams</v>
          </cell>
        </row>
      </sheetData>
      <sheetData sheetId="128">
        <row r="7">
          <cell r="E7" t="str">
            <v>Dirhams</v>
          </cell>
        </row>
      </sheetData>
      <sheetData sheetId="129">
        <row r="7">
          <cell r="E7" t="str">
            <v>Dirhams</v>
          </cell>
        </row>
      </sheetData>
      <sheetData sheetId="130">
        <row r="7">
          <cell r="E7" t="str">
            <v>Dirhams</v>
          </cell>
        </row>
      </sheetData>
      <sheetData sheetId="131">
        <row r="7">
          <cell r="E7" t="str">
            <v>Dirhams</v>
          </cell>
        </row>
      </sheetData>
      <sheetData sheetId="132">
        <row r="7">
          <cell r="E7" t="str">
            <v>Dirhams</v>
          </cell>
        </row>
      </sheetData>
      <sheetData sheetId="133">
        <row r="7">
          <cell r="E7" t="str">
            <v>Dirhams</v>
          </cell>
        </row>
      </sheetData>
      <sheetData sheetId="134">
        <row r="7">
          <cell r="E7" t="str">
            <v>Dirhams</v>
          </cell>
        </row>
      </sheetData>
      <sheetData sheetId="135">
        <row r="7">
          <cell r="E7" t="str">
            <v>Dirhams</v>
          </cell>
        </row>
      </sheetData>
      <sheetData sheetId="136">
        <row r="7">
          <cell r="E7" t="str">
            <v>Dirhams</v>
          </cell>
        </row>
      </sheetData>
      <sheetData sheetId="137">
        <row r="7">
          <cell r="E7" t="str">
            <v>Dirhams</v>
          </cell>
        </row>
      </sheetData>
      <sheetData sheetId="138">
        <row r="7">
          <cell r="E7" t="str">
            <v>Dirhams</v>
          </cell>
        </row>
      </sheetData>
      <sheetData sheetId="139">
        <row r="7">
          <cell r="E7" t="str">
            <v>Dirhams</v>
          </cell>
        </row>
      </sheetData>
      <sheetData sheetId="140">
        <row r="7">
          <cell r="E7" t="str">
            <v>Dirhams</v>
          </cell>
        </row>
      </sheetData>
      <sheetData sheetId="141">
        <row r="7">
          <cell r="E7" t="str">
            <v>Dirhams</v>
          </cell>
        </row>
      </sheetData>
      <sheetData sheetId="142">
        <row r="7">
          <cell r="E7" t="str">
            <v>Dirhams</v>
          </cell>
        </row>
      </sheetData>
      <sheetData sheetId="143">
        <row r="7">
          <cell r="E7" t="str">
            <v>Dirhams</v>
          </cell>
        </row>
      </sheetData>
      <sheetData sheetId="144">
        <row r="7">
          <cell r="E7" t="str">
            <v>Dirhams</v>
          </cell>
        </row>
      </sheetData>
      <sheetData sheetId="145">
        <row r="7">
          <cell r="E7" t="str">
            <v>Dirhams</v>
          </cell>
        </row>
      </sheetData>
      <sheetData sheetId="146">
        <row r="7">
          <cell r="E7" t="str">
            <v>Dirhams</v>
          </cell>
        </row>
      </sheetData>
      <sheetData sheetId="147">
        <row r="7">
          <cell r="E7" t="str">
            <v>Dirhams</v>
          </cell>
        </row>
      </sheetData>
      <sheetData sheetId="148" refreshError="1"/>
      <sheetData sheetId="149" refreshError="1"/>
      <sheetData sheetId="150">
        <row r="7">
          <cell r="E7" t="str">
            <v>Dirhams</v>
          </cell>
        </row>
      </sheetData>
      <sheetData sheetId="151">
        <row r="7">
          <cell r="E7" t="str">
            <v>Dirhams</v>
          </cell>
        </row>
      </sheetData>
      <sheetData sheetId="152">
        <row r="7">
          <cell r="E7" t="str">
            <v>Dirhams</v>
          </cell>
        </row>
      </sheetData>
      <sheetData sheetId="153">
        <row r="7">
          <cell r="E7" t="str">
            <v>Dirhams</v>
          </cell>
        </row>
      </sheetData>
      <sheetData sheetId="154">
        <row r="7">
          <cell r="E7" t="str">
            <v>Dirhams</v>
          </cell>
        </row>
      </sheetData>
      <sheetData sheetId="155">
        <row r="7">
          <cell r="E7" t="str">
            <v>Dirhams</v>
          </cell>
        </row>
      </sheetData>
      <sheetData sheetId="156">
        <row r="7">
          <cell r="E7" t="str">
            <v>Dirhams</v>
          </cell>
        </row>
      </sheetData>
      <sheetData sheetId="157">
        <row r="7">
          <cell r="E7" t="str">
            <v>Dirhams</v>
          </cell>
        </row>
      </sheetData>
      <sheetData sheetId="158">
        <row r="7">
          <cell r="E7" t="str">
            <v>Dirhams</v>
          </cell>
        </row>
      </sheetData>
      <sheetData sheetId="159">
        <row r="7">
          <cell r="E7" t="str">
            <v>Dirhams</v>
          </cell>
        </row>
      </sheetData>
      <sheetData sheetId="160">
        <row r="7">
          <cell r="E7" t="str">
            <v>Dirhams</v>
          </cell>
        </row>
      </sheetData>
      <sheetData sheetId="161">
        <row r="7">
          <cell r="E7" t="str">
            <v>Dirhams</v>
          </cell>
        </row>
      </sheetData>
      <sheetData sheetId="162">
        <row r="7">
          <cell r="E7" t="str">
            <v>Dirhams</v>
          </cell>
        </row>
      </sheetData>
      <sheetData sheetId="163">
        <row r="7">
          <cell r="E7" t="str">
            <v>Dirhams</v>
          </cell>
        </row>
      </sheetData>
      <sheetData sheetId="164">
        <row r="7">
          <cell r="E7" t="str">
            <v>Dirhams</v>
          </cell>
        </row>
      </sheetData>
      <sheetData sheetId="165">
        <row r="7">
          <cell r="E7" t="str">
            <v>Dirhams</v>
          </cell>
        </row>
      </sheetData>
      <sheetData sheetId="166">
        <row r="7">
          <cell r="E7" t="str">
            <v>Dirhams</v>
          </cell>
        </row>
      </sheetData>
      <sheetData sheetId="167">
        <row r="7">
          <cell r="E7" t="str">
            <v>Dirhams</v>
          </cell>
        </row>
      </sheetData>
      <sheetData sheetId="168">
        <row r="7">
          <cell r="E7" t="str">
            <v>Dirhams</v>
          </cell>
        </row>
      </sheetData>
      <sheetData sheetId="169">
        <row r="7">
          <cell r="E7" t="str">
            <v>Dirhams</v>
          </cell>
        </row>
      </sheetData>
      <sheetData sheetId="170">
        <row r="7">
          <cell r="E7" t="str">
            <v>Dirhams</v>
          </cell>
        </row>
      </sheetData>
      <sheetData sheetId="171">
        <row r="7">
          <cell r="E7" t="str">
            <v>Dirhams</v>
          </cell>
        </row>
      </sheetData>
      <sheetData sheetId="172">
        <row r="7">
          <cell r="E7" t="str">
            <v>Dirhams</v>
          </cell>
        </row>
      </sheetData>
      <sheetData sheetId="173">
        <row r="7">
          <cell r="E7" t="str">
            <v>Dirhams</v>
          </cell>
        </row>
      </sheetData>
      <sheetData sheetId="174">
        <row r="7">
          <cell r="E7" t="str">
            <v>Dirhams</v>
          </cell>
        </row>
      </sheetData>
      <sheetData sheetId="175">
        <row r="7">
          <cell r="E7" t="str">
            <v>Dirhams</v>
          </cell>
        </row>
      </sheetData>
      <sheetData sheetId="176">
        <row r="7">
          <cell r="E7" t="str">
            <v>Dirhams</v>
          </cell>
        </row>
      </sheetData>
      <sheetData sheetId="177">
        <row r="7">
          <cell r="E7" t="str">
            <v>Dirhams</v>
          </cell>
        </row>
      </sheetData>
      <sheetData sheetId="178">
        <row r="7">
          <cell r="E7" t="str">
            <v>Dirhams</v>
          </cell>
        </row>
      </sheetData>
      <sheetData sheetId="179">
        <row r="7">
          <cell r="E7" t="str">
            <v>Dirhams</v>
          </cell>
        </row>
      </sheetData>
      <sheetData sheetId="180">
        <row r="7">
          <cell r="E7" t="str">
            <v>Dirhams</v>
          </cell>
        </row>
      </sheetData>
      <sheetData sheetId="181">
        <row r="7">
          <cell r="E7" t="str">
            <v>Dirhams</v>
          </cell>
        </row>
      </sheetData>
      <sheetData sheetId="182">
        <row r="7">
          <cell r="E7" t="str">
            <v>Dirhams</v>
          </cell>
        </row>
      </sheetData>
      <sheetData sheetId="183">
        <row r="7">
          <cell r="E7" t="str">
            <v>Dirhams</v>
          </cell>
        </row>
      </sheetData>
      <sheetData sheetId="184">
        <row r="7">
          <cell r="E7" t="str">
            <v>Dirhams</v>
          </cell>
        </row>
      </sheetData>
      <sheetData sheetId="185">
        <row r="7">
          <cell r="E7" t="str">
            <v>Dirhams</v>
          </cell>
        </row>
      </sheetData>
      <sheetData sheetId="186">
        <row r="7">
          <cell r="E7" t="str">
            <v>Dirhams</v>
          </cell>
        </row>
      </sheetData>
      <sheetData sheetId="187">
        <row r="7">
          <cell r="E7" t="str">
            <v>Dirhams</v>
          </cell>
        </row>
      </sheetData>
      <sheetData sheetId="188">
        <row r="7">
          <cell r="E7" t="str">
            <v>Dirhams</v>
          </cell>
        </row>
      </sheetData>
      <sheetData sheetId="189">
        <row r="7">
          <cell r="E7" t="str">
            <v>Dirhams</v>
          </cell>
        </row>
      </sheetData>
      <sheetData sheetId="190">
        <row r="7">
          <cell r="E7" t="str">
            <v>Dirhams</v>
          </cell>
        </row>
      </sheetData>
      <sheetData sheetId="191">
        <row r="7">
          <cell r="E7" t="str">
            <v>Dirhams</v>
          </cell>
        </row>
      </sheetData>
      <sheetData sheetId="192" refreshError="1"/>
      <sheetData sheetId="193"/>
      <sheetData sheetId="194" refreshError="1"/>
      <sheetData sheetId="195"/>
      <sheetData sheetId="196"/>
      <sheetData sheetId="197">
        <row r="7">
          <cell r="E7" t="str">
            <v>Dirhams</v>
          </cell>
        </row>
      </sheetData>
      <sheetData sheetId="198">
        <row r="7">
          <cell r="E7" t="str">
            <v>Dirhams</v>
          </cell>
        </row>
      </sheetData>
      <sheetData sheetId="199">
        <row r="7">
          <cell r="E7" t="str">
            <v>Dirhams</v>
          </cell>
        </row>
      </sheetData>
      <sheetData sheetId="200">
        <row r="7">
          <cell r="E7" t="str">
            <v>Dirhams</v>
          </cell>
        </row>
      </sheetData>
      <sheetData sheetId="201">
        <row r="7">
          <cell r="E7" t="str">
            <v>Dirhams</v>
          </cell>
        </row>
      </sheetData>
      <sheetData sheetId="202">
        <row r="7">
          <cell r="E7" t="str">
            <v>Dirhams</v>
          </cell>
        </row>
      </sheetData>
      <sheetData sheetId="203"/>
      <sheetData sheetId="204">
        <row r="7">
          <cell r="E7" t="str">
            <v>Dirhams</v>
          </cell>
        </row>
      </sheetData>
      <sheetData sheetId="205">
        <row r="7">
          <cell r="E7" t="str">
            <v>Dirhams</v>
          </cell>
        </row>
      </sheetData>
      <sheetData sheetId="206">
        <row r="7">
          <cell r="E7" t="str">
            <v>Dirhams</v>
          </cell>
        </row>
      </sheetData>
      <sheetData sheetId="207"/>
      <sheetData sheetId="208"/>
      <sheetData sheetId="209"/>
      <sheetData sheetId="210">
        <row r="7">
          <cell r="E7" t="str">
            <v>Dirhams</v>
          </cell>
        </row>
      </sheetData>
      <sheetData sheetId="211">
        <row r="7">
          <cell r="E7" t="str">
            <v>Dirhams</v>
          </cell>
        </row>
      </sheetData>
      <sheetData sheetId="212">
        <row r="7">
          <cell r="E7" t="str">
            <v>Dirhams</v>
          </cell>
        </row>
      </sheetData>
      <sheetData sheetId="213">
        <row r="7">
          <cell r="E7" t="str">
            <v>Dirhams</v>
          </cell>
        </row>
      </sheetData>
      <sheetData sheetId="214">
        <row r="7">
          <cell r="E7" t="str">
            <v>Dirhams</v>
          </cell>
        </row>
      </sheetData>
      <sheetData sheetId="215">
        <row r="7">
          <cell r="E7" t="str">
            <v>Dirhams</v>
          </cell>
        </row>
      </sheetData>
      <sheetData sheetId="216">
        <row r="7">
          <cell r="E7" t="str">
            <v>Dirhams</v>
          </cell>
        </row>
      </sheetData>
      <sheetData sheetId="217">
        <row r="7">
          <cell r="E7" t="str">
            <v>Dirhams</v>
          </cell>
        </row>
      </sheetData>
      <sheetData sheetId="218">
        <row r="7">
          <cell r="E7" t="str">
            <v>Dirhams</v>
          </cell>
        </row>
      </sheetData>
      <sheetData sheetId="219">
        <row r="7">
          <cell r="E7" t="str">
            <v>Dirhams</v>
          </cell>
        </row>
      </sheetData>
      <sheetData sheetId="220">
        <row r="7">
          <cell r="E7" t="str">
            <v>Dirhams</v>
          </cell>
        </row>
      </sheetData>
      <sheetData sheetId="221">
        <row r="7">
          <cell r="E7" t="str">
            <v>Dirhams</v>
          </cell>
        </row>
      </sheetData>
      <sheetData sheetId="222">
        <row r="7">
          <cell r="E7" t="str">
            <v>Dirhams</v>
          </cell>
        </row>
      </sheetData>
      <sheetData sheetId="223">
        <row r="7">
          <cell r="E7" t="str">
            <v>Dirhams</v>
          </cell>
        </row>
      </sheetData>
      <sheetData sheetId="224">
        <row r="7">
          <cell r="E7" t="str">
            <v>Dirhams</v>
          </cell>
        </row>
      </sheetData>
      <sheetData sheetId="225">
        <row r="7">
          <cell r="E7" t="str">
            <v>Dirhams</v>
          </cell>
        </row>
      </sheetData>
      <sheetData sheetId="226">
        <row r="7">
          <cell r="E7" t="str">
            <v>Dirhams</v>
          </cell>
        </row>
      </sheetData>
      <sheetData sheetId="227">
        <row r="7">
          <cell r="E7" t="str">
            <v>Dirhams</v>
          </cell>
        </row>
      </sheetData>
      <sheetData sheetId="228">
        <row r="7">
          <cell r="E7" t="str">
            <v>Dirhams</v>
          </cell>
        </row>
      </sheetData>
      <sheetData sheetId="229">
        <row r="7">
          <cell r="E7" t="str">
            <v>Dirhams</v>
          </cell>
        </row>
      </sheetData>
      <sheetData sheetId="230">
        <row r="7">
          <cell r="E7" t="str">
            <v>Dirhams</v>
          </cell>
        </row>
      </sheetData>
      <sheetData sheetId="231">
        <row r="7">
          <cell r="E7" t="str">
            <v>Dirhams</v>
          </cell>
        </row>
      </sheetData>
      <sheetData sheetId="232"/>
      <sheetData sheetId="233">
        <row r="7">
          <cell r="E7" t="str">
            <v>Dirhams</v>
          </cell>
        </row>
      </sheetData>
      <sheetData sheetId="234"/>
      <sheetData sheetId="235">
        <row r="7">
          <cell r="E7" t="str">
            <v>Dirhams</v>
          </cell>
        </row>
      </sheetData>
      <sheetData sheetId="236">
        <row r="7">
          <cell r="E7" t="str">
            <v>Dirhams</v>
          </cell>
        </row>
      </sheetData>
      <sheetData sheetId="237">
        <row r="7">
          <cell r="E7" t="str">
            <v>Dirhams</v>
          </cell>
        </row>
      </sheetData>
      <sheetData sheetId="238"/>
      <sheetData sheetId="239">
        <row r="7">
          <cell r="E7" t="str">
            <v>Dirhams</v>
          </cell>
        </row>
      </sheetData>
      <sheetData sheetId="240"/>
      <sheetData sheetId="241">
        <row r="7">
          <cell r="E7" t="str">
            <v>Dirhams</v>
          </cell>
        </row>
      </sheetData>
      <sheetData sheetId="242">
        <row r="7">
          <cell r="E7" t="str">
            <v>Dirhams</v>
          </cell>
        </row>
      </sheetData>
      <sheetData sheetId="243"/>
      <sheetData sheetId="244" refreshError="1"/>
      <sheetData sheetId="245">
        <row r="7">
          <cell r="E7" t="str">
            <v>Dirhams</v>
          </cell>
        </row>
      </sheetData>
      <sheetData sheetId="246"/>
      <sheetData sheetId="247">
        <row r="7">
          <cell r="E7" t="str">
            <v>Dirhams</v>
          </cell>
        </row>
      </sheetData>
      <sheetData sheetId="248">
        <row r="7">
          <cell r="E7" t="str">
            <v>Dirhams</v>
          </cell>
        </row>
      </sheetData>
      <sheetData sheetId="249"/>
      <sheetData sheetId="250">
        <row r="7">
          <cell r="E7" t="str">
            <v>Dirhams</v>
          </cell>
        </row>
      </sheetData>
      <sheetData sheetId="251">
        <row r="7">
          <cell r="E7" t="str">
            <v>Dirhams</v>
          </cell>
        </row>
      </sheetData>
      <sheetData sheetId="252">
        <row r="7">
          <cell r="E7" t="str">
            <v>Dirhams</v>
          </cell>
        </row>
      </sheetData>
      <sheetData sheetId="253">
        <row r="7">
          <cell r="E7" t="str">
            <v>Dirhams</v>
          </cell>
        </row>
      </sheetData>
      <sheetData sheetId="254"/>
      <sheetData sheetId="255">
        <row r="7">
          <cell r="E7" t="str">
            <v>Dirhams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>
        <row r="7">
          <cell r="E7" t="str">
            <v>Dirhams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ma"/>
      <sheetName val="Chrono"/>
      <sheetName val="IMP"/>
      <sheetName val="IMP (2)"/>
      <sheetName val="SHO"/>
      <sheetName val="Assn"/>
      <sheetName val="PG"/>
      <sheetName val="Rep"/>
      <sheetName val="ACIERS"/>
      <sheetName val="Met"/>
      <sheetName val="Expl"/>
      <sheetName val="Fdt"/>
      <sheetName val="Elvt"/>
      <sheetName val="AG"/>
      <sheetName val="PC"/>
      <sheetName val="AD"/>
      <sheetName val="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S1"/>
      <sheetName val="FORF"/>
      <sheetName val="VENT"/>
      <sheetName val="V.St I"/>
      <sheetName val="V.St II"/>
      <sheetName val="PG1"/>
      <sheetName val="PG2"/>
      <sheetName val="PG3"/>
      <sheetName val="SIT"/>
    </sheetNames>
    <sheetDataSet>
      <sheetData sheetId="0" refreshError="1">
        <row r="15">
          <cell r="B15" t="str">
            <v xml:space="preserve"> 1 - GROS-ŒUVRE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"/>
      <sheetName val="F-Nz"/>
      <sheetName val="SP1-SP2"/>
      <sheetName val="Rés250SR2 NZ"/>
      <sheetName val="Rés200"/>
      <sheetName val="SR3NZ"/>
      <sheetName val="BacheSR3NZ"/>
      <sheetName val="loge SR3NZ"/>
      <sheetName val="RECAP NZ"/>
      <sheetName val="Appro MGH"/>
      <sheetName val="ET-MGH"/>
      <sheetName val="Réhab MGH"/>
      <sheetName val="GC 150m3 MGH"/>
      <sheetName val="Rés Ham"/>
      <sheetName val="RECAP NGH"/>
      <sheetName val="Appro SA"/>
      <sheetName val="ETUDE SA"/>
      <sheetName val="SP SA"/>
      <sheetName val="REH SA"/>
      <sheetName val="Sfor SA"/>
      <sheetName val="R300 SAi"/>
      <sheetName val="Bache SA"/>
      <sheetName val="loge SP"/>
      <sheetName val="RECAP S"/>
      <sheetName val="RECAP NMS T"/>
      <sheetName val="Macro-press"/>
      <sheetName val="Réservoir 250m3"/>
      <sheetName val="Rés250SR2_NZ"/>
      <sheetName val="loge_SR3NZ"/>
      <sheetName val="RECAP_NZ"/>
      <sheetName val="Appro_MGH"/>
      <sheetName val="Réhab_MGH"/>
      <sheetName val="GC_150m3_MGH"/>
      <sheetName val="Rés_Ham"/>
      <sheetName val="RECAP_NGH"/>
      <sheetName val="Appro_SA"/>
      <sheetName val="ETUDE_SA"/>
      <sheetName val="SP_SA"/>
      <sheetName val="REH_SA"/>
      <sheetName val="Sfor_SA"/>
      <sheetName val="R300_SAi"/>
      <sheetName val="Bache_SA"/>
      <sheetName val="loge_SP"/>
      <sheetName val="RECAP_S"/>
      <sheetName val="RECAP_NMS_T"/>
      <sheetName val="Réservoir_250m3"/>
      <sheetName val="Rés250SR2_NZ1"/>
      <sheetName val="loge_SR3NZ1"/>
      <sheetName val="RECAP_NZ1"/>
      <sheetName val="Appro_MGH1"/>
      <sheetName val="Réhab_MGH1"/>
      <sheetName val="GC_150m3_MGH1"/>
      <sheetName val="Rés_Ham1"/>
      <sheetName val="RECAP_NGH1"/>
      <sheetName val="Appro_SA1"/>
      <sheetName val="ETUDE_SA1"/>
      <sheetName val="SP_SA1"/>
      <sheetName val="REH_SA1"/>
      <sheetName val="Sfor_SA1"/>
      <sheetName val="R300_SAi1"/>
      <sheetName val="Bache_SA1"/>
      <sheetName val="loge_SP1"/>
      <sheetName val="RECAP_S1"/>
      <sheetName val="RECAP_NMS_T1"/>
      <sheetName val="Réservoir_250m31"/>
      <sheetName val="GC 150m3 MGHASSINE"/>
      <sheetName val="Macro-cons"/>
      <sheetName val="Rés250SR2_NZ2"/>
      <sheetName val="loge_SR3NZ2"/>
      <sheetName val="RECAP_NZ2"/>
      <sheetName val="Appro_MGH2"/>
      <sheetName val="Réhab_MGH2"/>
      <sheetName val="GC_150m3_MGH2"/>
      <sheetName val="Rés_Ham2"/>
      <sheetName val="RECAP_NGH2"/>
      <sheetName val="Appro_SA2"/>
      <sheetName val="ETUDE_SA2"/>
      <sheetName val="SP_SA2"/>
      <sheetName val="REH_SA2"/>
      <sheetName val="Sfor_SA2"/>
      <sheetName val="R300_SAi2"/>
      <sheetName val="Bache_SA2"/>
      <sheetName val="loge_SP2"/>
      <sheetName val="RECAP_S2"/>
      <sheetName val="RECAP_NMS_T2"/>
      <sheetName val="Rés250SR2_NZ3"/>
      <sheetName val="loge_SR3NZ3"/>
      <sheetName val="RECAP_NZ3"/>
      <sheetName val="Appro_MGH3"/>
      <sheetName val="Réhab_MGH3"/>
      <sheetName val="GC_150m3_MGH3"/>
      <sheetName val="Rés_Ham3"/>
      <sheetName val="RECAP_NGH3"/>
      <sheetName val="Appro_SA3"/>
      <sheetName val="ETUDE_SA3"/>
      <sheetName val="SP_SA3"/>
      <sheetName val="REH_SA3"/>
      <sheetName val="Sfor_SA3"/>
      <sheetName val="R300_SAi3"/>
      <sheetName val="Bache_SA3"/>
      <sheetName val="loge_SP3"/>
      <sheetName val="RECAP_S3"/>
      <sheetName val="RECAP_NMS_T3"/>
      <sheetName val="Rés250SR2_NZ4"/>
      <sheetName val="loge_SR3NZ4"/>
      <sheetName val="RECAP_NZ4"/>
      <sheetName val="Appro_MGH4"/>
      <sheetName val="Réhab_MGH4"/>
      <sheetName val="GC_150m3_MGH4"/>
      <sheetName val="Rés_Ham4"/>
      <sheetName val="RECAP_NGH4"/>
      <sheetName val="Appro_SA4"/>
      <sheetName val="ETUDE_SA4"/>
      <sheetName val="SP_SA4"/>
      <sheetName val="REH_SA4"/>
      <sheetName val="Sfor_SA4"/>
      <sheetName val="R300_SAi4"/>
      <sheetName val="Bache_SA4"/>
      <sheetName val="loge_SP4"/>
      <sheetName val="RECAP_S4"/>
      <sheetName val="RECAP_NMS_T4"/>
      <sheetName val="Réservoir_250m32"/>
      <sheetName val="Rés250SR2_NZ5"/>
      <sheetName val="loge_SR3NZ5"/>
      <sheetName val="RECAP_NZ5"/>
      <sheetName val="Appro_MGH5"/>
      <sheetName val="Réhab_MGH5"/>
      <sheetName val="GC_150m3_MGH5"/>
      <sheetName val="Rés_Ham5"/>
      <sheetName val="RECAP_NGH5"/>
      <sheetName val="Appro_SA5"/>
      <sheetName val="ETUDE_SA5"/>
      <sheetName val="SP_SA5"/>
      <sheetName val="REH_SA5"/>
      <sheetName val="Sfor_SA5"/>
      <sheetName val="R300_SAi5"/>
      <sheetName val="Bache_SA5"/>
      <sheetName val="loge_SP5"/>
      <sheetName val="RECAP_S5"/>
      <sheetName val="RECAP_NMS_T5"/>
      <sheetName val="Réservoir_250m33"/>
      <sheetName val="GC_150m3_MGHASSINE"/>
      <sheetName val="Laayoune-EP-CollPrx"/>
      <sheetName val="BpElecEnnasr-Géneral"/>
      <sheetName val="GC_150m3_MGHASSINE1"/>
      <sheetName val="AN2"/>
      <sheetName val="Récap"/>
      <sheetName val="Bache 50 m3_SR1"/>
      <sheetName val="GC_150m3_MGHASSINE3"/>
      <sheetName val="GC_150m3_MGHASSINE2"/>
      <sheetName val="Réservoir_250m34"/>
      <sheetName val="GC_150m3_MGHASSINE4"/>
      <sheetName val="Rés250SR2_NZ6"/>
      <sheetName val="loge_SR3NZ6"/>
      <sheetName val="RECAP_NZ6"/>
      <sheetName val="Appro_MGH6"/>
      <sheetName val="Réhab_MGH6"/>
      <sheetName val="GC_150m3_MGH6"/>
      <sheetName val="Rés_Ham6"/>
      <sheetName val="RECAP_NGH6"/>
      <sheetName val="Appro_SA6"/>
      <sheetName val="ETUDE_SA6"/>
      <sheetName val="SP_SA6"/>
      <sheetName val="REH_SA6"/>
      <sheetName val="Sfor_SA6"/>
      <sheetName val="R300_SAi6"/>
      <sheetName val="Bache_SA6"/>
      <sheetName val="loge_SP6"/>
      <sheetName val="RECAP_S6"/>
      <sheetName val="RECAP_NMS_T6"/>
      <sheetName val="Réservoir_250m35"/>
      <sheetName val="GC_150m3_MGHASSINE5"/>
      <sheetName val="Rés250SR2_NZ7"/>
      <sheetName val="loge_SR3NZ7"/>
      <sheetName val="RECAP_NZ7"/>
      <sheetName val="Appro_MGH7"/>
      <sheetName val="Réhab_MGH7"/>
      <sheetName val="GC_150m3_MGH7"/>
      <sheetName val="Rés_Ham7"/>
      <sheetName val="RECAP_NGH7"/>
      <sheetName val="Appro_SA7"/>
      <sheetName val="ETUDE_SA7"/>
      <sheetName val="SP_SA7"/>
      <sheetName val="REH_SA7"/>
      <sheetName val="Sfor_SA7"/>
      <sheetName val="R300_SAi7"/>
      <sheetName val="Bache_SA7"/>
      <sheetName val="loge_SP7"/>
      <sheetName val="RECAP_S7"/>
      <sheetName val="RECAP_NMS_T7"/>
      <sheetName val="Réservoir_250m36"/>
      <sheetName val="GC_150m3_MGHASSINE6"/>
      <sheetName val="Rés250SR2_NZ8"/>
      <sheetName val="loge_SR3NZ8"/>
      <sheetName val="RECAP_NZ8"/>
      <sheetName val="Appro_MGH8"/>
      <sheetName val="Réhab_MGH8"/>
      <sheetName val="GC_150m3_MGH8"/>
      <sheetName val="Rés_Ham8"/>
      <sheetName val="RECAP_NGH8"/>
      <sheetName val="Appro_SA8"/>
      <sheetName val="ETUDE_SA8"/>
      <sheetName val="SP_SA8"/>
      <sheetName val="REH_SA8"/>
      <sheetName val="Sfor_SA8"/>
      <sheetName val="R300_SAi8"/>
      <sheetName val="Bache_SA8"/>
      <sheetName val="loge_SP8"/>
      <sheetName val="RECAP_S8"/>
      <sheetName val="RECAP_NMS_T8"/>
      <sheetName val="Réservoir_250m37"/>
      <sheetName val="GC_150m3_MGHASSINE7"/>
      <sheetName val="Rés250SR2_NZ9"/>
      <sheetName val="loge_SR3NZ9"/>
      <sheetName val="RECAP_NZ9"/>
      <sheetName val="Appro_MGH9"/>
      <sheetName val="Réhab_MGH9"/>
      <sheetName val="GC_150m3_MGH9"/>
      <sheetName val="Rés_Ham9"/>
      <sheetName val="RECAP_NGH9"/>
      <sheetName val="Appro_SA9"/>
      <sheetName val="ETUDE_SA9"/>
      <sheetName val="SP_SA9"/>
      <sheetName val="REH_SA9"/>
      <sheetName val="Sfor_SA9"/>
      <sheetName val="R300_SAi9"/>
      <sheetName val="Bache_SA9"/>
      <sheetName val="loge_SP9"/>
      <sheetName val="RECAP_S9"/>
      <sheetName val="RECAP_NMS_T9"/>
      <sheetName val="Réservoir_250m38"/>
      <sheetName val="GC_150m3_MGHASSINE8"/>
      <sheetName val="Rés250SR2_NZ10"/>
      <sheetName val="loge_SR3NZ10"/>
      <sheetName val="RECAP_NZ10"/>
      <sheetName val="Appro_MGH10"/>
      <sheetName val="Réhab_MGH10"/>
      <sheetName val="GC_150m3_MGH10"/>
      <sheetName val="Rés_Ham10"/>
      <sheetName val="RECAP_NGH10"/>
      <sheetName val="Appro_SA10"/>
      <sheetName val="ETUDE_SA10"/>
      <sheetName val="SP_SA10"/>
      <sheetName val="REH_SA10"/>
      <sheetName val="Sfor_SA10"/>
      <sheetName val="R300_SAi10"/>
      <sheetName val="Bache_SA10"/>
      <sheetName val="loge_SP10"/>
      <sheetName val="RECAP_S10"/>
      <sheetName val="RECAP_NMS_T10"/>
      <sheetName val="Réservoir_250m39"/>
      <sheetName val="GC_150m3_MGHASSINE9"/>
      <sheetName val="Rés250SR2_NZ11"/>
      <sheetName val="loge_SR3NZ11"/>
      <sheetName val="RECAP_NZ11"/>
      <sheetName val="Appro_MGH11"/>
      <sheetName val="Réhab_MGH11"/>
      <sheetName val="GC_150m3_MGH11"/>
      <sheetName val="Rés_Ham11"/>
      <sheetName val="RECAP_NGH11"/>
      <sheetName val="Appro_SA11"/>
      <sheetName val="ETUDE_SA11"/>
      <sheetName val="SP_SA11"/>
      <sheetName val="REH_SA11"/>
      <sheetName val="Sfor_SA11"/>
      <sheetName val="R300_SAi11"/>
      <sheetName val="Bache_SA11"/>
      <sheetName val="loge_SP11"/>
      <sheetName val="RECAP_S11"/>
      <sheetName val="RECAP_NMS_T11"/>
      <sheetName val="Réservoir_250m310"/>
      <sheetName val="GC_150m3_MGHASSINE10"/>
      <sheetName val="Rés250SR2_NZ12"/>
      <sheetName val="loge_SR3NZ12"/>
      <sheetName val="RECAP_NZ12"/>
      <sheetName val="Appro_MGH12"/>
      <sheetName val="Réhab_MGH12"/>
      <sheetName val="GC_150m3_MGH12"/>
      <sheetName val="Rés_Ham12"/>
      <sheetName val="RECAP_NGH12"/>
      <sheetName val="Appro_SA12"/>
      <sheetName val="ETUDE_SA12"/>
      <sheetName val="SP_SA12"/>
      <sheetName val="REH_SA12"/>
      <sheetName val="Sfor_SA12"/>
      <sheetName val="R300_SAi12"/>
      <sheetName val="Bache_SA12"/>
      <sheetName val="loge_SP12"/>
      <sheetName val="RECAP_S12"/>
      <sheetName val="RECAP_NMS_T12"/>
      <sheetName val="Réservoir_250m311"/>
      <sheetName val="GC_150m3_MGHASSINE11"/>
      <sheetName val="Rés250SR2_NZ13"/>
      <sheetName val="loge_SR3NZ13"/>
      <sheetName val="RECAP_NZ13"/>
      <sheetName val="Appro_MGH13"/>
      <sheetName val="Réhab_MGH13"/>
      <sheetName val="GC_150m3_MGH13"/>
      <sheetName val="Rés_Ham13"/>
      <sheetName val="RECAP_NGH13"/>
      <sheetName val="Appro_SA13"/>
      <sheetName val="ETUDE_SA13"/>
      <sheetName val="SP_SA13"/>
      <sheetName val="REH_SA13"/>
      <sheetName val="Sfor_SA13"/>
      <sheetName val="R300_SAi13"/>
      <sheetName val="Bache_SA13"/>
      <sheetName val="loge_SP13"/>
      <sheetName val="RECAP_S13"/>
      <sheetName val="RECAP_NMS_T13"/>
      <sheetName val="Réservoir_250m312"/>
      <sheetName val="GC_150m3_MGHASSINE12"/>
      <sheetName val="Rés250SR2_NZ14"/>
      <sheetName val="loge_SR3NZ14"/>
      <sheetName val="RECAP_NZ14"/>
      <sheetName val="Appro_MGH14"/>
      <sheetName val="Réhab_MGH14"/>
      <sheetName val="GC_150m3_MGH14"/>
      <sheetName val="Rés_Ham14"/>
      <sheetName val="RECAP_NGH14"/>
      <sheetName val="Appro_SA14"/>
      <sheetName val="ETUDE_SA14"/>
      <sheetName val="SP_SA14"/>
      <sheetName val="REH_SA14"/>
      <sheetName val="Sfor_SA14"/>
      <sheetName val="R300_SAi14"/>
      <sheetName val="Bache_SA14"/>
      <sheetName val="loge_SP14"/>
      <sheetName val="RECAP_S14"/>
      <sheetName val="RECAP_NMS_T14"/>
      <sheetName val="Réservoir_250m313"/>
      <sheetName val="GC_150m3_MGHASSINE13"/>
      <sheetName val="Rés250SR2_NZ15"/>
      <sheetName val="loge_SR3NZ15"/>
      <sheetName val="RECAP_NZ15"/>
      <sheetName val="Appro_MGH15"/>
      <sheetName val="Réhab_MGH15"/>
      <sheetName val="GC_150m3_MGH15"/>
      <sheetName val="Rés_Ham15"/>
      <sheetName val="RECAP_NGH15"/>
      <sheetName val="Appro_SA15"/>
      <sheetName val="ETUDE_SA15"/>
      <sheetName val="SP_SA15"/>
      <sheetName val="REH_SA15"/>
      <sheetName val="Sfor_SA15"/>
      <sheetName val="R300_SAi15"/>
      <sheetName val="Bache_SA15"/>
      <sheetName val="loge_SP15"/>
      <sheetName val="RECAP_S15"/>
      <sheetName val="RECAP_NMS_T15"/>
      <sheetName val="Réservoir_250m314"/>
      <sheetName val="GC_150m3_MGHASSINE14"/>
      <sheetName val="Rés250SR2_NZ16"/>
      <sheetName val="loge_SR3NZ16"/>
      <sheetName val="RECAP_NZ16"/>
      <sheetName val="Appro_MGH16"/>
      <sheetName val="Réhab_MGH16"/>
      <sheetName val="GC_150m3_MGH16"/>
      <sheetName val="Rés_Ham16"/>
      <sheetName val="RECAP_NGH16"/>
      <sheetName val="Appro_SA16"/>
      <sheetName val="ETUDE_SA16"/>
      <sheetName val="SP_SA16"/>
      <sheetName val="REH_SA16"/>
      <sheetName val="Sfor_SA16"/>
      <sheetName val="R300_SAi16"/>
      <sheetName val="Bache_SA16"/>
      <sheetName val="loge_SP16"/>
      <sheetName val="RECAP_S16"/>
      <sheetName val="RECAP_NMS_T16"/>
      <sheetName val="Réservoir_250m315"/>
      <sheetName val="GC_150m3_MGHASSINE15"/>
      <sheetName val="Rés250SR2_NZ17"/>
      <sheetName val="loge_SR3NZ17"/>
      <sheetName val="RECAP_NZ17"/>
      <sheetName val="Appro_MGH17"/>
      <sheetName val="Réhab_MGH17"/>
      <sheetName val="GC_150m3_MGH17"/>
      <sheetName val="Rés_Ham17"/>
      <sheetName val="RECAP_NGH17"/>
      <sheetName val="Appro_SA17"/>
      <sheetName val="ETUDE_SA17"/>
      <sheetName val="SP_SA17"/>
      <sheetName val="REH_SA17"/>
      <sheetName val="Sfor_SA17"/>
      <sheetName val="R300_SAi17"/>
      <sheetName val="Bache_SA17"/>
      <sheetName val="loge_SP17"/>
      <sheetName val="RECAP_S17"/>
      <sheetName val="RECAP_NMS_T17"/>
      <sheetName val="Réservoir_250m316"/>
      <sheetName val="GC_150m3_MGHASSINE16"/>
      <sheetName val="Rés250SR2_NZ18"/>
      <sheetName val="loge_SR3NZ18"/>
      <sheetName val="RECAP_NZ18"/>
      <sheetName val="Appro_MGH18"/>
      <sheetName val="Réhab_MGH18"/>
      <sheetName val="GC_150m3_MGH18"/>
      <sheetName val="Rés_Ham18"/>
      <sheetName val="RECAP_NGH18"/>
      <sheetName val="Appro_SA18"/>
      <sheetName val="ETUDE_SA18"/>
      <sheetName val="SP_SA18"/>
      <sheetName val="REH_SA18"/>
      <sheetName val="Sfor_SA18"/>
      <sheetName val="R300_SAi18"/>
      <sheetName val="Bache_SA18"/>
      <sheetName val="loge_SP18"/>
      <sheetName val="RECAP_S18"/>
      <sheetName val="RECAP_NMS_T18"/>
      <sheetName val="Réservoir_250m317"/>
      <sheetName val="GC_150m3_MGHASSINE17"/>
      <sheetName val="Rés250SR2_NZ19"/>
      <sheetName val="loge_SR3NZ19"/>
      <sheetName val="RECAP_NZ19"/>
      <sheetName val="Appro_MGH19"/>
      <sheetName val="Réhab_MGH19"/>
      <sheetName val="GC_150m3_MGH19"/>
      <sheetName val="Rés_Ham19"/>
      <sheetName val="RECAP_NGH19"/>
      <sheetName val="Appro_SA19"/>
      <sheetName val="ETUDE_SA19"/>
      <sheetName val="SP_SA19"/>
      <sheetName val="REH_SA19"/>
      <sheetName val="Sfor_SA19"/>
      <sheetName val="R300_SAi19"/>
      <sheetName val="Bache_SA19"/>
      <sheetName val="loge_SP19"/>
      <sheetName val="RECAP_S19"/>
      <sheetName val="RECAP_NMS_T19"/>
      <sheetName val="Réservoir_250m318"/>
      <sheetName val="GC_150m3_MGHASSINE18"/>
      <sheetName val="Rés250SR2_NZ22"/>
      <sheetName val="loge_SR3NZ22"/>
      <sheetName val="RECAP_NZ22"/>
      <sheetName val="Appro_MGH22"/>
      <sheetName val="Réhab_MGH22"/>
      <sheetName val="GC_150m3_MGH22"/>
      <sheetName val="Rés_Ham22"/>
      <sheetName val="RECAP_NGH22"/>
      <sheetName val="Appro_SA22"/>
      <sheetName val="ETUDE_SA22"/>
      <sheetName val="SP_SA22"/>
      <sheetName val="REH_SA22"/>
      <sheetName val="Sfor_SA22"/>
      <sheetName val="R300_SAi22"/>
      <sheetName val="Bache_SA22"/>
      <sheetName val="loge_SP22"/>
      <sheetName val="RECAP_S22"/>
      <sheetName val="RECAP_NMS_T22"/>
      <sheetName val="Réservoir_250m321"/>
      <sheetName val="GC_150m3_MGHASSINE21"/>
      <sheetName val="Rés250SR2_NZ21"/>
      <sheetName val="loge_SR3NZ21"/>
      <sheetName val="RECAP_NZ21"/>
      <sheetName val="Appro_MGH21"/>
      <sheetName val="Réhab_MGH21"/>
      <sheetName val="GC_150m3_MGH21"/>
      <sheetName val="Rés_Ham21"/>
      <sheetName val="RECAP_NGH21"/>
      <sheetName val="Appro_SA21"/>
      <sheetName val="ETUDE_SA21"/>
      <sheetName val="SP_SA21"/>
      <sheetName val="REH_SA21"/>
      <sheetName val="Sfor_SA21"/>
      <sheetName val="R300_SAi21"/>
      <sheetName val="Bache_SA21"/>
      <sheetName val="loge_SP21"/>
      <sheetName val="RECAP_S21"/>
      <sheetName val="RECAP_NMS_T21"/>
      <sheetName val="Réservoir_250m320"/>
      <sheetName val="GC_150m3_MGHASSINE20"/>
      <sheetName val="Rés250SR2_NZ20"/>
      <sheetName val="loge_SR3NZ20"/>
      <sheetName val="RECAP_NZ20"/>
      <sheetName val="Appro_MGH20"/>
      <sheetName val="Réhab_MGH20"/>
      <sheetName val="GC_150m3_MGH20"/>
      <sheetName val="Rés_Ham20"/>
      <sheetName val="RECAP_NGH20"/>
      <sheetName val="Appro_SA20"/>
      <sheetName val="ETUDE_SA20"/>
      <sheetName val="SP_SA20"/>
      <sheetName val="REH_SA20"/>
      <sheetName val="Sfor_SA20"/>
      <sheetName val="R300_SAi20"/>
      <sheetName val="Bache_SA20"/>
      <sheetName val="loge_SP20"/>
      <sheetName val="RECAP_S20"/>
      <sheetName val="RECAP_NMS_T20"/>
      <sheetName val="Réservoir_250m319"/>
      <sheetName val="GC_150m3_MGHASSINE19"/>
      <sheetName val="Rés250SR2_NZ23"/>
      <sheetName val="loge_SR3NZ23"/>
      <sheetName val="RECAP_NZ23"/>
      <sheetName val="Appro_MGH23"/>
      <sheetName val="Réhab_MGH23"/>
      <sheetName val="GC_150m3_MGH23"/>
      <sheetName val="Rés_Ham23"/>
      <sheetName val="RECAP_NGH23"/>
      <sheetName val="Appro_SA23"/>
      <sheetName val="ETUDE_SA23"/>
      <sheetName val="SP_SA23"/>
      <sheetName val="REH_SA23"/>
      <sheetName val="Sfor_SA23"/>
      <sheetName val="R300_SAi23"/>
      <sheetName val="Bache_SA23"/>
      <sheetName val="loge_SP23"/>
      <sheetName val="RECAP_S23"/>
      <sheetName val="RECAP_NMS_T23"/>
      <sheetName val="Réservoir_250m322"/>
      <sheetName val="GC_150m3_MGHASSINE22"/>
      <sheetName val="Rés250SR2_NZ24"/>
      <sheetName val="loge_SR3NZ24"/>
      <sheetName val="RECAP_NZ24"/>
      <sheetName val="Appro_MGH24"/>
      <sheetName val="Réhab_MGH24"/>
      <sheetName val="GC_150m3_MGH24"/>
      <sheetName val="Rés_Ham24"/>
      <sheetName val="RECAP_NGH24"/>
      <sheetName val="Appro_SA24"/>
      <sheetName val="ETUDE_SA24"/>
      <sheetName val="SP_SA24"/>
      <sheetName val="REH_SA24"/>
      <sheetName val="Sfor_SA24"/>
      <sheetName val="R300_SAi24"/>
      <sheetName val="Bache_SA24"/>
      <sheetName val="loge_SP24"/>
      <sheetName val="RECAP_S24"/>
      <sheetName val="RECAP_NMS_T24"/>
      <sheetName val="Réservoir_250m323"/>
      <sheetName val="GC_150m3_MGHASSINE23"/>
      <sheetName val="Rés250SR2_NZ25"/>
      <sheetName val="loge_SR3NZ25"/>
      <sheetName val="RECAP_NZ25"/>
      <sheetName val="Appro_MGH25"/>
      <sheetName val="Réhab_MGH25"/>
      <sheetName val="GC_150m3_MGH25"/>
      <sheetName val="Rés_Ham25"/>
      <sheetName val="RECAP_NGH25"/>
      <sheetName val="Appro_SA25"/>
      <sheetName val="ETUDE_SA25"/>
      <sheetName val="SP_SA25"/>
      <sheetName val="REH_SA25"/>
      <sheetName val="Sfor_SA25"/>
      <sheetName val="R300_SAi25"/>
      <sheetName val="Bache_SA25"/>
      <sheetName val="loge_SP25"/>
      <sheetName val="RECAP_S25"/>
      <sheetName val="RECAP_NMS_T25"/>
      <sheetName val="Réservoir_250m324"/>
      <sheetName val="GC_150m3_MGHASSINE24"/>
      <sheetName val="S.P1"/>
      <sheetName val="Rés250SR2_NZ30"/>
      <sheetName val="loge_SR3NZ30"/>
      <sheetName val="RECAP_NZ30"/>
      <sheetName val="Appro_MGH30"/>
      <sheetName val="Réhab_MGH30"/>
      <sheetName val="GC_150m3_MGH30"/>
      <sheetName val="Rés_Ham30"/>
      <sheetName val="RECAP_NGH30"/>
      <sheetName val="Appro_SA30"/>
      <sheetName val="ETUDE_SA30"/>
      <sheetName val="SP_SA30"/>
      <sheetName val="REH_SA30"/>
      <sheetName val="Sfor_SA30"/>
      <sheetName val="R300_SAi30"/>
      <sheetName val="Bache_SA30"/>
      <sheetName val="loge_SP30"/>
      <sheetName val="RECAP_S30"/>
      <sheetName val="RECAP_NMS_T30"/>
      <sheetName val="Réservoir_250m329"/>
      <sheetName val="GC_150m3_MGHASSINE29"/>
      <sheetName val="Rés250SR2_NZ29"/>
      <sheetName val="loge_SR3NZ29"/>
      <sheetName val="RECAP_NZ29"/>
      <sheetName val="Appro_MGH29"/>
      <sheetName val="Réhab_MGH29"/>
      <sheetName val="GC_150m3_MGH29"/>
      <sheetName val="Rés_Ham29"/>
      <sheetName val="RECAP_NGH29"/>
      <sheetName val="Appro_SA29"/>
      <sheetName val="ETUDE_SA29"/>
      <sheetName val="SP_SA29"/>
      <sheetName val="REH_SA29"/>
      <sheetName val="Sfor_SA29"/>
      <sheetName val="R300_SAi29"/>
      <sheetName val="Bache_SA29"/>
      <sheetName val="loge_SP29"/>
      <sheetName val="RECAP_S29"/>
      <sheetName val="RECAP_NMS_T29"/>
      <sheetName val="Réservoir_250m328"/>
      <sheetName val="GC_150m3_MGHASSINE28"/>
      <sheetName val="Bache_50_m3_SR12"/>
      <sheetName val="Rés250SR2_NZ26"/>
      <sheetName val="loge_SR3NZ26"/>
      <sheetName val="RECAP_NZ26"/>
      <sheetName val="Appro_MGH26"/>
      <sheetName val="Réhab_MGH26"/>
      <sheetName val="GC_150m3_MGH26"/>
      <sheetName val="Rés_Ham26"/>
      <sheetName val="RECAP_NGH26"/>
      <sheetName val="Appro_SA26"/>
      <sheetName val="ETUDE_SA26"/>
      <sheetName val="SP_SA26"/>
      <sheetName val="REH_SA26"/>
      <sheetName val="Sfor_SA26"/>
      <sheetName val="R300_SAi26"/>
      <sheetName val="Bache_SA26"/>
      <sheetName val="loge_SP26"/>
      <sheetName val="RECAP_S26"/>
      <sheetName val="RECAP_NMS_T26"/>
      <sheetName val="Réservoir_250m325"/>
      <sheetName val="GC_150m3_MGHASSINE25"/>
      <sheetName val="Bache_50_m3_SR1"/>
      <sheetName val="Rés250SR2_NZ27"/>
      <sheetName val="loge_SR3NZ27"/>
      <sheetName val="RECAP_NZ27"/>
      <sheetName val="Appro_MGH27"/>
      <sheetName val="Réhab_MGH27"/>
      <sheetName val="GC_150m3_MGH27"/>
      <sheetName val="Rés_Ham27"/>
      <sheetName val="RECAP_NGH27"/>
      <sheetName val="Appro_SA27"/>
      <sheetName val="ETUDE_SA27"/>
      <sheetName val="SP_SA27"/>
      <sheetName val="REH_SA27"/>
      <sheetName val="Sfor_SA27"/>
      <sheetName val="R300_SAi27"/>
      <sheetName val="Bache_SA27"/>
      <sheetName val="loge_SP27"/>
      <sheetName val="RECAP_S27"/>
      <sheetName val="RECAP_NMS_T27"/>
      <sheetName val="Réservoir_250m326"/>
      <sheetName val="GC_150m3_MGHASSINE26"/>
      <sheetName val="Rés250SR2_NZ28"/>
      <sheetName val="loge_SR3NZ28"/>
      <sheetName val="RECAP_NZ28"/>
      <sheetName val="Appro_MGH28"/>
      <sheetName val="Réhab_MGH28"/>
      <sheetName val="GC_150m3_MGH28"/>
      <sheetName val="Rés_Ham28"/>
      <sheetName val="RECAP_NGH28"/>
      <sheetName val="Appro_SA28"/>
      <sheetName val="ETUDE_SA28"/>
      <sheetName val="SP_SA28"/>
      <sheetName val="REH_SA28"/>
      <sheetName val="Sfor_SA28"/>
      <sheetName val="R300_SAi28"/>
      <sheetName val="Bache_SA28"/>
      <sheetName val="loge_SP28"/>
      <sheetName val="RECAP_S28"/>
      <sheetName val="RECAP_NMS_T28"/>
      <sheetName val="Réservoir_250m327"/>
      <sheetName val="GC_150m3_MGHASSINE27"/>
      <sheetName val="Bache_50_m3_SR11"/>
      <sheetName val="DESC_ILOT9"/>
      <sheetName val="DESC_ILOT10"/>
      <sheetName val="DESC_ILOT9-10 "/>
      <sheetName val="DESC_ILOT9-10 160409"/>
      <sheetName val="Rés250SR2_NZ31"/>
      <sheetName val="loge_SR3NZ31"/>
      <sheetName val="RECAP_NZ31"/>
      <sheetName val="Appro_MGH31"/>
      <sheetName val="Réhab_MGH31"/>
      <sheetName val="GC_150m3_MGH31"/>
      <sheetName val="Rés_Ham31"/>
      <sheetName val="RECAP_NGH31"/>
      <sheetName val="Appro_SA31"/>
      <sheetName val="ETUDE_SA31"/>
      <sheetName val="SP_SA31"/>
      <sheetName val="REH_SA31"/>
      <sheetName val="Sfor_SA31"/>
      <sheetName val="R300_SAi31"/>
      <sheetName val="Bache_SA31"/>
      <sheetName val="loge_SP31"/>
      <sheetName val="RECAP_S31"/>
      <sheetName val="RECAP_NMS_T31"/>
      <sheetName val="Réservoir_250m330"/>
      <sheetName val="GC_150m3_MGHASSINE30"/>
      <sheetName val="Bache_50_m3_SR14"/>
      <sheetName val="Feuil3"/>
      <sheetName val="Rés250SR2_NZ33"/>
      <sheetName val="loge_SR3NZ33"/>
      <sheetName val="RECAP_NZ33"/>
      <sheetName val="Appro_MGH33"/>
      <sheetName val="Réhab_MGH33"/>
      <sheetName val="GC_150m3_MGH33"/>
      <sheetName val="Rés_Ham33"/>
      <sheetName val="RECAP_NGH33"/>
      <sheetName val="Appro_SA33"/>
      <sheetName val="ETUDE_SA33"/>
      <sheetName val="SP_SA33"/>
      <sheetName val="REH_SA33"/>
      <sheetName val="Sfor_SA33"/>
      <sheetName val="R300_SAi33"/>
      <sheetName val="Bache_SA33"/>
      <sheetName val="loge_SP33"/>
      <sheetName val="RECAP_S33"/>
      <sheetName val="RECAP_NMS_T33"/>
      <sheetName val="Réservoir_250m333"/>
      <sheetName val="GC_150m3_MGHASSINE33"/>
      <sheetName val="Réservoir_250m331"/>
      <sheetName val="GC_150m3_MGHASSINE31"/>
      <sheetName val="Rés250SR2_NZ32"/>
      <sheetName val="loge_SR3NZ32"/>
      <sheetName val="RECAP_NZ32"/>
      <sheetName val="Appro_MGH32"/>
      <sheetName val="Réhab_MGH32"/>
      <sheetName val="GC_150m3_MGH32"/>
      <sheetName val="Rés_Ham32"/>
      <sheetName val="RECAP_NGH32"/>
      <sheetName val="Appro_SA32"/>
      <sheetName val="ETUDE_SA32"/>
      <sheetName val="SP_SA32"/>
      <sheetName val="REH_SA32"/>
      <sheetName val="Sfor_SA32"/>
      <sheetName val="R300_SAi32"/>
      <sheetName val="Bache_SA32"/>
      <sheetName val="loge_SP32"/>
      <sheetName val="RECAP_S32"/>
      <sheetName val="RECAP_NMS_T32"/>
      <sheetName val="Réservoir_250m332"/>
      <sheetName val="GC_150m3_MGHASSINE32"/>
      <sheetName val="Rés250SR2_NZ34"/>
      <sheetName val="loge_SR3NZ34"/>
      <sheetName val="RECAP_NZ34"/>
      <sheetName val="Appro_MGH34"/>
      <sheetName val="Réhab_MGH34"/>
      <sheetName val="GC_150m3_MGH34"/>
      <sheetName val="Rés_Ham34"/>
      <sheetName val="RECAP_NGH34"/>
      <sheetName val="Appro_SA34"/>
      <sheetName val="ETUDE_SA34"/>
      <sheetName val="SP_SA34"/>
      <sheetName val="REH_SA34"/>
      <sheetName val="Sfor_SA34"/>
      <sheetName val="R300_SAi34"/>
      <sheetName val="Bache_SA34"/>
      <sheetName val="loge_SP34"/>
      <sheetName val="RECAP_S34"/>
      <sheetName val="RECAP_NMS_T34"/>
      <sheetName val="Réservoir_250m334"/>
      <sheetName val="GC_150m3_MGHASSINE34"/>
      <sheetName val="Bache_50_m3_SR13"/>
      <sheetName val="Bache_50_m3_SR15"/>
      <sheetName val="z.fnche"/>
      <sheetName val="DESC_ILOT9-10_"/>
      <sheetName val="DESC_ILOT9-10_160409"/>
      <sheetName val="Bache_50_m3_SR16"/>
      <sheetName val="Rés250SR2_NZ35"/>
      <sheetName val="loge_SR3NZ35"/>
      <sheetName val="RECAP_NZ35"/>
      <sheetName val="Appro_MGH35"/>
      <sheetName val="Réhab_MGH35"/>
      <sheetName val="GC_150m3_MGH35"/>
      <sheetName val="Rés_Ham35"/>
      <sheetName val="RECAP_NGH35"/>
      <sheetName val="Appro_SA35"/>
      <sheetName val="ETUDE_SA35"/>
      <sheetName val="SP_SA35"/>
      <sheetName val="REH_SA35"/>
      <sheetName val="Sfor_SA35"/>
      <sheetName val="R300_SAi35"/>
      <sheetName val="Bache_SA35"/>
      <sheetName val="loge_SP35"/>
      <sheetName val="RECAP_S35"/>
      <sheetName val="RECAP_NMS_T35"/>
      <sheetName val="Bache_50_m3_SR17"/>
      <sheetName val="Macro-Diam-interne"/>
      <sheetName val="Macro-Dexterne"/>
      <sheetName val="Macro-Long"/>
      <sheetName val="Macro-Epaisse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u classeur"/>
      <sheetName val="Fiche d'alerte"/>
      <sheetName val="Présentation générale du projet"/>
      <sheetName val="2.2 Risques Opportunités"/>
      <sheetName val="2.3 Analyse commerciale"/>
      <sheetName val="2.4 Groupement"/>
      <sheetName val="2.5 Analyse technique"/>
      <sheetName val="2.6 Environnement export"/>
      <sheetName val="2.7 Maintenance"/>
      <sheetName val="Spécificités Bordereau"/>
      <sheetName val="2.8 Planning Synthétique"/>
      <sheetName val="2.9 Analyse financière"/>
      <sheetName val="2.9 bis Analyse financ Export"/>
      <sheetName val="2.10 Analyse contractuelle"/>
      <sheetName val="2.11 Compte rendu réunion"/>
      <sheetName val="4.4 Tableau des ressources"/>
      <sheetName val="Follow-up - Pilotage actions"/>
      <sheetName val="Métier HVAC"/>
      <sheetName val="Métier Logiciel"/>
      <sheetName val="Notice générale"/>
      <sheetName val="Notice Responsabilité"/>
      <sheetName val="Notice Description"/>
      <sheetName val="Notice Bordereau"/>
      <sheetName val="Grille Vinci"/>
      <sheetName val="Notice Synthèse Stratégique"/>
      <sheetName val="Notice Fournisseur"/>
      <sheetName val="Notice Trésorerie"/>
      <sheetName val="Listes déroulantes"/>
      <sheetName val="Plan_du_classeur"/>
      <sheetName val="Fiche_d'alerte"/>
      <sheetName val="Présentation_générale_du_projet"/>
      <sheetName val="2_2_Risques_Opportunités"/>
      <sheetName val="2_3_Analyse_commerciale"/>
      <sheetName val="2_4_Groupement"/>
      <sheetName val="2_5_Analyse_technique"/>
      <sheetName val="2_6_Environnement_export"/>
      <sheetName val="2_7_Maintenance"/>
      <sheetName val="Spécificités_Bordereau"/>
      <sheetName val="2_8_Planning_Synthétique"/>
      <sheetName val="2_9_Analyse_financière"/>
      <sheetName val="2_9_bis_Analyse_financ_Export"/>
      <sheetName val="2_10_Analyse_contractuelle"/>
      <sheetName val="2_11_Compte_rendu_réunion"/>
      <sheetName val="4_4_Tableau_des_ressources"/>
      <sheetName val="Follow-up_-_Pilotage_actions"/>
      <sheetName val="Métier_HVAC"/>
      <sheetName val="Métier_Logiciel"/>
      <sheetName val="Notice_générale"/>
      <sheetName val="Notice_Responsabilité"/>
      <sheetName val="Notice_Description"/>
      <sheetName val="Notice_Bordereau"/>
      <sheetName val="Grille_Vinci"/>
      <sheetName val="Notice_Synthèse_Stratégique"/>
      <sheetName val="Notice_Fournisseur"/>
      <sheetName val="Notice_Trésorerie"/>
      <sheetName val="Listes_déroul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u classeur"/>
      <sheetName val="Fiche d'alerte"/>
      <sheetName val="Présentation générale du projet"/>
      <sheetName val="2.2 Risques Opportunités"/>
      <sheetName val="2.3 Analyse commerciale"/>
      <sheetName val="2.4 Groupement"/>
      <sheetName val="2.5 Analyse technique"/>
      <sheetName val="2.6 Environnement export"/>
      <sheetName val="2.7 Maintenance"/>
      <sheetName val="Spécificités Bordereau"/>
      <sheetName val="2.8 Planning Synthétique"/>
      <sheetName val="2.9 Analyse financière"/>
      <sheetName val="2.9 bis Analyse financ Export"/>
      <sheetName val="2.10 Analyse contractuelle"/>
      <sheetName val="2.11 Compte rendu réunion"/>
      <sheetName val="4.4 Tableau des ressources"/>
      <sheetName val="Follow-up - Pilotage actions"/>
      <sheetName val="Métier HVAC"/>
      <sheetName val="Métier Logiciel"/>
      <sheetName val="Notice générale"/>
      <sheetName val="Notice Responsabilité"/>
      <sheetName val="Notice Description"/>
      <sheetName val="Notice Bordereau"/>
      <sheetName val="Grille Vinci"/>
      <sheetName val="Notice Synthèse Stratégique"/>
      <sheetName val="Notice Fournisseur"/>
      <sheetName val="Notice Trésorerie"/>
      <sheetName val="Listes déroulantes"/>
      <sheetName val="Plan_du_classeur"/>
      <sheetName val="Fiche_d'alerte"/>
      <sheetName val="Présentation_générale_du_projet"/>
      <sheetName val="2_2_Risques_Opportunités"/>
      <sheetName val="2_3_Analyse_commerciale"/>
      <sheetName val="2_4_Groupement"/>
      <sheetName val="2_5_Analyse_technique"/>
      <sheetName val="2_6_Environnement_export"/>
      <sheetName val="2_7_Maintenance"/>
      <sheetName val="Spécificités_Bordereau"/>
      <sheetName val="2_8_Planning_Synthétique"/>
      <sheetName val="2_9_Analyse_financière"/>
      <sheetName val="2_9_bis_Analyse_financ_Export"/>
      <sheetName val="2_10_Analyse_contractuelle"/>
      <sheetName val="2_11_Compte_rendu_réunion"/>
      <sheetName val="4_4_Tableau_des_ressources"/>
      <sheetName val="Follow-up_-_Pilotage_actions"/>
      <sheetName val="Métier_HVAC"/>
      <sheetName val="Métier_Logiciel"/>
      <sheetName val="Notice_générale"/>
      <sheetName val="Notice_Responsabilité"/>
      <sheetName val="Notice_Description"/>
      <sheetName val="Notice_Bordereau"/>
      <sheetName val="Grille_Vinci"/>
      <sheetName val="Notice_Synthèse_Stratégique"/>
      <sheetName val="Notice_Fournisseur"/>
      <sheetName val="Notice_Trésorerie"/>
      <sheetName val="Listes_déroulantes"/>
    </sheetNames>
    <sheetDataSet>
      <sheetData sheetId="0"/>
      <sheetData sheetId="1"/>
      <sheetData sheetId="2">
        <row r="5">
          <cell r="C5" t="str">
            <v>Burkina Faso - Zagtouli 33MWc</v>
          </cell>
        </row>
        <row r="11">
          <cell r="G11" t="str">
            <v>En.1.Electrique</v>
          </cell>
        </row>
        <row r="15">
          <cell r="G15" t="str">
            <v>Interne et Externe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>
        <row r="5">
          <cell r="C5" t="str">
            <v>Burkina Faso - Zagtouli 33MWc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UDE MGHASSINE"/>
      <sheetName val="Appr-GC(mghassine)"/>
      <sheetName val="Réhab"/>
      <sheetName val="GC 150m3 MGHASSINE"/>
      <sheetName val="Réservoir Hamraoua"/>
      <sheetName val="BacheSR3NZ"/>
      <sheetName val="ETUDE_MGHASSINE"/>
      <sheetName val="GC_150m3_MGHASSINE"/>
      <sheetName val="Réservoir_Hamraoua"/>
      <sheetName val="ETUDE_MGHASSINE1"/>
      <sheetName val="GC_150m3_MGHASSINE1"/>
      <sheetName val="Réservoir_Hamraoua1"/>
      <sheetName val="S.P1"/>
      <sheetName val="ETUDE_MGHASSINE3"/>
      <sheetName val="GC_150m3_MGHASSINE3"/>
      <sheetName val="Réservoir_Hamraoua3"/>
      <sheetName val="ETUDE_MGHASSINE2"/>
      <sheetName val="GC_150m3_MGHASSINE2"/>
      <sheetName val="Réservoir_Hamraoua2"/>
      <sheetName val="ETUDE_MGHASSINE4"/>
      <sheetName val="GC_150m3_MGHASSINE4"/>
      <sheetName val="Réservoir_Hamraoua4"/>
      <sheetName val="ETUDE_MGHASSINE6"/>
      <sheetName val="GC_150m3_MGHASSINE6"/>
      <sheetName val="Réservoir_Hamraoua6"/>
      <sheetName val="ETUDE_MGHASSINE5"/>
      <sheetName val="GC_150m3_MGHASSINE5"/>
      <sheetName val="Réservoir_Hamraoua5"/>
      <sheetName val="ETUDE_MGHASSINE7"/>
      <sheetName val="GC_150m3_MGHASSINE7"/>
      <sheetName val="Réservoir_Hamraoua7"/>
      <sheetName val="Macro-press"/>
      <sheetName val="S_P1"/>
      <sheetName val="S_P11"/>
      <sheetName val="S_P12"/>
      <sheetName val="Macro-Long"/>
      <sheetName val="elec"/>
      <sheetName val="AN3"/>
      <sheetName val="AN2"/>
      <sheetName val="Macro-Epaisseur"/>
      <sheetName val="Macro-Dexterne"/>
      <sheetName val="ETUDE_MGHASSINE8"/>
      <sheetName val="GC_150m3_MGHASSINE8"/>
      <sheetName val="Réservoir_Hamraoua8"/>
      <sheetName val="S_P13"/>
      <sheetName val="Bache 50 m3_SR1"/>
      <sheetName val="RE SEV 50"/>
      <sheetName val="S_P14"/>
      <sheetName val="S_P15"/>
      <sheetName val="S_P16"/>
      <sheetName val="ETUDE_MGHASSINE9"/>
      <sheetName val="GC_150m3_MGHASSINE9"/>
      <sheetName val="Réservoir_Hamraoua9"/>
      <sheetName val="S_P17"/>
      <sheetName val="ETUDE_MGHASSINE10"/>
      <sheetName val="GC_150m3_MGHASSINE10"/>
      <sheetName val="Réservoir_Hamraoua10"/>
      <sheetName val="S_P18"/>
      <sheetName val="ETUDE_MGHASSINE11"/>
      <sheetName val="GC_150m3_MGHASSINE11"/>
      <sheetName val="Réservoir_Hamraoua11"/>
      <sheetName val="S_P19"/>
      <sheetName val="ETUDE_MGHASSINE12"/>
      <sheetName val="GC_150m3_MGHASSINE12"/>
      <sheetName val="Réservoir_Hamraoua12"/>
      <sheetName val="S_P110"/>
      <sheetName val="ETUDE_MGHASSINE13"/>
      <sheetName val="GC_150m3_MGHASSINE13"/>
      <sheetName val="Réservoir_Hamraoua13"/>
      <sheetName val="S_P111"/>
      <sheetName val="ETUDE_MGHASSINE14"/>
      <sheetName val="GC_150m3_MGHASSINE14"/>
      <sheetName val="Réservoir_Hamraoua14"/>
      <sheetName val="S_P112"/>
      <sheetName val="ETUDE_MGHASSINE15"/>
      <sheetName val="GC_150m3_MGHASSINE15"/>
      <sheetName val="Réservoir_Hamraoua15"/>
      <sheetName val="S_P113"/>
      <sheetName val="ETUDE_MGHASSINE16"/>
      <sheetName val="GC_150m3_MGHASSINE16"/>
      <sheetName val="Réservoir_Hamraoua16"/>
      <sheetName val="S_P114"/>
      <sheetName val="ETUDE_MGHASSINE17"/>
      <sheetName val="GC_150m3_MGHASSINE17"/>
      <sheetName val="Réservoir_Hamraoua17"/>
      <sheetName val="S_P115"/>
      <sheetName val="ETUDE_MGHASSINE18"/>
      <sheetName val="GC_150m3_MGHASSINE18"/>
      <sheetName val="Réservoir_Hamraoua18"/>
      <sheetName val="S_P116"/>
      <sheetName val="ETUDE_MGHASSINE19"/>
      <sheetName val="GC_150m3_MGHASSINE19"/>
      <sheetName val="Réservoir_Hamraoua19"/>
      <sheetName val="S_P117"/>
      <sheetName val="ETUDE_MGHASSINE20"/>
      <sheetName val="GC_150m3_MGHASSINE20"/>
      <sheetName val="Réservoir_Hamraoua20"/>
      <sheetName val="S_P118"/>
      <sheetName val="99-00 (ACTIVITE)"/>
      <sheetName val="ETUDE_MGHASSINE23"/>
      <sheetName val="GC_150m3_MGHASSINE23"/>
      <sheetName val="Réservoir_Hamraoua23"/>
      <sheetName val="S_P121"/>
      <sheetName val="ETUDE_MGHASSINE22"/>
      <sheetName val="GC_150m3_MGHASSINE22"/>
      <sheetName val="Réservoir_Hamraoua22"/>
      <sheetName val="S_P120"/>
      <sheetName val="ETUDE_MGHASSINE21"/>
      <sheetName val="GC_150m3_MGHASSINE21"/>
      <sheetName val="Réservoir_Hamraoua21"/>
      <sheetName val="S_P119"/>
      <sheetName val="ETUDE_MGHASSINE24"/>
      <sheetName val="GC_150m3_MGHASSINE24"/>
      <sheetName val="Réservoir_Hamraoua24"/>
      <sheetName val="S_P122"/>
      <sheetName val="ETUDE_MGHASSINE25"/>
      <sheetName val="GC_150m3_MGHASSINE25"/>
      <sheetName val="Réservoir_Hamraoua25"/>
      <sheetName val="S_P123"/>
      <sheetName val="ETUDE_MGHASSINE26"/>
      <sheetName val="GC_150m3_MGHASSINE26"/>
      <sheetName val="Réservoir_Hamraoua26"/>
      <sheetName val="S_P124"/>
      <sheetName val="Recap"/>
      <sheetName val="lot 7 ELEC"/>
      <sheetName val="Macro-colbrook"/>
      <sheetName val="Macro-Newton"/>
      <sheetName val="Macro-cons"/>
      <sheetName val="Macro-Diam-interne"/>
      <sheetName val="99-00_(ACTIVITE)"/>
      <sheetName val="99-00_(ACTIVITE)1"/>
      <sheetName val="99-00_(ACTIVITE)2"/>
      <sheetName val="99-00_(ACTIVITE)3"/>
      <sheetName val="Bache_50_m3_SR1"/>
      <sheetName val="RE_SEV_50"/>
      <sheetName val="ETUDE_MGHASSINE32"/>
      <sheetName val="GC_150m3_MGHASSINE32"/>
      <sheetName val="Réservoir_Hamraoua32"/>
      <sheetName val="S_P130"/>
      <sheetName val="99-00_(ACTIVITE)6"/>
      <sheetName val="Bache_50_m3_SR13"/>
      <sheetName val="RE_SEV_503"/>
      <sheetName val="ETUDE_MGHASSINE27"/>
      <sheetName val="GC_150m3_MGHASSINE27"/>
      <sheetName val="Réservoir_Hamraoua27"/>
      <sheetName val="S_P125"/>
      <sheetName val="ETUDE_MGHASSINE28"/>
      <sheetName val="GC_150m3_MGHASSINE28"/>
      <sheetName val="Réservoir_Hamraoua28"/>
      <sheetName val="S_P126"/>
      <sheetName val="ETUDE_MGHASSINE29"/>
      <sheetName val="GC_150m3_MGHASSINE29"/>
      <sheetName val="Réservoir_Hamraoua29"/>
      <sheetName val="S_P127"/>
      <sheetName val="99-00_(ACTIVITE)4"/>
      <sheetName val="Bache_50_m3_SR11"/>
      <sheetName val="RE_SEV_501"/>
      <sheetName val="ETUDE_MGHASSINE31"/>
      <sheetName val="GC_150m3_MGHASSINE31"/>
      <sheetName val="Réservoir_Hamraoua31"/>
      <sheetName val="S_P129"/>
      <sheetName val="ETUDE_MGHASSINE30"/>
      <sheetName val="GC_150m3_MGHASSINE30"/>
      <sheetName val="Réservoir_Hamraoua30"/>
      <sheetName val="S_P128"/>
      <sheetName val="99-00_(ACTIVITE)5"/>
      <sheetName val="Bache_50_m3_SR12"/>
      <sheetName val="RE_SEV_502"/>
      <sheetName val="DESC_ILOT9"/>
      <sheetName val="DESC_ILOT10"/>
      <sheetName val="DESC_ILOT9-10 "/>
      <sheetName val="DESC_ILOT9-10_2"/>
      <sheetName val="DESC_ILOT9-10 160409"/>
      <sheetName val="DESC_ILOT9-10_1604092"/>
      <sheetName val="ETUDE_MGHASSINE33"/>
      <sheetName val="GC_150m3_MGHASSINE33"/>
      <sheetName val="Réservoir_Hamraoua33"/>
      <sheetName val="S_P131"/>
      <sheetName val="99-00_(ACTIVITE)8"/>
      <sheetName val="Bache_50_m3_SR15"/>
      <sheetName val="RE_SEV_505"/>
      <sheetName val="99-00_(ACTIVITE)7"/>
      <sheetName val="Bache_50_m3_SR14"/>
      <sheetName val="RE_SEV_504"/>
      <sheetName val="ETUDE_MGHASSINE34"/>
      <sheetName val="GC_150m3_MGHASSINE34"/>
      <sheetName val="Réservoir_Hamraoua34"/>
      <sheetName val="S_P132"/>
      <sheetName val="99-00_(ACTIVITE)9"/>
      <sheetName val="budget_2003_MAROC_CONNECT11"/>
      <sheetName val="BATIMENT"/>
      <sheetName val="Calcul"/>
      <sheetName val="ETUDE_MGHASSINE37"/>
      <sheetName val="GC_150m3_MGHASSINE37"/>
      <sheetName val="Réservoir_Hamraoua37"/>
      <sheetName val="ETUDE_MGHASSINE35"/>
      <sheetName val="GC_150m3_MGHASSINE35"/>
      <sheetName val="Réservoir_Hamraoua35"/>
      <sheetName val="ETUDE_MGHASSINE36"/>
      <sheetName val="GC_150m3_MGHASSINE36"/>
      <sheetName val="Réservoir_Hamraoua36"/>
      <sheetName val="ETUDE_MGHASSINE41"/>
      <sheetName val="GC_150m3_MGHASSINE41"/>
      <sheetName val="Réservoir_Hamraoua41"/>
      <sheetName val="S_P136"/>
      <sheetName val="ETUDE_MGHASSINE38"/>
      <sheetName val="GC_150m3_MGHASSINE38"/>
      <sheetName val="Réservoir_Hamraoua38"/>
      <sheetName val="S_P133"/>
      <sheetName val="ETUDE_MGHASSINE39"/>
      <sheetName val="GC_150m3_MGHASSINE39"/>
      <sheetName val="Réservoir_Hamraoua39"/>
      <sheetName val="S_P134"/>
      <sheetName val="ETUDE_MGHASSINE40"/>
      <sheetName val="GC_150m3_MGHASSINE40"/>
      <sheetName val="Réservoir_Hamraoua40"/>
      <sheetName val="S_P135"/>
      <sheetName val="ETUDE_MGHASSINE42"/>
      <sheetName val="GC_150m3_MGHASSINE42"/>
      <sheetName val="Réservoir_Hamraoua42"/>
      <sheetName val="S_P137"/>
      <sheetName val="ETUDE_MGHASSINE43"/>
      <sheetName val="GC_150m3_MGHASSINE43"/>
      <sheetName val="Réservoir_Hamraoua43"/>
      <sheetName val="S_P138"/>
      <sheetName val="ETUDE_MGHASSINE45"/>
      <sheetName val="GC_150m3_MGHASSINE45"/>
      <sheetName val="Réservoir_Hamraoua45"/>
      <sheetName val="S_P140"/>
      <sheetName val="ETUDE_MGHASSINE44"/>
      <sheetName val="GC_150m3_MGHASSINE44"/>
      <sheetName val="Réservoir_Hamraoua44"/>
      <sheetName val="S_P139"/>
      <sheetName val="ETUDE_MGHASSINE46"/>
      <sheetName val="GC_150m3_MGHASSINE46"/>
      <sheetName val="Réservoir_Hamraoua46"/>
      <sheetName val="S_P141"/>
      <sheetName val="ETUDE_MGHASSINE47"/>
      <sheetName val="GC_150m3_MGHASSINE47"/>
      <sheetName val="Réservoir_Hamraoua47"/>
      <sheetName val="S_P142"/>
      <sheetName val=""/>
      <sheetName val="Bache_50_m3_SR16"/>
      <sheetName val="RE_SEV_506"/>
      <sheetName val="DESC_ILOT9-10_"/>
      <sheetName val="DESC_ILOT9-10_160409"/>
      <sheetName val="99-00_(ACTIVITE)10"/>
      <sheetName val="Bache_50_m3_SR17"/>
      <sheetName val="RE_SEV_507"/>
      <sheetName val="DESC_ILOT9-10_1"/>
      <sheetName val="DESC_ILOT9-10_1604091"/>
      <sheetName val="99-00_(ACTIVITE)11"/>
      <sheetName val="99-00_(ACTIVITE)12"/>
      <sheetName val="Bache_50_m3_SR18"/>
      <sheetName val="RE_SEV_508"/>
      <sheetName val="lot_7_ELEC"/>
      <sheetName val="semelfonc"/>
      <sheetName val="classe1"/>
      <sheetName val="preau"/>
      <sheetName val="MGHASSINE"/>
    </sheetNames>
    <sheetDataSet>
      <sheetData sheetId="0" refreshError="1"/>
      <sheetData sheetId="1" refreshError="1"/>
      <sheetData sheetId="2" refreshError="1"/>
      <sheetData sheetId="3" refreshError="1">
        <row r="14">
          <cell r="J14">
            <v>0.7</v>
          </cell>
        </row>
        <row r="20">
          <cell r="J20">
            <v>3.7</v>
          </cell>
        </row>
        <row r="38">
          <cell r="J38">
            <v>0.4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4">
          <cell r="J14">
            <v>0.7</v>
          </cell>
        </row>
      </sheetData>
      <sheetData sheetId="42">
        <row r="14">
          <cell r="J14">
            <v>0.7</v>
          </cell>
        </row>
      </sheetData>
      <sheetData sheetId="43">
        <row r="14">
          <cell r="J14">
            <v>0.7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>
        <row r="14">
          <cell r="J14">
            <v>0.7</v>
          </cell>
        </row>
      </sheetData>
      <sheetData sheetId="49">
        <row r="14">
          <cell r="J14">
            <v>0.7</v>
          </cell>
        </row>
      </sheetData>
      <sheetData sheetId="50"/>
      <sheetData sheetId="51"/>
      <sheetData sheetId="52"/>
      <sheetData sheetId="53">
        <row r="14">
          <cell r="J14">
            <v>0.7</v>
          </cell>
        </row>
      </sheetData>
      <sheetData sheetId="54">
        <row r="14">
          <cell r="J14">
            <v>0.7</v>
          </cell>
        </row>
      </sheetData>
      <sheetData sheetId="55">
        <row r="14">
          <cell r="J14">
            <v>0.7</v>
          </cell>
        </row>
      </sheetData>
      <sheetData sheetId="56">
        <row r="14">
          <cell r="J14">
            <v>0.7</v>
          </cell>
        </row>
      </sheetData>
      <sheetData sheetId="57">
        <row r="14">
          <cell r="J14">
            <v>0.7</v>
          </cell>
        </row>
      </sheetData>
      <sheetData sheetId="58">
        <row r="14">
          <cell r="J14">
            <v>0.7</v>
          </cell>
        </row>
      </sheetData>
      <sheetData sheetId="59">
        <row r="14">
          <cell r="J14">
            <v>0.7</v>
          </cell>
        </row>
      </sheetData>
      <sheetData sheetId="60">
        <row r="14">
          <cell r="J14">
            <v>0.7</v>
          </cell>
        </row>
      </sheetData>
      <sheetData sheetId="61">
        <row r="14">
          <cell r="J14">
            <v>0.7</v>
          </cell>
        </row>
      </sheetData>
      <sheetData sheetId="62">
        <row r="14">
          <cell r="J14">
            <v>0.7</v>
          </cell>
        </row>
      </sheetData>
      <sheetData sheetId="63">
        <row r="14">
          <cell r="J14">
            <v>0.7</v>
          </cell>
        </row>
      </sheetData>
      <sheetData sheetId="64">
        <row r="14">
          <cell r="J14">
            <v>0.7</v>
          </cell>
        </row>
      </sheetData>
      <sheetData sheetId="65">
        <row r="14">
          <cell r="J14">
            <v>0.7</v>
          </cell>
        </row>
      </sheetData>
      <sheetData sheetId="66">
        <row r="14">
          <cell r="J14">
            <v>0.7</v>
          </cell>
        </row>
      </sheetData>
      <sheetData sheetId="67">
        <row r="14">
          <cell r="J14">
            <v>0.7</v>
          </cell>
        </row>
      </sheetData>
      <sheetData sheetId="68">
        <row r="14">
          <cell r="J14">
            <v>0.7</v>
          </cell>
        </row>
      </sheetData>
      <sheetData sheetId="69">
        <row r="14">
          <cell r="J14">
            <v>0.7</v>
          </cell>
        </row>
      </sheetData>
      <sheetData sheetId="70">
        <row r="14">
          <cell r="J14">
            <v>0.7</v>
          </cell>
        </row>
      </sheetData>
      <sheetData sheetId="71">
        <row r="14">
          <cell r="J14">
            <v>0.7</v>
          </cell>
        </row>
      </sheetData>
      <sheetData sheetId="72">
        <row r="14">
          <cell r="J14">
            <v>0.7</v>
          </cell>
        </row>
      </sheetData>
      <sheetData sheetId="73">
        <row r="14">
          <cell r="J14">
            <v>0.7</v>
          </cell>
        </row>
      </sheetData>
      <sheetData sheetId="74">
        <row r="14">
          <cell r="J14">
            <v>0.7</v>
          </cell>
        </row>
      </sheetData>
      <sheetData sheetId="75">
        <row r="14">
          <cell r="J14">
            <v>0.7</v>
          </cell>
        </row>
      </sheetData>
      <sheetData sheetId="76">
        <row r="14">
          <cell r="J14">
            <v>0.7</v>
          </cell>
        </row>
      </sheetData>
      <sheetData sheetId="77">
        <row r="14">
          <cell r="J14">
            <v>0.7</v>
          </cell>
        </row>
      </sheetData>
      <sheetData sheetId="78">
        <row r="14">
          <cell r="J14">
            <v>0.7</v>
          </cell>
        </row>
      </sheetData>
      <sheetData sheetId="79">
        <row r="14">
          <cell r="J14">
            <v>0.7</v>
          </cell>
        </row>
      </sheetData>
      <sheetData sheetId="80">
        <row r="14">
          <cell r="J14">
            <v>0.7</v>
          </cell>
        </row>
      </sheetData>
      <sheetData sheetId="81">
        <row r="14">
          <cell r="J14">
            <v>0.7</v>
          </cell>
        </row>
      </sheetData>
      <sheetData sheetId="82">
        <row r="14">
          <cell r="J14">
            <v>0.7</v>
          </cell>
        </row>
      </sheetData>
      <sheetData sheetId="83">
        <row r="14">
          <cell r="J14">
            <v>0.7</v>
          </cell>
        </row>
      </sheetData>
      <sheetData sheetId="84">
        <row r="14">
          <cell r="J14">
            <v>0.7</v>
          </cell>
        </row>
      </sheetData>
      <sheetData sheetId="85">
        <row r="14">
          <cell r="J14">
            <v>0.7</v>
          </cell>
        </row>
      </sheetData>
      <sheetData sheetId="86">
        <row r="14">
          <cell r="J14">
            <v>0.7</v>
          </cell>
        </row>
      </sheetData>
      <sheetData sheetId="87">
        <row r="14">
          <cell r="J14">
            <v>0.7</v>
          </cell>
        </row>
      </sheetData>
      <sheetData sheetId="88">
        <row r="14">
          <cell r="J14">
            <v>0.7</v>
          </cell>
        </row>
      </sheetData>
      <sheetData sheetId="89">
        <row r="14">
          <cell r="J14">
            <v>0.7</v>
          </cell>
        </row>
      </sheetData>
      <sheetData sheetId="90">
        <row r="14">
          <cell r="J14">
            <v>0.7</v>
          </cell>
        </row>
      </sheetData>
      <sheetData sheetId="91">
        <row r="14">
          <cell r="J14">
            <v>0.7</v>
          </cell>
        </row>
      </sheetData>
      <sheetData sheetId="92">
        <row r="14">
          <cell r="J14">
            <v>0.7</v>
          </cell>
        </row>
      </sheetData>
      <sheetData sheetId="93">
        <row r="14">
          <cell r="J14">
            <v>0.7</v>
          </cell>
        </row>
      </sheetData>
      <sheetData sheetId="94">
        <row r="14">
          <cell r="J14">
            <v>0.7</v>
          </cell>
        </row>
      </sheetData>
      <sheetData sheetId="95">
        <row r="14">
          <cell r="J14">
            <v>0.7</v>
          </cell>
        </row>
      </sheetData>
      <sheetData sheetId="96" refreshError="1"/>
      <sheetData sheetId="97" refreshError="1"/>
      <sheetData sheetId="98">
        <row r="14">
          <cell r="J14">
            <v>0.7</v>
          </cell>
        </row>
      </sheetData>
      <sheetData sheetId="99">
        <row r="14">
          <cell r="J14">
            <v>0.7</v>
          </cell>
        </row>
      </sheetData>
      <sheetData sheetId="100">
        <row r="14">
          <cell r="J14">
            <v>0.7</v>
          </cell>
        </row>
      </sheetData>
      <sheetData sheetId="101">
        <row r="14">
          <cell r="J14">
            <v>0.7</v>
          </cell>
        </row>
      </sheetData>
      <sheetData sheetId="102">
        <row r="14">
          <cell r="J14">
            <v>0.7</v>
          </cell>
        </row>
      </sheetData>
      <sheetData sheetId="103">
        <row r="14">
          <cell r="J14">
            <v>0.7</v>
          </cell>
        </row>
      </sheetData>
      <sheetData sheetId="104">
        <row r="14">
          <cell r="J14">
            <v>0.7</v>
          </cell>
        </row>
      </sheetData>
      <sheetData sheetId="105">
        <row r="14">
          <cell r="J14">
            <v>0.7</v>
          </cell>
        </row>
      </sheetData>
      <sheetData sheetId="106">
        <row r="14">
          <cell r="J14">
            <v>0.7</v>
          </cell>
        </row>
      </sheetData>
      <sheetData sheetId="107">
        <row r="14">
          <cell r="J14">
            <v>0.7</v>
          </cell>
        </row>
      </sheetData>
      <sheetData sheetId="108">
        <row r="14">
          <cell r="J14">
            <v>0.7</v>
          </cell>
        </row>
      </sheetData>
      <sheetData sheetId="109">
        <row r="14">
          <cell r="J14">
            <v>0.7</v>
          </cell>
        </row>
      </sheetData>
      <sheetData sheetId="110">
        <row r="14">
          <cell r="J14">
            <v>0.7</v>
          </cell>
        </row>
      </sheetData>
      <sheetData sheetId="111">
        <row r="14">
          <cell r="J14">
            <v>0.7</v>
          </cell>
        </row>
      </sheetData>
      <sheetData sheetId="112">
        <row r="14">
          <cell r="J14">
            <v>0.7</v>
          </cell>
        </row>
      </sheetData>
      <sheetData sheetId="113">
        <row r="14">
          <cell r="J14">
            <v>0.7</v>
          </cell>
        </row>
      </sheetData>
      <sheetData sheetId="114">
        <row r="14">
          <cell r="J14">
            <v>0.7</v>
          </cell>
        </row>
      </sheetData>
      <sheetData sheetId="115">
        <row r="14">
          <cell r="J14">
            <v>0.7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14">
          <cell r="J14">
            <v>0.7</v>
          </cell>
        </row>
      </sheetData>
      <sheetData sheetId="126" refreshError="1"/>
      <sheetData sheetId="127" refreshError="1"/>
      <sheetData sheetId="128" refreshError="1"/>
      <sheetData sheetId="129">
        <row r="14">
          <cell r="J14">
            <v>0.7</v>
          </cell>
        </row>
      </sheetData>
      <sheetData sheetId="130">
        <row r="14">
          <cell r="J14">
            <v>0.7</v>
          </cell>
        </row>
      </sheetData>
      <sheetData sheetId="131">
        <row r="14">
          <cell r="J14">
            <v>0.7</v>
          </cell>
        </row>
      </sheetData>
      <sheetData sheetId="132">
        <row r="14">
          <cell r="J14">
            <v>0.7</v>
          </cell>
        </row>
      </sheetData>
      <sheetData sheetId="133">
        <row r="14">
          <cell r="J14">
            <v>0.7</v>
          </cell>
        </row>
      </sheetData>
      <sheetData sheetId="134">
        <row r="14">
          <cell r="J14">
            <v>0.7</v>
          </cell>
        </row>
      </sheetData>
      <sheetData sheetId="135">
        <row r="14">
          <cell r="J14">
            <v>0.7</v>
          </cell>
        </row>
      </sheetData>
      <sheetData sheetId="136">
        <row r="14">
          <cell r="J14">
            <v>0.7</v>
          </cell>
        </row>
      </sheetData>
      <sheetData sheetId="137">
        <row r="14">
          <cell r="J14">
            <v>0.7</v>
          </cell>
        </row>
      </sheetData>
      <sheetData sheetId="138">
        <row r="14">
          <cell r="J14">
            <v>0.7</v>
          </cell>
        </row>
      </sheetData>
      <sheetData sheetId="139">
        <row r="14">
          <cell r="J14">
            <v>0.7</v>
          </cell>
        </row>
      </sheetData>
      <sheetData sheetId="140">
        <row r="14">
          <cell r="J14">
            <v>0.7</v>
          </cell>
        </row>
      </sheetData>
      <sheetData sheetId="141">
        <row r="14">
          <cell r="J14">
            <v>0.7</v>
          </cell>
        </row>
      </sheetData>
      <sheetData sheetId="142">
        <row r="14">
          <cell r="J14">
            <v>0.7</v>
          </cell>
        </row>
      </sheetData>
      <sheetData sheetId="143">
        <row r="14">
          <cell r="J14">
            <v>0.7</v>
          </cell>
        </row>
      </sheetData>
      <sheetData sheetId="144">
        <row r="14">
          <cell r="J14">
            <v>0.7</v>
          </cell>
        </row>
      </sheetData>
      <sheetData sheetId="145">
        <row r="14">
          <cell r="J14">
            <v>0.7</v>
          </cell>
        </row>
      </sheetData>
      <sheetData sheetId="146">
        <row r="14">
          <cell r="J14">
            <v>0.7</v>
          </cell>
        </row>
      </sheetData>
      <sheetData sheetId="147">
        <row r="14">
          <cell r="J14">
            <v>0.7</v>
          </cell>
        </row>
      </sheetData>
      <sheetData sheetId="148">
        <row r="14">
          <cell r="J14">
            <v>0.7</v>
          </cell>
        </row>
      </sheetData>
      <sheetData sheetId="149">
        <row r="14">
          <cell r="J14">
            <v>0.7</v>
          </cell>
        </row>
      </sheetData>
      <sheetData sheetId="150">
        <row r="14">
          <cell r="J14">
            <v>0.7</v>
          </cell>
        </row>
      </sheetData>
      <sheetData sheetId="151">
        <row r="14">
          <cell r="J14">
            <v>0.7</v>
          </cell>
        </row>
      </sheetData>
      <sheetData sheetId="152">
        <row r="14">
          <cell r="J14">
            <v>0.7</v>
          </cell>
        </row>
      </sheetData>
      <sheetData sheetId="153">
        <row r="14">
          <cell r="J14">
            <v>0.7</v>
          </cell>
        </row>
      </sheetData>
      <sheetData sheetId="154">
        <row r="14">
          <cell r="J14">
            <v>0.7</v>
          </cell>
        </row>
      </sheetData>
      <sheetData sheetId="155">
        <row r="14">
          <cell r="J14">
            <v>0.7</v>
          </cell>
        </row>
      </sheetData>
      <sheetData sheetId="156">
        <row r="14">
          <cell r="J14">
            <v>0.7</v>
          </cell>
        </row>
      </sheetData>
      <sheetData sheetId="157">
        <row r="14">
          <cell r="J14">
            <v>0.7</v>
          </cell>
        </row>
      </sheetData>
      <sheetData sheetId="158">
        <row r="14">
          <cell r="J14">
            <v>0.7</v>
          </cell>
        </row>
      </sheetData>
      <sheetData sheetId="159">
        <row r="14">
          <cell r="J14">
            <v>0.7</v>
          </cell>
        </row>
      </sheetData>
      <sheetData sheetId="160">
        <row r="14">
          <cell r="J14">
            <v>0.7</v>
          </cell>
        </row>
      </sheetData>
      <sheetData sheetId="161">
        <row r="14">
          <cell r="J14">
            <v>0.7</v>
          </cell>
        </row>
      </sheetData>
      <sheetData sheetId="162">
        <row r="14">
          <cell r="J14">
            <v>0.7</v>
          </cell>
        </row>
      </sheetData>
      <sheetData sheetId="163">
        <row r="14">
          <cell r="J14">
            <v>0.7</v>
          </cell>
        </row>
      </sheetData>
      <sheetData sheetId="164">
        <row r="14">
          <cell r="J14">
            <v>0.7</v>
          </cell>
        </row>
      </sheetData>
      <sheetData sheetId="165">
        <row r="14">
          <cell r="J14">
            <v>0.7</v>
          </cell>
        </row>
      </sheetData>
      <sheetData sheetId="166">
        <row r="14">
          <cell r="J14">
            <v>0.7</v>
          </cell>
        </row>
      </sheetData>
      <sheetData sheetId="167">
        <row r="14">
          <cell r="J14">
            <v>0.7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4">
          <cell r="J14">
            <v>0.7</v>
          </cell>
        </row>
      </sheetData>
      <sheetData sheetId="175">
        <row r="14">
          <cell r="J14">
            <v>0.7</v>
          </cell>
        </row>
      </sheetData>
      <sheetData sheetId="176">
        <row r="14">
          <cell r="J14">
            <v>0.7</v>
          </cell>
        </row>
      </sheetData>
      <sheetData sheetId="177">
        <row r="14">
          <cell r="J14">
            <v>0.7</v>
          </cell>
        </row>
      </sheetData>
      <sheetData sheetId="178">
        <row r="14">
          <cell r="J14">
            <v>0.7</v>
          </cell>
        </row>
      </sheetData>
      <sheetData sheetId="179">
        <row r="14">
          <cell r="J14">
            <v>0.7</v>
          </cell>
        </row>
      </sheetData>
      <sheetData sheetId="180">
        <row r="14">
          <cell r="J14">
            <v>0.7</v>
          </cell>
        </row>
      </sheetData>
      <sheetData sheetId="181">
        <row r="14">
          <cell r="J14">
            <v>0.7</v>
          </cell>
        </row>
      </sheetData>
      <sheetData sheetId="182">
        <row r="14">
          <cell r="J14">
            <v>0.7</v>
          </cell>
        </row>
      </sheetData>
      <sheetData sheetId="183">
        <row r="14">
          <cell r="J14">
            <v>0.7</v>
          </cell>
        </row>
      </sheetData>
      <sheetData sheetId="184">
        <row r="14">
          <cell r="J14">
            <v>0.7</v>
          </cell>
        </row>
      </sheetData>
      <sheetData sheetId="185">
        <row r="14">
          <cell r="J14">
            <v>0.7</v>
          </cell>
        </row>
      </sheetData>
      <sheetData sheetId="186">
        <row r="14">
          <cell r="J14">
            <v>0.7</v>
          </cell>
        </row>
      </sheetData>
      <sheetData sheetId="187">
        <row r="14">
          <cell r="J14">
            <v>0.7</v>
          </cell>
        </row>
      </sheetData>
      <sheetData sheetId="188">
        <row r="14">
          <cell r="J14">
            <v>0.7</v>
          </cell>
        </row>
      </sheetData>
      <sheetData sheetId="189">
        <row r="14">
          <cell r="J14">
            <v>0.7</v>
          </cell>
        </row>
      </sheetData>
      <sheetData sheetId="190">
        <row r="14">
          <cell r="J14">
            <v>0.7</v>
          </cell>
        </row>
      </sheetData>
      <sheetData sheetId="191" refreshError="1"/>
      <sheetData sheetId="192">
        <row r="14">
          <cell r="J14">
            <v>0.7</v>
          </cell>
        </row>
      </sheetData>
      <sheetData sheetId="193">
        <row r="14">
          <cell r="J14">
            <v>0.7</v>
          </cell>
        </row>
      </sheetData>
      <sheetData sheetId="194">
        <row r="14">
          <cell r="J14">
            <v>0.7</v>
          </cell>
        </row>
      </sheetData>
      <sheetData sheetId="195">
        <row r="14">
          <cell r="J14">
            <v>0.7</v>
          </cell>
        </row>
      </sheetData>
      <sheetData sheetId="196">
        <row r="14">
          <cell r="J14">
            <v>0.7</v>
          </cell>
        </row>
      </sheetData>
      <sheetData sheetId="197">
        <row r="14">
          <cell r="J14">
            <v>0.7</v>
          </cell>
        </row>
      </sheetData>
      <sheetData sheetId="198">
        <row r="14">
          <cell r="J14">
            <v>0.7</v>
          </cell>
        </row>
      </sheetData>
      <sheetData sheetId="199">
        <row r="14">
          <cell r="J14">
            <v>0.7</v>
          </cell>
        </row>
      </sheetData>
      <sheetData sheetId="200">
        <row r="14">
          <cell r="J14">
            <v>0.7</v>
          </cell>
        </row>
      </sheetData>
      <sheetData sheetId="201">
        <row r="14">
          <cell r="J14">
            <v>0.7</v>
          </cell>
        </row>
      </sheetData>
      <sheetData sheetId="202">
        <row r="14">
          <cell r="J14">
            <v>0.7</v>
          </cell>
        </row>
      </sheetData>
      <sheetData sheetId="203"/>
      <sheetData sheetId="204">
        <row r="14">
          <cell r="J14">
            <v>0.7</v>
          </cell>
        </row>
      </sheetData>
      <sheetData sheetId="205">
        <row r="14">
          <cell r="J14">
            <v>0.7</v>
          </cell>
        </row>
      </sheetData>
      <sheetData sheetId="206">
        <row r="14">
          <cell r="J14">
            <v>0.7</v>
          </cell>
        </row>
      </sheetData>
      <sheetData sheetId="207">
        <row r="14">
          <cell r="J14">
            <v>0.7</v>
          </cell>
        </row>
      </sheetData>
      <sheetData sheetId="208">
        <row r="14">
          <cell r="J14">
            <v>0.7</v>
          </cell>
        </row>
      </sheetData>
      <sheetData sheetId="209">
        <row r="14">
          <cell r="J14">
            <v>0.7</v>
          </cell>
        </row>
      </sheetData>
      <sheetData sheetId="210">
        <row r="14">
          <cell r="J14">
            <v>0.7</v>
          </cell>
        </row>
      </sheetData>
      <sheetData sheetId="211">
        <row r="14">
          <cell r="J14">
            <v>0.7</v>
          </cell>
        </row>
      </sheetData>
      <sheetData sheetId="212">
        <row r="14">
          <cell r="J14">
            <v>0.7</v>
          </cell>
        </row>
      </sheetData>
      <sheetData sheetId="213">
        <row r="14">
          <cell r="J14">
            <v>0.7</v>
          </cell>
        </row>
      </sheetData>
      <sheetData sheetId="214">
        <row r="14">
          <cell r="J14">
            <v>0.7</v>
          </cell>
        </row>
      </sheetData>
      <sheetData sheetId="215">
        <row r="14">
          <cell r="J14">
            <v>0.7</v>
          </cell>
        </row>
      </sheetData>
      <sheetData sheetId="216">
        <row r="14">
          <cell r="J14">
            <v>0.7</v>
          </cell>
        </row>
      </sheetData>
      <sheetData sheetId="217">
        <row r="14">
          <cell r="J14">
            <v>0.7</v>
          </cell>
        </row>
      </sheetData>
      <sheetData sheetId="218">
        <row r="14">
          <cell r="J14">
            <v>0.7</v>
          </cell>
        </row>
      </sheetData>
      <sheetData sheetId="219">
        <row r="14">
          <cell r="J14">
            <v>0.7</v>
          </cell>
        </row>
      </sheetData>
      <sheetData sheetId="220">
        <row r="14">
          <cell r="J14">
            <v>0.7</v>
          </cell>
        </row>
      </sheetData>
      <sheetData sheetId="221">
        <row r="14">
          <cell r="J14">
            <v>0.7</v>
          </cell>
        </row>
      </sheetData>
      <sheetData sheetId="222">
        <row r="14">
          <cell r="J14">
            <v>0.7</v>
          </cell>
        </row>
      </sheetData>
      <sheetData sheetId="223"/>
      <sheetData sheetId="224">
        <row r="14">
          <cell r="J14">
            <v>0.7</v>
          </cell>
        </row>
      </sheetData>
      <sheetData sheetId="225">
        <row r="14">
          <cell r="J14">
            <v>0.7</v>
          </cell>
        </row>
      </sheetData>
      <sheetData sheetId="226">
        <row r="14">
          <cell r="J14">
            <v>0.7</v>
          </cell>
        </row>
      </sheetData>
      <sheetData sheetId="227">
        <row r="14">
          <cell r="J14">
            <v>0.7</v>
          </cell>
        </row>
      </sheetData>
      <sheetData sheetId="228">
        <row r="14">
          <cell r="J14">
            <v>0.7</v>
          </cell>
        </row>
      </sheetData>
      <sheetData sheetId="229">
        <row r="14">
          <cell r="J14">
            <v>0.7</v>
          </cell>
        </row>
      </sheetData>
      <sheetData sheetId="230">
        <row r="14">
          <cell r="J14">
            <v>0.7</v>
          </cell>
        </row>
      </sheetData>
      <sheetData sheetId="231">
        <row r="14">
          <cell r="J14">
            <v>0.7</v>
          </cell>
        </row>
      </sheetData>
      <sheetData sheetId="232">
        <row r="14">
          <cell r="J14">
            <v>0.7</v>
          </cell>
        </row>
      </sheetData>
      <sheetData sheetId="233">
        <row r="14">
          <cell r="J14">
            <v>0.7</v>
          </cell>
        </row>
      </sheetData>
      <sheetData sheetId="234">
        <row r="14">
          <cell r="J14">
            <v>0.7</v>
          </cell>
        </row>
      </sheetData>
      <sheetData sheetId="235">
        <row r="14">
          <cell r="J14">
            <v>0.7</v>
          </cell>
        </row>
      </sheetData>
      <sheetData sheetId="236">
        <row r="14">
          <cell r="J14">
            <v>0.7</v>
          </cell>
        </row>
      </sheetData>
      <sheetData sheetId="237">
        <row r="14">
          <cell r="J14">
            <v>0.7</v>
          </cell>
        </row>
      </sheetData>
      <sheetData sheetId="238">
        <row r="14">
          <cell r="J14">
            <v>0.7</v>
          </cell>
        </row>
      </sheetData>
      <sheetData sheetId="239">
        <row r="14">
          <cell r="J14">
            <v>0.7</v>
          </cell>
        </row>
      </sheetData>
      <sheetData sheetId="240">
        <row r="14">
          <cell r="J14">
            <v>0.7</v>
          </cell>
        </row>
      </sheetData>
      <sheetData sheetId="241">
        <row r="14">
          <cell r="J14">
            <v>0.7</v>
          </cell>
        </row>
      </sheetData>
      <sheetData sheetId="242"/>
      <sheetData sheetId="243"/>
      <sheetData sheetId="244"/>
      <sheetData sheetId="245"/>
      <sheetData sheetId="246">
        <row r="14">
          <cell r="J14">
            <v>0.7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G_O_ao_CNCA"/>
      <sheetName val="G_O_ao_CNC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situ"/>
    </sheetNames>
    <sheetDataSet>
      <sheetData sheetId="0"/>
      <sheetData sheetId="1"/>
      <sheetData sheetId="2"/>
      <sheetData sheetId="3">
        <row r="6">
          <cell r="H6">
            <v>0.1</v>
          </cell>
        </row>
      </sheetData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"/>
      <sheetName val="ASS"/>
      <sheetName val="Chrono"/>
      <sheetName val="CHEM"/>
      <sheetName val="PG"/>
      <sheetName val="Lg"/>
      <sheetName val="Shema"/>
      <sheetName val="ATTCH"/>
      <sheetName val="ADM"/>
      <sheetName val="HB1"/>
      <sheetName val="HB2"/>
      <sheetName val="HB3"/>
      <sheetName val="HALL"/>
      <sheetName val="SC"/>
      <sheetName val="CSL"/>
      <sheetName val="CUIS"/>
      <sheetName val="REFCT"/>
      <sheetName val="SOM"/>
      <sheetName val="AC1"/>
      <sheetName val="AC2"/>
      <sheetName val="AC3"/>
      <sheetName val="Met"/>
      <sheetName val="METRE"/>
      <sheetName val="DP"/>
      <sheetName val="DP7"/>
      <sheetName val="SIT"/>
      <sheetName val="AV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rono"/>
      <sheetName val="SHO"/>
      <sheetName val="PG"/>
      <sheetName val="DPs"/>
      <sheetName val="Ilot1"/>
      <sheetName val="Ilot2"/>
      <sheetName val="Ilot4"/>
      <sheetName val="REC"/>
    </sheetNames>
    <sheetDataSet>
      <sheetData sheetId="0"/>
      <sheetData sheetId="1"/>
      <sheetData sheetId="2" refreshError="1">
        <row r="1">
          <cell r="E1" t="str">
            <v>ROYAUME DU MAROC</v>
          </cell>
        </row>
        <row r="3">
          <cell r="A3" t="str">
            <v>Maître d'ouvrage  :</v>
          </cell>
          <cell r="I3" t="str">
            <v>Maître d'ouvrage délégué :</v>
          </cell>
        </row>
        <row r="4">
          <cell r="A4" t="str">
            <v>SOCIETE DE DEVELOOPPEMENT AL KORA</v>
          </cell>
          <cell r="I4" t="str">
            <v>COMPAGNIE GENERALE IMMOBILIERE</v>
          </cell>
        </row>
        <row r="5">
          <cell r="A5" t="str">
            <v>RABAT</v>
          </cell>
          <cell r="I5" t="str">
            <v>RABAT</v>
          </cell>
        </row>
        <row r="9">
          <cell r="B9" t="str">
            <v>OPERATION DE RELOGEMENT : " AL KORA "  A RABAT1ére TRANCHE  /  ZONE 1  /  ILOTS I , II et IIILot  N° 2  :  GROS ŒUVRE</v>
          </cell>
        </row>
        <row r="14">
          <cell r="B14" t="str">
            <v>Groupement Architectes :</v>
          </cell>
        </row>
        <row r="16">
          <cell r="C16" t="str">
            <v>Abdelouahed MOUNTASSIR  /  Casablanca</v>
          </cell>
          <cell r="I16" t="str">
            <v>Rachid KARRAKCHOU  /  Rabat</v>
          </cell>
        </row>
        <row r="17">
          <cell r="C17" t="str">
            <v>Abdelmoukla IMAD EDDINE  /  Casablanca</v>
          </cell>
          <cell r="I17" t="str">
            <v>Mohamed EL KADIRI  /  Rabat</v>
          </cell>
        </row>
        <row r="20">
          <cell r="B20" t="str">
            <v>Groupement bureaux d'etudes :</v>
          </cell>
        </row>
        <row r="22">
          <cell r="C22" t="str">
            <v>S.C.O.M. - INGENIERIE  /  Rabat</v>
          </cell>
          <cell r="I22" t="str">
            <v>SCET MAROC  /  Rabat</v>
          </cell>
        </row>
        <row r="25">
          <cell r="B25" t="str">
            <v>ENTREPRISE</v>
          </cell>
        </row>
        <row r="27">
          <cell r="C27" t="str">
            <v>Travaux Généraux de Construction de Casablanca  /  TGCC</v>
          </cell>
        </row>
        <row r="33">
          <cell r="A33" t="str">
            <v>M E T R É  D' E X É C U T I O N</v>
          </cell>
        </row>
        <row r="35">
          <cell r="F35" t="str">
            <v>ILOT  4</v>
          </cell>
        </row>
        <row r="36">
          <cell r="D36" t="str">
            <v>Immeubles n°  :  1 - 2 - 3 - 4.</v>
          </cell>
        </row>
        <row r="42">
          <cell r="O42" t="str">
            <v>Opération AL KORA  /  Rabat</v>
          </cell>
          <cell r="Y42" t="str">
            <v>Entreprise : TGCC</v>
          </cell>
        </row>
        <row r="43">
          <cell r="N43" t="str">
            <v>SCET-MAROC / SCOM-INGENERIE</v>
          </cell>
          <cell r="O43" t="str">
            <v>SCOM-INGENERIE</v>
          </cell>
        </row>
        <row r="53">
          <cell r="N53" t="str">
            <v>Immeuble 1  /  Ilot  4</v>
          </cell>
        </row>
        <row r="54">
          <cell r="N54" t="str">
            <v>TRAVAUX AU METRÉ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Macro-Long"/>
      <sheetName val="BASE"/>
      <sheetName val="G_O_ao_CNCA"/>
      <sheetName val="G_O_ao_CNCA1"/>
      <sheetName val="G_O_ao_CNCA4"/>
      <sheetName val="G_O_ao_CNCA2"/>
      <sheetName val="G_O_ao_CNCA3"/>
      <sheetName val="G_O_ao_CNCA5"/>
      <sheetName val="G_O_ao_CNCA6"/>
      <sheetName val="G_O_ao_CNCA7"/>
      <sheetName val="G_O_ao_CNCA8"/>
      <sheetName val="G_O_ao_CNCA9"/>
      <sheetName val="G_O_ao_CNCA10"/>
      <sheetName val="G_O_ao_CNCA11"/>
      <sheetName val="G_O_ao_CNCA12"/>
      <sheetName val="Global Inputs"/>
      <sheetName val="Global_Inputs"/>
      <sheetName val="Global_Inputs1"/>
      <sheetName val="G_O_ao_CNCA13"/>
      <sheetName val="Global_Inputs2"/>
      <sheetName val="G_O_ao_CNCA14"/>
      <sheetName val="Global_Inputs3"/>
      <sheetName val="G_O_ao_CNCA15"/>
      <sheetName val="Global_Inputs4"/>
      <sheetName val="Global_Inputs5"/>
      <sheetName val="Global_Inputs6"/>
      <sheetName val="Global_Inputs7"/>
      <sheetName val="Global_Inputs8"/>
      <sheetName val="Global_Inputs9"/>
      <sheetName val="Global_Inputs10"/>
      <sheetName val="Global_Inputs11"/>
      <sheetName val="Global_Inputs12"/>
      <sheetName val="Macro-cons"/>
      <sheetName val="Global_Inputs13"/>
      <sheetName val="G_O_ao_CNCA17"/>
      <sheetName val="G_O_ao_CNCA16"/>
      <sheetName val="PLANT"/>
      <sheetName val="distrib"/>
      <sheetName val="Data Sheet1"/>
      <sheetName val="G_O_ao_CNCA18"/>
      <sheetName val="G_O_ao_CNCA20"/>
      <sheetName val="Global_Inputs16"/>
      <sheetName val="Data_Sheet12"/>
      <sheetName val="Global_Inputs14"/>
      <sheetName val="Data_Sheet1"/>
      <sheetName val="G_O_ao_CNCA19"/>
      <sheetName val="Global_Inputs15"/>
      <sheetName val="Data_Sheet11"/>
      <sheetName val="R2CAP"/>
      <sheetName val="production distrib"/>
      <sheetName val="ASS P21"/>
      <sheetName val="dimensio EU"/>
      <sheetName val="TRADING"/>
      <sheetName val="BATIMENT"/>
      <sheetName val="A.I.A"/>
      <sheetName val="elec"/>
      <sheetName val="PG1"/>
      <sheetName val="PU"/>
      <sheetName val="Global_Inputs17"/>
      <sheetName val="Masque"/>
      <sheetName val="Revenus hors intercomp_"/>
      <sheetName val="CNCA DE modefier le25-03-05"/>
      <sheetName val="BacheSR3NZ"/>
      <sheetName val="G_O_ao_CNCA21"/>
      <sheetName val="Data_Sheet13"/>
      <sheetName val="G_O_ao_CNCA22"/>
      <sheetName val="Global_Inputs18"/>
      <sheetName val="Data_Sheet14"/>
      <sheetName val="GC 150m3 MGHASSINE"/>
      <sheetName val="G_O_ao_CNCA23"/>
      <sheetName val="Global_Inputs19"/>
      <sheetName val="Data_Sheet15"/>
      <sheetName val="G_O_ao_CNCA25"/>
      <sheetName val="Global_Inputs21"/>
      <sheetName val="Data_Sheet17"/>
      <sheetName val="G_O_ao_CNCA24"/>
      <sheetName val="Global_Inputs20"/>
      <sheetName val="Data_Sheet16"/>
      <sheetName val="ASS_P21"/>
      <sheetName val="dimensio_EU"/>
      <sheetName val="A_I_A"/>
      <sheetName val="Revenus_hors_intercomp_"/>
      <sheetName val="CNCA_DE_modefier_le25-03-05"/>
      <sheetName val="G_O_ao_CNCA26"/>
      <sheetName val="Global_Inputs22"/>
      <sheetName val="Data_Sheet18"/>
      <sheetName val="ASS_P211"/>
      <sheetName val="dimensio_EU1"/>
      <sheetName val="A_I_A1"/>
      <sheetName val="Revenus_hors_intercomp_1"/>
      <sheetName val="CNCA_DE_modefier_le25-03-051"/>
      <sheetName val="G_O_ao_CNCA27"/>
      <sheetName val="Global_Inputs23"/>
      <sheetName val="Data_Sheet19"/>
      <sheetName val="ASS_P212"/>
      <sheetName val="dimensio_EU2"/>
      <sheetName val="A_I_A2"/>
      <sheetName val="Revenus_hors_intercomp_2"/>
      <sheetName val="CNCA_DE_modefier_le25-03-052"/>
      <sheetName val="AN1SI"/>
      <sheetName val="G_O_ao_CNCA28"/>
      <sheetName val="G_O_ao_CNCA30"/>
      <sheetName val="G_O_ao_CNCA29"/>
      <sheetName val="Global_Inputs24"/>
      <sheetName val="Data_Sheet110"/>
      <sheetName val="ASS_P213"/>
      <sheetName val="dimensio_EU3"/>
      <sheetName val="A_I_A3"/>
      <sheetName val="Revenus_hors_intercomp_3"/>
      <sheetName val="CNCA_DE_modefier_le25-03-053"/>
      <sheetName val="Recp Elév"/>
      <sheetName val="IRRIGATION"/>
      <sheetName val="TELEFON"/>
      <sheetName val="EU "/>
      <sheetName val="Bassins d'infiltrations"/>
      <sheetName val="Eclairage"/>
      <sheetName val="HTA-BT"/>
      <sheetName val="D.E1A"/>
      <sheetName val="production_distrib"/>
      <sheetName val="production_distrib1"/>
      <sheetName val="BpElecEnnasr-Géneral"/>
      <sheetName val="Feuil3"/>
      <sheetName val="production_distrib2"/>
      <sheetName val="production_distrib3"/>
      <sheetName val="production_distrib4"/>
      <sheetName val="production_distrib5"/>
      <sheetName val="GC_150m3_MGHASSINE"/>
      <sheetName val="GC_150m3_MGHASSINE1"/>
      <sheetName val="G_O_ao_CNCA31"/>
      <sheetName val="Global_Inputs25"/>
      <sheetName val="Data_Sheet111"/>
      <sheetName val="ASS_P214"/>
      <sheetName val="dimensio_EU4"/>
      <sheetName val="A_I_A4"/>
      <sheetName val="Revenus_hors_intercomp_4"/>
      <sheetName val="CNCA_DE_modefier_le25-03-054"/>
      <sheetName val="production_distrib6"/>
      <sheetName val="Recp_Elév"/>
      <sheetName val="GC_150m3_MGHASSINE2"/>
      <sheetName val="EU_"/>
      <sheetName val="Bassins_d'infiltrations"/>
      <sheetName val="D_E1A"/>
      <sheetName val="G_O_ao_CNCA34"/>
      <sheetName val="Global_Inputs28"/>
      <sheetName val="Data_Sheet114"/>
      <sheetName val="ASS_P217"/>
      <sheetName val="dimensio_EU7"/>
      <sheetName val="A_I_A7"/>
      <sheetName val="Revenus_hors_intercomp_7"/>
      <sheetName val="CNCA_DE_modefier_le25-03-057"/>
      <sheetName val="production_distrib9"/>
      <sheetName val="Recp_Elév3"/>
      <sheetName val="EU_3"/>
      <sheetName val="Bassins_d'infiltrations3"/>
      <sheetName val="GC_150m3_MGHASSINE5"/>
      <sheetName val="D_E1A3"/>
      <sheetName val="G_O_ao_CNCA32"/>
      <sheetName val="Global_Inputs26"/>
      <sheetName val="Data_Sheet112"/>
      <sheetName val="ASS_P215"/>
      <sheetName val="dimensio_EU5"/>
      <sheetName val="A_I_A5"/>
      <sheetName val="Revenus_hors_intercomp_5"/>
      <sheetName val="CNCA_DE_modefier_le25-03-055"/>
      <sheetName val="production_distrib7"/>
      <sheetName val="Recp_Elév1"/>
      <sheetName val="EU_1"/>
      <sheetName val="Bassins_d'infiltrations1"/>
      <sheetName val="GC_150m3_MGHASSINE3"/>
      <sheetName val="D_E1A1"/>
      <sheetName val="G_O_ao_CNCA33"/>
      <sheetName val="Global_Inputs27"/>
      <sheetName val="Data_Sheet113"/>
      <sheetName val="ASS_P216"/>
      <sheetName val="dimensio_EU6"/>
      <sheetName val="A_I_A6"/>
      <sheetName val="Revenus_hors_intercomp_6"/>
      <sheetName val="CNCA_DE_modefier_le25-03-056"/>
      <sheetName val="production_distrib8"/>
      <sheetName val="Recp_Elév2"/>
      <sheetName val="EU_2"/>
      <sheetName val="Bassins_d'infiltrations2"/>
      <sheetName val="GC_150m3_MGHASSINE4"/>
      <sheetName val="D_E1A2"/>
      <sheetName val="G_O_ao_CNCA35"/>
      <sheetName val="Global_Inputs29"/>
      <sheetName val="Data_Sheet115"/>
      <sheetName val="ASS_P218"/>
      <sheetName val="dimensio_EU8"/>
      <sheetName val="A_I_A8"/>
      <sheetName val="Revenus_hors_intercomp_8"/>
      <sheetName val="CNCA_DE_modefier_le25-03-058"/>
      <sheetName val="production_distrib10"/>
      <sheetName val="Recp_Elév4"/>
      <sheetName val="EU_4"/>
      <sheetName val="Bassins_d'infiltrations4"/>
      <sheetName val="GC_150m3_MGHASSINE6"/>
      <sheetName val="D_E1A4"/>
      <sheetName val="G_O_ao_CNCA38"/>
      <sheetName val="Global_Inputs32"/>
      <sheetName val="Data_Sheet118"/>
      <sheetName val="ASS_P2111"/>
      <sheetName val="dimensio_EU11"/>
      <sheetName val="A_I_A11"/>
      <sheetName val="Revenus_hors_intercomp_11"/>
      <sheetName val="CNCA_DE_modefier_le25-03-0511"/>
      <sheetName val="production_distrib13"/>
      <sheetName val="Recp_Elév7"/>
      <sheetName val="EU_7"/>
      <sheetName val="Bassins_d'infiltrations7"/>
      <sheetName val="GC_150m3_MGHASSINE9"/>
      <sheetName val="D_E1A7"/>
      <sheetName val="G_O_ao_CNCA36"/>
      <sheetName val="Global_Inputs30"/>
      <sheetName val="Data_Sheet116"/>
      <sheetName val="ASS_P219"/>
      <sheetName val="dimensio_EU9"/>
      <sheetName val="A_I_A9"/>
      <sheetName val="Revenus_hors_intercomp_9"/>
      <sheetName val="CNCA_DE_modefier_le25-03-059"/>
      <sheetName val="production_distrib11"/>
      <sheetName val="Recp_Elév5"/>
      <sheetName val="EU_5"/>
      <sheetName val="Bassins_d'infiltrations5"/>
      <sheetName val="GC_150m3_MGHASSINE7"/>
      <sheetName val="D_E1A5"/>
      <sheetName val="G_O_ao_CNCA37"/>
      <sheetName val="Global_Inputs31"/>
      <sheetName val="Data_Sheet117"/>
      <sheetName val="ASS_P2110"/>
      <sheetName val="dimensio_EU10"/>
      <sheetName val="A_I_A10"/>
      <sheetName val="Revenus_hors_intercomp_10"/>
      <sheetName val="CNCA_DE_modefier_le25-03-0510"/>
      <sheetName val="production_distrib12"/>
      <sheetName val="Recp_Elév6"/>
      <sheetName val="GC_150m3_MGHASSINE8"/>
      <sheetName val="EU_6"/>
      <sheetName val="Bassins_d'infiltrations6"/>
      <sheetName val="D_E1A6"/>
      <sheetName val="DimensRESEAU (2)"/>
      <sheetName val="Macro-press"/>
      <sheetName val="liste_projets"/>
      <sheetName val="liste_lots"/>
      <sheetName val="phases projet"/>
      <sheetName val="phases_projet"/>
      <sheetName val="RE SEV 50"/>
      <sheetName val=" G,O A"/>
      <sheetName val="Macro-Dexterne"/>
      <sheetName val="DimensRESEAU_(2)"/>
      <sheetName val="DimensRESEAU_(2)1"/>
      <sheetName val="DimensRESEAU_(2)2"/>
      <sheetName val="récap pein "/>
      <sheetName val="données et résultats"/>
      <sheetName val="Fourniture"/>
      <sheetName val="1"/>
      <sheetName val=""/>
      <sheetName val="SUIVI"/>
      <sheetName val="_G,O_A"/>
      <sheetName val="RE_SEV_50"/>
      <sheetName val="_G,O_A1"/>
      <sheetName val="RE_SEV_501"/>
      <sheetName val="NOV 2002"/>
      <sheetName val="Global_Inputs33"/>
      <sheetName val="Data_Sheet119"/>
      <sheetName val="NOV_2002"/>
      <sheetName val="Global_Inputs34"/>
      <sheetName val="Data_Sheet120"/>
      <sheetName val="CNCA_DE_modefier_le25-03-0513"/>
      <sheetName val="ASS_P2113"/>
      <sheetName val="dimensio_EU13"/>
      <sheetName val="A_I_A13"/>
      <sheetName val="Revenus_hors_intercomp_13"/>
      <sheetName val="CNCA_DE_modefier_le25-03-0512"/>
      <sheetName val="ASS_P2112"/>
      <sheetName val="dimensio_EU12"/>
      <sheetName val="A_I_A12"/>
      <sheetName val="Revenus_hors_intercomp_12"/>
      <sheetName val="G_O_ao_CNCA39"/>
      <sheetName val="Global_Inputs35"/>
      <sheetName val="Data_Sheet121"/>
      <sheetName val="ASS_P2114"/>
      <sheetName val="dimensio_EU14"/>
      <sheetName val="A_I_A14"/>
      <sheetName val="Revenus_hors_intercomp_14"/>
      <sheetName val="CNCA_DE_modefier_le25-03-0514"/>
      <sheetName val="Cambios"/>
      <sheetName val="G_O_ao_CNCA41"/>
      <sheetName val="Global_Inputs37"/>
      <sheetName val="Data_Sheet123"/>
      <sheetName val="ASS_P2116"/>
      <sheetName val="dimensio_EU16"/>
      <sheetName val="A_I_A16"/>
      <sheetName val="Revenus_hors_intercomp_16"/>
      <sheetName val="CNCA_DE_modefier_le25-03-0516"/>
      <sheetName val="production_distrib15"/>
      <sheetName val="DimensRESEAU_(2)5"/>
      <sheetName val="phases_projet3"/>
      <sheetName val="RE_SEV_504"/>
      <sheetName val="_G,O_A4"/>
      <sheetName val="récap_pein_2"/>
      <sheetName val="données_et_résultats2"/>
      <sheetName val="G_O_ao_CNCA40"/>
      <sheetName val="Global_Inputs36"/>
      <sheetName val="Data_Sheet122"/>
      <sheetName val="ASS_P2115"/>
      <sheetName val="dimensio_EU15"/>
      <sheetName val="A_I_A15"/>
      <sheetName val="Revenus_hors_intercomp_15"/>
      <sheetName val="CNCA_DE_modefier_le25-03-0515"/>
      <sheetName val="production_distrib14"/>
      <sheetName val="DimensRESEAU_(2)4"/>
      <sheetName val="phases_projet2"/>
      <sheetName val="RE_SEV_503"/>
      <sheetName val="_G,O_A3"/>
      <sheetName val="récap_pein_1"/>
      <sheetName val="données_et_résultats1"/>
      <sheetName val="DimensRESEAU_(2)3"/>
      <sheetName val="phases_projet1"/>
      <sheetName val="RE_SEV_502"/>
      <sheetName val="_G,O_A2"/>
      <sheetName val="récap_pein_"/>
      <sheetName val="données_et_résultats"/>
      <sheetName val="G_O_ao_CNCA42"/>
      <sheetName val="Global_Inputs38"/>
      <sheetName val="Data_Sheet124"/>
      <sheetName val="ASS_P2117"/>
      <sheetName val="dimensio_EU17"/>
      <sheetName val="A_I_A17"/>
      <sheetName val="Revenus_hors_intercomp_17"/>
      <sheetName val="CNCA_DE_modefier_le25-03-0517"/>
      <sheetName val="production_distrib16"/>
      <sheetName val="GC_150m3_MGHASSINE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"/>
      <sheetName val="1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G_O_ao_CNCA"/>
      <sheetName val="G_O_ao_CNCA1"/>
      <sheetName val="G_O_ao_CNCA2"/>
      <sheetName val="G_O_ao_CNCA3"/>
      <sheetName val="G_O_ao_CNCA4"/>
      <sheetName val="G_O_ao_CNCA6"/>
      <sheetName val="G_O_ao_CNCA5"/>
      <sheetName val="TRADING"/>
      <sheetName val="dimensio EU"/>
      <sheetName val="ASS P21"/>
      <sheetName val="elec"/>
      <sheetName val="BATIMENT"/>
      <sheetName val="A.I.A"/>
      <sheetName val="liste_projets"/>
      <sheetName val="liste_lots"/>
      <sheetName val="phases projet"/>
      <sheetName val="phases_projet"/>
      <sheetName val="BASE"/>
      <sheetName val="Macro-Long"/>
      <sheetName val="G_O_ao_CNCA7"/>
      <sheetName val="G_O_ao_CNCA8"/>
      <sheetName val="G_O_ao_CNCA9"/>
      <sheetName val="G_O_ao_CNCA10"/>
      <sheetName val="G_O_ao_CNCA11"/>
      <sheetName val="G_O_ao_CNCA12"/>
      <sheetName val="Global Inputs"/>
      <sheetName val="Global_Inputs"/>
      <sheetName val="Global_Inputs1"/>
      <sheetName val="G_O_ao_CNCA13"/>
      <sheetName val="Global_Inputs2"/>
      <sheetName val="G_O_ao_CNCA14"/>
      <sheetName val="Global_Inputs3"/>
      <sheetName val="G_O_ao_CNCA15"/>
      <sheetName val="Global_Inputs4"/>
      <sheetName val="G_O_ao_CNCA17"/>
      <sheetName val="Global_Inputs6"/>
      <sheetName val="G_O_ao_CNCA16"/>
      <sheetName val="Global_Inputs5"/>
      <sheetName val="Global_Inputs7"/>
      <sheetName val="Global_Inputs8"/>
      <sheetName val="Global_Inputs9"/>
      <sheetName val="Global_Inputs10"/>
      <sheetName val="Global_Inputs11"/>
      <sheetName val="Global_Inputs12"/>
      <sheetName val="Macro-cons"/>
      <sheetName val="Global_Inputs13"/>
      <sheetName val="PLANT"/>
      <sheetName val="distrib"/>
      <sheetName val="Data Sheet1"/>
      <sheetName val="Global_Inputs14"/>
      <sheetName val="Global_Inputs15"/>
      <sheetName val="PG1"/>
      <sheetName val="PU"/>
      <sheetName val="Global_Inputs17"/>
      <sheetName val="Global_Inputs16"/>
      <sheetName val="Masque"/>
      <sheetName val="Revenus hors intercomp_"/>
      <sheetName val="dimensio_EU2"/>
      <sheetName val="ASS_P212"/>
      <sheetName val="A_I_A2"/>
      <sheetName val="dimensio_EU"/>
      <sheetName val="ASS_P21"/>
      <sheetName val="A_I_A"/>
      <sheetName val="dimensio_EU1"/>
      <sheetName val="ASS_P211"/>
      <sheetName val="A_I_A1"/>
      <sheetName val="SUIVI"/>
      <sheetName val="CNCA DE modefier le25-03-05"/>
      <sheetName val="G_O_ao_CNCA18"/>
      <sheetName val="dimensio_EU3"/>
      <sheetName val="ASS_P213"/>
      <sheetName val="A_I_A3"/>
      <sheetName val="Global_Inputs18"/>
      <sheetName val="Data_Sheet1"/>
      <sheetName val="Revenus_hors_intercomp_"/>
      <sheetName val="G_O_ao_CNCA19"/>
      <sheetName val="dimensio_EU4"/>
      <sheetName val="ASS_P214"/>
      <sheetName val="A_I_A4"/>
      <sheetName val="Global_Inputs19"/>
      <sheetName val="Data_Sheet11"/>
      <sheetName val="Revenus_hors_intercomp_1"/>
      <sheetName val="G_O_ao_CNCA20"/>
      <sheetName val="dimensio_EU5"/>
      <sheetName val="ASS_P215"/>
      <sheetName val="A_I_A5"/>
      <sheetName val="Global_Inputs20"/>
      <sheetName val="Data_Sheet12"/>
      <sheetName val="Revenus_hors_intercomp_2"/>
      <sheetName val="phases_projet1"/>
      <sheetName val="phases_projet2"/>
      <sheetName val="phases_projet3"/>
      <sheetName val="phases_projet4"/>
      <sheetName val="phases_projet5"/>
      <sheetName val="phases_projet6"/>
      <sheetName val="phases_projet7"/>
      <sheetName val="phases_projet8"/>
      <sheetName val="phases_projet9"/>
      <sheetName val="phases_projet10"/>
      <sheetName val="phases_projet11"/>
      <sheetName val="phases_projet12"/>
      <sheetName val="phases_projet13"/>
      <sheetName val="phases_projet14"/>
      <sheetName val="G_O_ao_CNCA21"/>
      <sheetName val="phases_projet15"/>
      <sheetName val="G_O_ao_CNCA22"/>
      <sheetName val="phases_projet16"/>
      <sheetName val="G_O_ao_CNCA23"/>
      <sheetName val="phases_projet17"/>
      <sheetName val="G_O_ao_CNCA26"/>
      <sheetName val="dimensio_EU8"/>
      <sheetName val="ASS_P218"/>
      <sheetName val="A_I_A7"/>
      <sheetName val="Global_Inputs22"/>
      <sheetName val="Data_Sheet14"/>
      <sheetName val="Revenus_hors_intercomp_4"/>
      <sheetName val="phases_projet20"/>
      <sheetName val="G_O_ao_CNCA25"/>
      <sheetName val="dimensio_EU7"/>
      <sheetName val="ASS_P217"/>
      <sheetName val="A_I_A6"/>
      <sheetName val="Global_Inputs21"/>
      <sheetName val="Data_Sheet13"/>
      <sheetName val="Revenus_hors_intercomp_3"/>
      <sheetName val="phases_projet19"/>
      <sheetName val="G_O_ao_CNCA24"/>
      <sheetName val="dimensio_EU6"/>
      <sheetName val="ASS_P216"/>
      <sheetName val="phases_projet18"/>
      <sheetName val="G_O_ao_CNCA27"/>
      <sheetName val="dimensio_EU9"/>
      <sheetName val="ASS_P219"/>
      <sheetName val="A_I_A8"/>
      <sheetName val="Global_Inputs23"/>
      <sheetName val="Data_Sheet15"/>
      <sheetName val="Revenus_hors_intercomp_5"/>
      <sheetName val="phases_projet21"/>
      <sheetName val="G_O_ao_CNCA28"/>
      <sheetName val="dimensio_EU10"/>
      <sheetName val="ASS_P2110"/>
      <sheetName val="A_I_A9"/>
      <sheetName val="Global_Inputs24"/>
      <sheetName val="Data_Sheet16"/>
      <sheetName val="Revenus_hors_intercomp_6"/>
      <sheetName val="phases_projet22"/>
      <sheetName val="G_O_ao_CNCA29"/>
      <sheetName val="dimensio_EU11"/>
      <sheetName val="ASS_P2111"/>
      <sheetName val="A_I_A10"/>
      <sheetName val="Global_Inputs25"/>
      <sheetName val="Data_Sheet17"/>
      <sheetName val="Revenus_hors_intercomp_7"/>
      <sheetName val="phases_projet23"/>
      <sheetName val="Recap"/>
      <sheetName val="DimensRESEAU (2)"/>
      <sheetName val="CNCA_DE_modefier_le25-03-05"/>
      <sheetName val="CNCA_DE_modefier_le25-03-051"/>
      <sheetName val="CNCA_DE_modefier_le25-03-052"/>
      <sheetName val="CNCA_DE_modefier_le25-03-053"/>
      <sheetName val="Débit instantané Pb"/>
      <sheetName val="G_O_ao_CNCA30"/>
      <sheetName val="dimensio_EU12"/>
      <sheetName val="ASS_P2112"/>
      <sheetName val="A_I_A11"/>
      <sheetName val="Global_Inputs26"/>
      <sheetName val="Data_Sheet18"/>
      <sheetName val="Revenus_hors_intercomp_8"/>
      <sheetName val="phases_projet24"/>
      <sheetName val="CNCA_DE_modefier_le25-03-054"/>
      <sheetName val="DimensRESEAU_(2)"/>
      <sheetName val="Débit_instantané_Pb"/>
      <sheetName val="G_O_ao_CNCA33"/>
      <sheetName val="dimensio_EU15"/>
      <sheetName val="ASS_P2115"/>
      <sheetName val="A_I_A14"/>
      <sheetName val="Global_Inputs29"/>
      <sheetName val="Data_Sheet111"/>
      <sheetName val="Revenus_hors_intercomp_11"/>
      <sheetName val="phases_projet27"/>
      <sheetName val="CNCA_DE_modefier_le25-03-057"/>
      <sheetName val="DimensRESEAU_(2)3"/>
      <sheetName val="Débit_instantané_Pb3"/>
      <sheetName val="G_O_ao_CNCA31"/>
      <sheetName val="dimensio_EU13"/>
      <sheetName val="ASS_P2113"/>
      <sheetName val="A_I_A12"/>
      <sheetName val="Global_Inputs27"/>
      <sheetName val="Data_Sheet19"/>
      <sheetName val="Revenus_hors_intercomp_9"/>
      <sheetName val="phases_projet25"/>
      <sheetName val="CNCA_DE_modefier_le25-03-055"/>
      <sheetName val="DimensRESEAU_(2)1"/>
      <sheetName val="Débit_instantané_Pb1"/>
      <sheetName val="G_O_ao_CNCA32"/>
      <sheetName val="dimensio_EU14"/>
      <sheetName val="ASS_P2114"/>
      <sheetName val="A_I_A13"/>
      <sheetName val="Global_Inputs28"/>
      <sheetName val="Data_Sheet110"/>
      <sheetName val="Revenus_hors_intercomp_10"/>
      <sheetName val="phases_projet26"/>
      <sheetName val="CNCA_DE_modefier_le25-03-056"/>
      <sheetName val="DimensRESEAU_(2)2"/>
      <sheetName val="Débit_instantané_Pb2"/>
      <sheetName val="G_O_ao_CNCA34"/>
      <sheetName val="dimensio_EU16"/>
      <sheetName val="ASS_P2116"/>
      <sheetName val="A_I_A15"/>
      <sheetName val="Global_Inputs30"/>
      <sheetName val="Data_Sheet112"/>
      <sheetName val="Revenus_hors_intercomp_12"/>
      <sheetName val="phases_projet28"/>
      <sheetName val="CNCA_DE_modefier_le25-03-058"/>
      <sheetName val="DimensRESEAU_(2)4"/>
      <sheetName val="Débit_instantané_Pb4"/>
      <sheetName val="G_O_ao_CNCA37"/>
      <sheetName val="dimensio_EU19"/>
      <sheetName val="ASS_P2119"/>
      <sheetName val="A_I_A18"/>
      <sheetName val="Global_Inputs33"/>
      <sheetName val="Data_Sheet115"/>
      <sheetName val="Revenus_hors_intercomp_15"/>
      <sheetName val="phases_projet31"/>
      <sheetName val="CNCA_DE_modefier_le25-03-0511"/>
      <sheetName val="DimensRESEAU_(2)7"/>
      <sheetName val="G_O_ao_CNCA35"/>
      <sheetName val="dimensio_EU17"/>
      <sheetName val="ASS_P2117"/>
      <sheetName val="A_I_A16"/>
      <sheetName val="Global_Inputs31"/>
      <sheetName val="Data_Sheet113"/>
      <sheetName val="Revenus_hors_intercomp_13"/>
      <sheetName val="phases_projet29"/>
      <sheetName val="CNCA_DE_modefier_le25-03-059"/>
      <sheetName val="DimensRESEAU_(2)5"/>
      <sheetName val="Débit_instantané_Pb5"/>
      <sheetName val="G_O_ao_CNCA36"/>
      <sheetName val="dimensio_EU18"/>
      <sheetName val="ASS_P2118"/>
      <sheetName val="A_I_A17"/>
      <sheetName val="Global_Inputs32"/>
      <sheetName val="Data_Sheet114"/>
      <sheetName val="Revenus_hors_intercomp_14"/>
      <sheetName val="phases_projet30"/>
      <sheetName val="CNCA_DE_modefier_le25-03-0510"/>
      <sheetName val="DimensRESEAU_(2)6"/>
      <sheetName val="Débit_instantané_Pb6"/>
      <sheetName val="Réservoir 250m3"/>
      <sheetName val="Réservoir_250m32"/>
      <sheetName val="S.P1"/>
      <sheetName val="G_O_ao_CNCA38"/>
      <sheetName val="dimensio_EU20"/>
      <sheetName val="ASS_P2120"/>
      <sheetName val="A_I_A19"/>
      <sheetName val="Global_Inputs34"/>
      <sheetName val="Data_Sheet116"/>
      <sheetName val="Revenus_hors_intercomp_16"/>
      <sheetName val="phases_projet32"/>
      <sheetName val="G_O_ao_CNCA39"/>
      <sheetName val="dimensio_EU21"/>
      <sheetName val="ASS_P2121"/>
      <sheetName val="A_I_A20"/>
      <sheetName val="phases_projet33"/>
      <sheetName val="Global_Inputs35"/>
      <sheetName val="Data_Sheet117"/>
      <sheetName val="Revenus_hors_intercomp_17"/>
      <sheetName val="CNCA_DE_modefier_le25-03-0512"/>
      <sheetName val="G_O_ao_CNCA40"/>
      <sheetName val="ASS_P2122"/>
      <sheetName val="dimensio_EU22"/>
      <sheetName val="A_I_A21"/>
      <sheetName val="phases_projet34"/>
      <sheetName val="Global_Inputs36"/>
      <sheetName val="Data_Sheet118"/>
      <sheetName val="Revenus_hors_intercomp_18"/>
      <sheetName val="CNCA_DE_modefier_le25-03-0513"/>
      <sheetName val="CNCA_DE_modefier_le25-03-0514"/>
      <sheetName val="CNCA_DE_modefier_le25-03-0515"/>
      <sheetName val="CNCA_DE_modefier_le25-03-0517"/>
      <sheetName val="CNCA_DE_modefier_le25-03-0516"/>
      <sheetName val="CNCA_DE_modefier_le25-03-0518"/>
      <sheetName val="A_I_A22"/>
      <sheetName val="Global_Inputs37"/>
      <sheetName val="Data_Sheet119"/>
      <sheetName val="Revenus_hors_intercomp_19"/>
      <sheetName val="CNCA_DE_modefier_le25-03-0519"/>
      <sheetName val="NOTES"/>
      <sheetName val="dimensio_EU23"/>
      <sheetName val="ASS_P2123"/>
      <sheetName val="A_I_A23"/>
      <sheetName val="Global_Inputs38"/>
      <sheetName val="Data_Sheet120"/>
      <sheetName val="Revenus_hors_intercomp_20"/>
      <sheetName val="CNCA_DE_modefier_le25-03-0520"/>
      <sheetName val="dimensio_EU24"/>
      <sheetName val="ASS_P2124"/>
      <sheetName val="A_I_A24"/>
      <sheetName val="Global_Inputs39"/>
      <sheetName val="Data_Sheet121"/>
      <sheetName val="Revenus_hors_intercomp_21"/>
      <sheetName val="CNCA_DE_modefier_le25-03-0521"/>
      <sheetName val="D.E1A"/>
      <sheetName val="Réservoir_250m3"/>
      <sheetName val="S_P1"/>
      <sheetName val="Réservoir_250m31"/>
      <sheetName val="S_P11"/>
      <sheetName val="G_O_ao_CNCA42"/>
      <sheetName val="dimensio_EU27"/>
      <sheetName val="ASS_P2127"/>
      <sheetName val="A_I_A27"/>
      <sheetName val="Global_Inputs42"/>
      <sheetName val="Data_Sheet124"/>
      <sheetName val="Revenus_hors_intercomp_24"/>
      <sheetName val="phases_projet36"/>
      <sheetName val="CNCA_DE_modefier_le25-03-0524"/>
      <sheetName val="Réservoir_250m35"/>
      <sheetName val="S_P14"/>
      <sheetName val="G_O_ao_CNCA41"/>
      <sheetName val="dimensio_EU26"/>
      <sheetName val="ASS_P2126"/>
      <sheetName val="A_I_A26"/>
      <sheetName val="Global_Inputs41"/>
      <sheetName val="Data_Sheet123"/>
      <sheetName val="Revenus_hors_intercomp_23"/>
      <sheetName val="phases_projet35"/>
      <sheetName val="CNCA_DE_modefier_le25-03-0523"/>
      <sheetName val="Réservoir_250m34"/>
      <sheetName val="S_P13"/>
      <sheetName val="dimensio_EU25"/>
      <sheetName val="ASS_P2125"/>
      <sheetName val="A_I_A25"/>
      <sheetName val="Global_Inputs40"/>
      <sheetName val="Data_Sheet122"/>
      <sheetName val="Revenus_hors_intercomp_22"/>
      <sheetName val="CNCA_DE_modefier_le25-03-0522"/>
      <sheetName val="Réservoir_250m33"/>
      <sheetName val="S_P12"/>
      <sheetName val="G_O_ao_CNCA43"/>
      <sheetName val="phases_projet3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. SEV 150"/>
      <sheetName val="RE SEV 50"/>
      <sheetName val="RE. SET 150"/>
      <sheetName val="SR Gpe 1"/>
      <sheetName val="SP Gpe 1"/>
      <sheetName val="SP Gpe 4"/>
      <sheetName val="SURP Gpe 2"/>
      <sheetName val="SURP Gpe 3"/>
      <sheetName val="Récap GC"/>
      <sheetName val="Cond-tanger-asilah"/>
      <sheetName val="RECAP cond"/>
      <sheetName val="AN2"/>
      <sheetName val="RE__SEV_150"/>
      <sheetName val="RE_SEV_50"/>
      <sheetName val="RE__SET_150"/>
      <sheetName val="SR_Gpe_1"/>
      <sheetName val="SP_Gpe_1"/>
      <sheetName val="SP_Gpe_4"/>
      <sheetName val="SURP_Gpe_2"/>
      <sheetName val="SURP_Gpe_3"/>
      <sheetName val="Récap_GC"/>
      <sheetName val="RECAP_cond"/>
      <sheetName val="RE__SEV_1501"/>
      <sheetName val="RE_SEV_501"/>
      <sheetName val="RE__SET_1501"/>
      <sheetName val="SR_Gpe_11"/>
      <sheetName val="SP_Gpe_11"/>
      <sheetName val="SP_Gpe_41"/>
      <sheetName val="SURP_Gpe_21"/>
      <sheetName val="SURP_Gpe_31"/>
      <sheetName val="Récap_GC1"/>
      <sheetName val="RECAP_cond1"/>
      <sheetName val="Macro-cons"/>
      <sheetName val="SUIVI"/>
      <sheetName val="RE__SEV_1502"/>
      <sheetName val="RE_SEV_502"/>
      <sheetName val="RE__SET_1502"/>
      <sheetName val="SR_Gpe_12"/>
      <sheetName val="SP_Gpe_12"/>
      <sheetName val="SP_Gpe_42"/>
      <sheetName val="SURP_Gpe_22"/>
      <sheetName val="SURP_Gpe_32"/>
      <sheetName val="Récap_GC2"/>
      <sheetName val="RECAP_cond2"/>
      <sheetName val="RE__SEV_1503"/>
      <sheetName val="RE_SEV_503"/>
      <sheetName val="RE__SET_1503"/>
      <sheetName val="SR_Gpe_13"/>
      <sheetName val="SP_Gpe_13"/>
      <sheetName val="SP_Gpe_43"/>
      <sheetName val="SURP_Gpe_23"/>
      <sheetName val="SURP_Gpe_33"/>
      <sheetName val="Récap_GC3"/>
      <sheetName val="RECAP_cond3"/>
      <sheetName val="RE__SEV_1504"/>
      <sheetName val="RE_SEV_504"/>
      <sheetName val="RE__SET_1504"/>
      <sheetName val="SR_Gpe_14"/>
      <sheetName val="SP_Gpe_14"/>
      <sheetName val="SP_Gpe_44"/>
      <sheetName val="SURP_Gpe_24"/>
      <sheetName val="SURP_Gpe_34"/>
      <sheetName val="Récap_GC4"/>
      <sheetName val="RECAP_cond4"/>
      <sheetName val="RE__SEV_1505"/>
      <sheetName val="RE_SEV_505"/>
      <sheetName val="RE__SET_1505"/>
      <sheetName val="SR_Gpe_15"/>
      <sheetName val="SP_Gpe_15"/>
      <sheetName val="SP_Gpe_45"/>
      <sheetName val="SURP_Gpe_25"/>
      <sheetName val="SURP_Gpe_35"/>
      <sheetName val="Récap_GC5"/>
      <sheetName val="RECAP_cond5"/>
      <sheetName val="Charges DSO 2012 "/>
      <sheetName val="TABLE"/>
      <sheetName val="dimensio EU"/>
      <sheetName val="Macro-Diam-interne"/>
      <sheetName val="Macro-Epaisseur"/>
      <sheetName val="Macro-Dexterne"/>
      <sheetName val="Macro-Long"/>
      <sheetName val="Macro-press"/>
      <sheetName val="Macro-colbrook"/>
      <sheetName val="BacheSR3NZ"/>
      <sheetName val="E.U"/>
      <sheetName val="Récap"/>
      <sheetName val="Rep pop"/>
      <sheetName val="Data"/>
      <sheetName val="RE__SEV_1506"/>
      <sheetName val="RE_SEV_506"/>
      <sheetName val="RE__SET_1506"/>
      <sheetName val="SR_Gpe_16"/>
      <sheetName val="SP_Gpe_16"/>
      <sheetName val="SP_Gpe_46"/>
      <sheetName val="SURP_Gpe_26"/>
      <sheetName val="SURP_Gpe_36"/>
      <sheetName val="Récap_GC6"/>
      <sheetName val="RECAP_cond6"/>
      <sheetName val="RE__SEV_1507"/>
      <sheetName val="RE_SEV_507"/>
      <sheetName val="RE__SET_1507"/>
      <sheetName val="SR_Gpe_17"/>
      <sheetName val="SP_Gpe_17"/>
      <sheetName val="SP_Gpe_47"/>
      <sheetName val="SURP_Gpe_27"/>
      <sheetName val="SURP_Gpe_37"/>
      <sheetName val="Récap_GC7"/>
      <sheetName val="RECAP_cond7"/>
      <sheetName val="RE__SEV_1508"/>
      <sheetName val="RE_SEV_508"/>
      <sheetName val="RE__SET_1508"/>
      <sheetName val="SR_Gpe_18"/>
      <sheetName val="SP_Gpe_18"/>
      <sheetName val="SP_Gpe_48"/>
      <sheetName val="SURP_Gpe_28"/>
      <sheetName val="SURP_Gpe_38"/>
      <sheetName val="Récap_GC8"/>
      <sheetName val="RECAP_cond8"/>
      <sheetName val="RE__SEV_1509"/>
      <sheetName val="RE_SEV_509"/>
      <sheetName val="RE__SET_1509"/>
      <sheetName val="SR_Gpe_19"/>
      <sheetName val="SP_Gpe_19"/>
      <sheetName val="SP_Gpe_49"/>
      <sheetName val="SURP_Gpe_29"/>
      <sheetName val="SURP_Gpe_39"/>
      <sheetName val="Récap_GC9"/>
      <sheetName val="RECAP_cond9"/>
      <sheetName val="RE__SEV_15010"/>
      <sheetName val="RE_SEV_5010"/>
      <sheetName val="RE__SET_15010"/>
      <sheetName val="SR_Gpe_110"/>
      <sheetName val="SP_Gpe_110"/>
      <sheetName val="SP_Gpe_410"/>
      <sheetName val="SURP_Gpe_210"/>
      <sheetName val="SURP_Gpe_310"/>
      <sheetName val="Récap_GC10"/>
      <sheetName val="RECAP_cond10"/>
      <sheetName val="RE__SEV_15011"/>
      <sheetName val="RE_SEV_5011"/>
      <sheetName val="RE__SET_15011"/>
      <sheetName val="SR_Gpe_111"/>
      <sheetName val="SP_Gpe_111"/>
      <sheetName val="SP_Gpe_411"/>
      <sheetName val="SURP_Gpe_211"/>
      <sheetName val="SURP_Gpe_311"/>
      <sheetName val="Récap_GC11"/>
      <sheetName val="RECAP_cond11"/>
      <sheetName val="RE__SEV_15012"/>
      <sheetName val="RE_SEV_5012"/>
      <sheetName val="RE__SET_15012"/>
      <sheetName val="SR_Gpe_112"/>
      <sheetName val="SP_Gpe_112"/>
      <sheetName val="SP_Gpe_412"/>
      <sheetName val="SURP_Gpe_212"/>
      <sheetName val="SURP_Gpe_312"/>
      <sheetName val="Récap_GC12"/>
      <sheetName val="RECAP_cond12"/>
      <sheetName val="RE__SEV_15013"/>
      <sheetName val="RE_SEV_5013"/>
      <sheetName val="RE__SET_15013"/>
      <sheetName val="SR_Gpe_113"/>
      <sheetName val="SP_Gpe_113"/>
      <sheetName val="SP_Gpe_413"/>
      <sheetName val="SURP_Gpe_213"/>
      <sheetName val="SURP_Gpe_313"/>
      <sheetName val="Récap_GC13"/>
      <sheetName val="RECAP_cond13"/>
      <sheetName val="RE__SEV_15014"/>
      <sheetName val="RE_SEV_5014"/>
      <sheetName val="RE__SET_15014"/>
      <sheetName val="SR_Gpe_114"/>
      <sheetName val="SP_Gpe_114"/>
      <sheetName val="SP_Gpe_414"/>
      <sheetName val="SURP_Gpe_214"/>
      <sheetName val="SURP_Gpe_314"/>
      <sheetName val="Récap_GC14"/>
      <sheetName val="RECAP_cond14"/>
      <sheetName val="RE__SEV_15015"/>
      <sheetName val="RE_SEV_5015"/>
      <sheetName val="RE__SET_15015"/>
      <sheetName val="SR_Gpe_115"/>
      <sheetName val="SP_Gpe_115"/>
      <sheetName val="SP_Gpe_415"/>
      <sheetName val="SURP_Gpe_215"/>
      <sheetName val="SURP_Gpe_315"/>
      <sheetName val="Récap_GC15"/>
      <sheetName val="RECAP_cond15"/>
      <sheetName val="RE__SEV_15016"/>
      <sheetName val="RE_SEV_5016"/>
      <sheetName val="RE__SET_15016"/>
      <sheetName val="SR_Gpe_116"/>
      <sheetName val="SP_Gpe_116"/>
      <sheetName val="SP_Gpe_416"/>
      <sheetName val="SURP_Gpe_216"/>
      <sheetName val="SURP_Gpe_316"/>
      <sheetName val="Récap_GC16"/>
      <sheetName val="RECAP_cond16"/>
      <sheetName val="RE__SEV_15017"/>
      <sheetName val="RE_SEV_5017"/>
      <sheetName val="RE__SET_15017"/>
      <sheetName val="SR_Gpe_117"/>
      <sheetName val="SP_Gpe_117"/>
      <sheetName val="SP_Gpe_417"/>
      <sheetName val="SURP_Gpe_217"/>
      <sheetName val="SURP_Gpe_317"/>
      <sheetName val="Récap_GC17"/>
      <sheetName val="RECAP_cond17"/>
      <sheetName val="RE__SEV_15018"/>
      <sheetName val="RE_SEV_5018"/>
      <sheetName val="RE__SET_15018"/>
      <sheetName val="SR_Gpe_118"/>
      <sheetName val="SP_Gpe_118"/>
      <sheetName val="SP_Gpe_418"/>
      <sheetName val="SURP_Gpe_218"/>
      <sheetName val="SURP_Gpe_318"/>
      <sheetName val="Récap_GC18"/>
      <sheetName val="RECAP_cond18"/>
      <sheetName val="RE__SEV_15019"/>
      <sheetName val="RE_SEV_5019"/>
      <sheetName val="RE__SET_15019"/>
      <sheetName val="SR_Gpe_119"/>
      <sheetName val="SP_Gpe_119"/>
      <sheetName val="SP_Gpe_419"/>
      <sheetName val="SURP_Gpe_219"/>
      <sheetName val="SURP_Gpe_319"/>
      <sheetName val="Récap_GC19"/>
      <sheetName val="RECAP_cond19"/>
      <sheetName val="RE__SEV_15022"/>
      <sheetName val="RE_SEV_5022"/>
      <sheetName val="RE__SET_15022"/>
      <sheetName val="SR_Gpe_122"/>
      <sheetName val="SP_Gpe_122"/>
      <sheetName val="SP_Gpe_422"/>
      <sheetName val="SURP_Gpe_222"/>
      <sheetName val="SURP_Gpe_322"/>
      <sheetName val="Récap_GC22"/>
      <sheetName val="RECAP_cond22"/>
      <sheetName val="Charges_DSO_2012_2"/>
      <sheetName val="dimensio_EU2"/>
      <sheetName val="Rep_pop2"/>
      <sheetName val="RE__SEV_15021"/>
      <sheetName val="RE_SEV_5021"/>
      <sheetName val="RE__SET_15021"/>
      <sheetName val="SR_Gpe_121"/>
      <sheetName val="SP_Gpe_121"/>
      <sheetName val="SP_Gpe_421"/>
      <sheetName val="SURP_Gpe_221"/>
      <sheetName val="SURP_Gpe_321"/>
      <sheetName val="Récap_GC21"/>
      <sheetName val="RECAP_cond21"/>
      <sheetName val="Charges_DSO_2012_1"/>
      <sheetName val="dimensio_EU1"/>
      <sheetName val="Rep_pop1"/>
      <sheetName val="RE__SEV_15020"/>
      <sheetName val="RE_SEV_5020"/>
      <sheetName val="RE__SET_15020"/>
      <sheetName val="SR_Gpe_120"/>
      <sheetName val="SP_Gpe_120"/>
      <sheetName val="SP_Gpe_420"/>
      <sheetName val="SURP_Gpe_220"/>
      <sheetName val="SURP_Gpe_320"/>
      <sheetName val="Récap_GC20"/>
      <sheetName val="RECAP_cond20"/>
      <sheetName val="Charges_DSO_2012_"/>
      <sheetName val="dimensio_EU"/>
      <sheetName val="Rep_pop"/>
      <sheetName val="RE__SEV_15023"/>
      <sheetName val="RE_SEV_5023"/>
      <sheetName val="RE__SET_15023"/>
      <sheetName val="SR_Gpe_123"/>
      <sheetName val="SP_Gpe_123"/>
      <sheetName val="SP_Gpe_423"/>
      <sheetName val="SURP_Gpe_223"/>
      <sheetName val="SURP_Gpe_323"/>
      <sheetName val="Récap_GC23"/>
      <sheetName val="RECAP_cond23"/>
      <sheetName val="Charges_DSO_2012_3"/>
      <sheetName val="dimensio_EU3"/>
      <sheetName val="Rep_pop3"/>
      <sheetName val="RE__SEV_15024"/>
      <sheetName val="RE_SEV_5024"/>
      <sheetName val="RE__SET_15024"/>
      <sheetName val="SR_Gpe_124"/>
      <sheetName val="SP_Gpe_124"/>
      <sheetName val="SP_Gpe_424"/>
      <sheetName val="SURP_Gpe_224"/>
      <sheetName val="SURP_Gpe_324"/>
      <sheetName val="Récap_GC24"/>
      <sheetName val="RECAP_cond24"/>
      <sheetName val="Charges_DSO_2012_4"/>
      <sheetName val="dimensio_EU4"/>
      <sheetName val="Rep_pop4"/>
      <sheetName val="AN3"/>
      <sheetName val="RE__SEV_15025"/>
      <sheetName val="RE_SEV_5025"/>
      <sheetName val="RE__SET_15025"/>
      <sheetName val="SR_Gpe_125"/>
      <sheetName val="SP_Gpe_125"/>
      <sheetName val="SP_Gpe_425"/>
      <sheetName val="SURP_Gpe_225"/>
      <sheetName val="SURP_Gpe_325"/>
      <sheetName val="Récap_GC25"/>
      <sheetName val="RECAP_cond25"/>
      <sheetName val="Charges_DSO_2012_5"/>
      <sheetName val="dimensio_EU5"/>
      <sheetName val="RE__SEV_15030"/>
      <sheetName val="RE_SEV_5030"/>
      <sheetName val="RE__SET_15030"/>
      <sheetName val="SR_Gpe_130"/>
      <sheetName val="SP_Gpe_130"/>
      <sheetName val="SP_Gpe_430"/>
      <sheetName val="SURP_Gpe_230"/>
      <sheetName val="SURP_Gpe_330"/>
      <sheetName val="Récap_GC30"/>
      <sheetName val="RECAP_cond30"/>
      <sheetName val="Charges_DSO_2012_10"/>
      <sheetName val="dimensio_EU10"/>
      <sheetName val="Rep_pop8"/>
      <sheetName val="RE__SEV_15029"/>
      <sheetName val="RE_SEV_5029"/>
      <sheetName val="RE__SET_15029"/>
      <sheetName val="SR_Gpe_129"/>
      <sheetName val="SP_Gpe_129"/>
      <sheetName val="SP_Gpe_429"/>
      <sheetName val="SURP_Gpe_229"/>
      <sheetName val="SURP_Gpe_329"/>
      <sheetName val="Récap_GC29"/>
      <sheetName val="RECAP_cond29"/>
      <sheetName val="Charges_DSO_2012_9"/>
      <sheetName val="dimensio_EU9"/>
      <sheetName val="Rep_pop7"/>
      <sheetName val="E_U2"/>
      <sheetName val="RE__SEV_15026"/>
      <sheetName val="RE_SEV_5026"/>
      <sheetName val="RE__SET_15026"/>
      <sheetName val="SR_Gpe_126"/>
      <sheetName val="SP_Gpe_126"/>
      <sheetName val="SP_Gpe_426"/>
      <sheetName val="SURP_Gpe_226"/>
      <sheetName val="SURP_Gpe_326"/>
      <sheetName val="Récap_GC26"/>
      <sheetName val="RECAP_cond26"/>
      <sheetName val="Charges_DSO_2012_6"/>
      <sheetName val="dimensio_EU6"/>
      <sheetName val="E_U"/>
      <sheetName val="RE__SEV_15027"/>
      <sheetName val="RE_SEV_5027"/>
      <sheetName val="RE__SET_15027"/>
      <sheetName val="SR_Gpe_127"/>
      <sheetName val="SP_Gpe_127"/>
      <sheetName val="SP_Gpe_427"/>
      <sheetName val="SURP_Gpe_227"/>
      <sheetName val="SURP_Gpe_327"/>
      <sheetName val="Récap_GC27"/>
      <sheetName val="RECAP_cond27"/>
      <sheetName val="Charges_DSO_2012_7"/>
      <sheetName val="dimensio_EU7"/>
      <sheetName val="Rep_pop5"/>
      <sheetName val="RE__SEV_15028"/>
      <sheetName val="RE_SEV_5028"/>
      <sheetName val="RE__SET_15028"/>
      <sheetName val="SR_Gpe_128"/>
      <sheetName val="SP_Gpe_128"/>
      <sheetName val="SP_Gpe_428"/>
      <sheetName val="SURP_Gpe_228"/>
      <sheetName val="SURP_Gpe_328"/>
      <sheetName val="Récap_GC28"/>
      <sheetName val="RECAP_cond28"/>
      <sheetName val="Charges_DSO_2012_8"/>
      <sheetName val="dimensio_EU8"/>
      <sheetName val="Rep_pop6"/>
      <sheetName val="E_U1"/>
      <sheetName val="GC 150m3 MGHASSINE"/>
      <sheetName val="RE__SEV_15032"/>
      <sheetName val="RE_SEV_5032"/>
      <sheetName val="RE__SET_15032"/>
      <sheetName val="SR_Gpe_132"/>
      <sheetName val="SP_Gpe_132"/>
      <sheetName val="SP_Gpe_432"/>
      <sheetName val="SURP_Gpe_232"/>
      <sheetName val="SURP_Gpe_332"/>
      <sheetName val="Récap_GC32"/>
      <sheetName val="RECAP_cond32"/>
      <sheetName val="Charges_DSO_2012_12"/>
      <sheetName val="dimensio_EU12"/>
      <sheetName val="Rep_pop10"/>
      <sheetName val="E_U5"/>
      <sheetName val="E_U3"/>
      <sheetName val="RE__SEV_15031"/>
      <sheetName val="RE_SEV_5031"/>
      <sheetName val="RE__SET_15031"/>
      <sheetName val="SR_Gpe_131"/>
      <sheetName val="SP_Gpe_131"/>
      <sheetName val="SP_Gpe_431"/>
      <sheetName val="SURP_Gpe_231"/>
      <sheetName val="SURP_Gpe_331"/>
      <sheetName val="Récap_GC31"/>
      <sheetName val="RECAP_cond31"/>
      <sheetName val="Charges_DSO_2012_11"/>
      <sheetName val="dimensio_EU11"/>
      <sheetName val="Rep_pop9"/>
      <sheetName val="E_U4"/>
      <sheetName val="RE__SEV_15033"/>
      <sheetName val="RE_SEV_5033"/>
      <sheetName val="RE__SET_15033"/>
      <sheetName val="SR_Gpe_133"/>
      <sheetName val="SP_Gpe_133"/>
      <sheetName val="SP_Gpe_433"/>
      <sheetName val="SURP_Gpe_233"/>
      <sheetName val="SURP_Gpe_333"/>
      <sheetName val="Récap_GC33"/>
      <sheetName val="RECAP_cond33"/>
      <sheetName val="Charges_DSO_2012_13"/>
      <sheetName val="dimensio_EU13"/>
      <sheetName val="Rep_pop11"/>
      <sheetName val="elec"/>
      <sheetName val="RE__SEV_15034"/>
      <sheetName val="RE_SEV_5034"/>
      <sheetName val="RE__SET_15034"/>
      <sheetName val="SR_Gpe_134"/>
      <sheetName val="SP_Gpe_134"/>
      <sheetName val="SP_Gpe_434"/>
      <sheetName val="SURP_Gpe_234"/>
      <sheetName val="SURP_Gpe_334"/>
      <sheetName val="Récap_GC34"/>
      <sheetName val="RECAP_cond34"/>
      <sheetName val="Charges_DSO_2012_14"/>
      <sheetName val="dimensio_EU14"/>
      <sheetName val="Rep_pop12"/>
      <sheetName val="E_U6"/>
      <sheetName val="GC_150m3_MGHASSINE"/>
      <sheetName val="RE__SEV_15035"/>
      <sheetName val="RE_SEV_5035"/>
      <sheetName val="RE__SET_15035"/>
      <sheetName val="SR_Gpe_135"/>
      <sheetName val="SP_Gpe_135"/>
      <sheetName val="SP_Gpe_435"/>
      <sheetName val="SURP_Gpe_235"/>
      <sheetName val="SURP_Gpe_335"/>
      <sheetName val="Récap_GC35"/>
      <sheetName val="RECAP_cond35"/>
      <sheetName val="Charges_DSO_2012_15"/>
      <sheetName val="dimensio_EU15"/>
      <sheetName val="Rep_pop13"/>
      <sheetName val="E_U7"/>
      <sheetName val="RE__SEV_15036"/>
      <sheetName val="RE_SEV_5036"/>
      <sheetName val="RE__SET_15036"/>
      <sheetName val="SR_Gpe_136"/>
      <sheetName val="SP_Gpe_136"/>
      <sheetName val="SP_Gpe_436"/>
      <sheetName val="SURP_Gpe_236"/>
      <sheetName val="SURP_Gpe_336"/>
      <sheetName val="Récap_GC36"/>
      <sheetName val="RECAP_cond36"/>
      <sheetName val="Charges_DSO_2012_16"/>
      <sheetName val="dimensio_EU16"/>
      <sheetName val="Rep_pop14"/>
      <sheetName val="Macro-Hardy-Cross"/>
      <sheetName val="Macro-Newton"/>
      <sheetName val="Macro-Pression"/>
      <sheetName val="Liste de consommate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 SOMM"/>
      <sheetName val="EST CONF"/>
      <sheetName val="MARCHE"/>
      <sheetName val="APPROV"/>
      <sheetName val="EST_SOMM"/>
      <sheetName val="EST_CONF"/>
      <sheetName val="EST_SOMM1"/>
      <sheetName val="EST_CONF1"/>
      <sheetName val="EST_SOMM4"/>
      <sheetName val="EST_CONF4"/>
      <sheetName val="EST_SOMM2"/>
      <sheetName val="EST_CONF2"/>
      <sheetName val="EST_SOMM3"/>
      <sheetName val="EST_CONF3"/>
      <sheetName val="EST_SOMM5"/>
      <sheetName val="EST_CONF5"/>
      <sheetName val="EST_SOMM6"/>
      <sheetName val="EST_CONF6"/>
      <sheetName val="EST_SOMM7"/>
      <sheetName val="EST_CONF7"/>
    </sheetNames>
    <sheetDataSet>
      <sheetData sheetId="0" refreshError="1"/>
      <sheetData sheetId="1">
        <row r="9">
          <cell r="B9" t="str">
            <v>A/ GROS-ŒUVRE</v>
          </cell>
        </row>
        <row r="11">
          <cell r="B11" t="str">
            <v>TRAVAUX DE PREPARATION</v>
          </cell>
        </row>
        <row r="13">
          <cell r="A13">
            <v>101</v>
          </cell>
          <cell r="B13" t="str">
            <v>Démolition et dépose d'ouvrages existants</v>
          </cell>
        </row>
        <row r="14">
          <cell r="B14" t="str">
            <v>a) Démolition de clôture existant</v>
          </cell>
        </row>
        <row r="15">
          <cell r="B15" t="str">
            <v>Le mètre linéaire</v>
          </cell>
          <cell r="C15" t="str">
            <v>ML</v>
          </cell>
          <cell r="D15">
            <v>88</v>
          </cell>
          <cell r="E15">
            <v>80</v>
          </cell>
          <cell r="F15">
            <v>7040</v>
          </cell>
        </row>
        <row r="16">
          <cell r="F16">
            <v>0</v>
          </cell>
        </row>
        <row r="17">
          <cell r="B17" t="str">
            <v>b) Démolition de dallage y/c revêtement</v>
          </cell>
          <cell r="F17">
            <v>0</v>
          </cell>
        </row>
        <row r="18">
          <cell r="B18" t="str">
            <v>et forme</v>
          </cell>
          <cell r="F18">
            <v>0</v>
          </cell>
        </row>
        <row r="19">
          <cell r="B19" t="str">
            <v>Le mètre carré</v>
          </cell>
          <cell r="C19" t="str">
            <v>M2</v>
          </cell>
          <cell r="D19">
            <v>715</v>
          </cell>
          <cell r="E19">
            <v>15</v>
          </cell>
          <cell r="F19">
            <v>10725</v>
          </cell>
        </row>
        <row r="20">
          <cell r="F20">
            <v>0</v>
          </cell>
        </row>
        <row r="21">
          <cell r="B21" t="str">
            <v>c) Dépose de candélabre avec le plus</v>
          </cell>
          <cell r="F21">
            <v>0</v>
          </cell>
        </row>
        <row r="22">
          <cell r="B22" t="str">
            <v>grand soin (à récupérer)</v>
          </cell>
          <cell r="F22">
            <v>0</v>
          </cell>
        </row>
        <row r="23">
          <cell r="B23" t="str">
            <v>L'unité</v>
          </cell>
          <cell r="C23" t="str">
            <v>U</v>
          </cell>
          <cell r="D23">
            <v>12</v>
          </cell>
          <cell r="E23">
            <v>100</v>
          </cell>
          <cell r="F23">
            <v>1200</v>
          </cell>
        </row>
        <row r="24">
          <cell r="F24">
            <v>0</v>
          </cell>
        </row>
        <row r="25">
          <cell r="B25" t="str">
            <v>d) Démolition de portique y/c console en</v>
          </cell>
          <cell r="F25">
            <v>0</v>
          </cell>
        </row>
        <row r="26">
          <cell r="B26" t="str">
            <v>BA et maçonnerie en agglos ou en briques</v>
          </cell>
          <cell r="F26">
            <v>0</v>
          </cell>
        </row>
        <row r="27">
          <cell r="B27" t="str">
            <v>Le forfait</v>
          </cell>
          <cell r="C27" t="str">
            <v>F</v>
          </cell>
          <cell r="D27">
            <v>1</v>
          </cell>
          <cell r="E27">
            <v>3000</v>
          </cell>
          <cell r="F27">
            <v>3000</v>
          </cell>
        </row>
        <row r="28">
          <cell r="F28">
            <v>0</v>
          </cell>
        </row>
        <row r="29">
          <cell r="B29" t="str">
            <v>e) Démolition de fontaine existante</v>
          </cell>
          <cell r="F29">
            <v>0</v>
          </cell>
        </row>
        <row r="30">
          <cell r="B30" t="str">
            <v>L'unité</v>
          </cell>
          <cell r="C30" t="str">
            <v>U</v>
          </cell>
          <cell r="D30">
            <v>1</v>
          </cell>
          <cell r="E30">
            <v>3000</v>
          </cell>
          <cell r="F30">
            <v>3000</v>
          </cell>
        </row>
        <row r="31">
          <cell r="F31">
            <v>0</v>
          </cell>
        </row>
        <row r="32">
          <cell r="B32" t="str">
            <v>f) Piquage d'enduit</v>
          </cell>
          <cell r="F32">
            <v>0</v>
          </cell>
        </row>
        <row r="33">
          <cell r="B33" t="str">
            <v>Le mètre carré</v>
          </cell>
          <cell r="C33" t="str">
            <v>M2</v>
          </cell>
          <cell r="D33">
            <v>100</v>
          </cell>
          <cell r="E33">
            <v>15</v>
          </cell>
          <cell r="F33">
            <v>1500</v>
          </cell>
        </row>
        <row r="34">
          <cell r="F34">
            <v>0</v>
          </cell>
        </row>
        <row r="35">
          <cell r="B35" t="str">
            <v>g) Démolition ou piquage d'ouvrages en</v>
          </cell>
          <cell r="F35">
            <v>0</v>
          </cell>
        </row>
        <row r="36">
          <cell r="B36" t="str">
            <v>B.A. en fondation et en élévation</v>
          </cell>
          <cell r="F36">
            <v>0</v>
          </cell>
        </row>
        <row r="37">
          <cell r="B37" t="str">
            <v>Le mètre cube</v>
          </cell>
          <cell r="C37" t="str">
            <v>M3</v>
          </cell>
          <cell r="D37">
            <v>10</v>
          </cell>
          <cell r="E37">
            <v>150</v>
          </cell>
          <cell r="F37">
            <v>1500</v>
          </cell>
        </row>
        <row r="38">
          <cell r="F38">
            <v>0</v>
          </cell>
        </row>
        <row r="39">
          <cell r="B39" t="str">
            <v>h) Démolition de maçonnerie en agglos ou</v>
          </cell>
          <cell r="F39">
            <v>0</v>
          </cell>
        </row>
        <row r="40">
          <cell r="B40" t="str">
            <v xml:space="preserve">    h1) en pierres</v>
          </cell>
          <cell r="F40">
            <v>0</v>
          </cell>
        </row>
        <row r="41">
          <cell r="B41" t="str">
            <v xml:space="preserve">    Le mètre cube</v>
          </cell>
          <cell r="C41" t="str">
            <v>M3</v>
          </cell>
          <cell r="D41">
            <v>10</v>
          </cell>
          <cell r="E41">
            <v>100</v>
          </cell>
          <cell r="F41">
            <v>1000</v>
          </cell>
        </row>
        <row r="42">
          <cell r="B42" t="str">
            <v xml:space="preserve">    h2) en agglos ou en briques</v>
          </cell>
          <cell r="F42">
            <v>0</v>
          </cell>
        </row>
        <row r="43">
          <cell r="B43" t="str">
            <v xml:space="preserve">    Le mètre carré</v>
          </cell>
          <cell r="C43" t="str">
            <v>M2</v>
          </cell>
          <cell r="D43">
            <v>10</v>
          </cell>
          <cell r="E43">
            <v>25</v>
          </cell>
          <cell r="F43">
            <v>250</v>
          </cell>
        </row>
        <row r="44">
          <cell r="F44">
            <v>0</v>
          </cell>
        </row>
        <row r="45">
          <cell r="B45" t="str">
            <v xml:space="preserve">i) Dépose de menuiserie en bois ou </v>
          </cell>
          <cell r="F45">
            <v>0</v>
          </cell>
        </row>
        <row r="46">
          <cell r="B46" t="str">
            <v>métallique de toutes sections</v>
          </cell>
          <cell r="F46">
            <v>0</v>
          </cell>
        </row>
        <row r="47">
          <cell r="B47" t="str">
            <v>L'unité</v>
          </cell>
          <cell r="C47" t="str">
            <v>U</v>
          </cell>
          <cell r="D47">
            <v>5</v>
          </cell>
          <cell r="E47">
            <v>60</v>
          </cell>
          <cell r="F47">
            <v>300</v>
          </cell>
        </row>
        <row r="48">
          <cell r="F48">
            <v>0</v>
          </cell>
        </row>
        <row r="49">
          <cell r="B49" t="str">
            <v>j) Dépose de bordures de trottoirs</v>
          </cell>
          <cell r="F49">
            <v>0</v>
          </cell>
        </row>
        <row r="50">
          <cell r="B50" t="str">
            <v>Le mètre linéaire</v>
          </cell>
          <cell r="C50" t="str">
            <v>ML</v>
          </cell>
          <cell r="D50">
            <v>135</v>
          </cell>
          <cell r="E50">
            <v>35</v>
          </cell>
          <cell r="F50">
            <v>4725</v>
          </cell>
        </row>
        <row r="52">
          <cell r="F52">
            <v>0</v>
          </cell>
        </row>
        <row r="53">
          <cell r="B53" t="str">
            <v>TOTAL TRAVAUX DE PREPARATION .................................... =</v>
          </cell>
          <cell r="F53">
            <v>34240</v>
          </cell>
        </row>
        <row r="54">
          <cell r="F54">
            <v>0</v>
          </cell>
        </row>
        <row r="55">
          <cell r="A55" t="str">
            <v>N°</v>
          </cell>
          <cell r="B55" t="str">
            <v>DESIGNATIONS DES OUVRAGES</v>
          </cell>
          <cell r="C55" t="str">
            <v>UNITE</v>
          </cell>
          <cell r="D55" t="str">
            <v>QUANTITE</v>
          </cell>
          <cell r="E55" t="str">
            <v xml:space="preserve">PRIX </v>
          </cell>
          <cell r="F55" t="str">
            <v xml:space="preserve">    TOTAL</v>
          </cell>
        </row>
        <row r="56">
          <cell r="B56" t="str">
            <v>PRIX EN TOUTES LETTRES</v>
          </cell>
          <cell r="E56" t="str">
            <v>UNITAIRE</v>
          </cell>
        </row>
        <row r="58">
          <cell r="B58" t="str">
            <v>TERRASSEMENTS</v>
          </cell>
        </row>
        <row r="60">
          <cell r="A60">
            <v>102</v>
          </cell>
          <cell r="B60" t="str">
            <v>Fouilles en rigoles ou  en tranchées ou en</v>
          </cell>
          <cell r="F60">
            <v>0</v>
          </cell>
        </row>
        <row r="61">
          <cell r="B61" t="str">
            <v>puits dans tous terrains sauf rocher</v>
          </cell>
          <cell r="F61">
            <v>0</v>
          </cell>
        </row>
        <row r="62">
          <cell r="B62" t="str">
            <v>Le mètre cube</v>
          </cell>
          <cell r="C62" t="str">
            <v>M3</v>
          </cell>
          <cell r="D62">
            <v>62</v>
          </cell>
          <cell r="E62">
            <v>40</v>
          </cell>
          <cell r="F62">
            <v>2480</v>
          </cell>
        </row>
        <row r="63">
          <cell r="F63">
            <v>0</v>
          </cell>
        </row>
        <row r="64">
          <cell r="A64">
            <v>103</v>
          </cell>
          <cell r="B64" t="str">
            <v>Plus value pour fouilles dans le rocher</v>
          </cell>
          <cell r="F64">
            <v>0</v>
          </cell>
        </row>
        <row r="65">
          <cell r="B65" t="str">
            <v>Le mètre cube</v>
          </cell>
          <cell r="C65" t="str">
            <v>M3</v>
          </cell>
          <cell r="D65">
            <v>16</v>
          </cell>
          <cell r="E65">
            <v>100</v>
          </cell>
          <cell r="F65">
            <v>1600</v>
          </cell>
        </row>
        <row r="66">
          <cell r="F66">
            <v>0</v>
          </cell>
        </row>
        <row r="67">
          <cell r="A67">
            <v>104</v>
          </cell>
          <cell r="B67" t="str">
            <v>Remblaiement ou évacuation aux D.P.</v>
          </cell>
          <cell r="F67">
            <v>0</v>
          </cell>
        </row>
        <row r="68">
          <cell r="B68" t="str">
            <v>Le mètre cube</v>
          </cell>
          <cell r="C68" t="str">
            <v>M3</v>
          </cell>
          <cell r="D68">
            <v>62</v>
          </cell>
          <cell r="E68">
            <v>30</v>
          </cell>
          <cell r="F68">
            <v>1860</v>
          </cell>
        </row>
        <row r="69">
          <cell r="F69">
            <v>0</v>
          </cell>
        </row>
        <row r="70">
          <cell r="A70">
            <v>105</v>
          </cell>
          <cell r="B70" t="str">
            <v>Apport de terre à usage de remblais</v>
          </cell>
          <cell r="F70">
            <v>0</v>
          </cell>
        </row>
        <row r="71">
          <cell r="B71" t="str">
            <v>Le mètre cube</v>
          </cell>
          <cell r="C71" t="str">
            <v>M3</v>
          </cell>
          <cell r="D71">
            <v>50</v>
          </cell>
          <cell r="E71">
            <v>60</v>
          </cell>
          <cell r="F71">
            <v>3000</v>
          </cell>
        </row>
        <row r="72">
          <cell r="F72">
            <v>0</v>
          </cell>
        </row>
        <row r="73">
          <cell r="F73">
            <v>0</v>
          </cell>
        </row>
        <row r="74">
          <cell r="B74" t="str">
            <v>TOTAL TERRASSEMENTS .......................................... =</v>
          </cell>
          <cell r="F74">
            <v>8940</v>
          </cell>
        </row>
        <row r="75">
          <cell r="F75">
            <v>0</v>
          </cell>
        </row>
        <row r="76">
          <cell r="F76">
            <v>0</v>
          </cell>
        </row>
        <row r="77">
          <cell r="B77" t="str">
            <v>MACONNERIE EN FONDATIONS</v>
          </cell>
          <cell r="F77">
            <v>0</v>
          </cell>
        </row>
        <row r="78">
          <cell r="F78">
            <v>0</v>
          </cell>
        </row>
        <row r="79">
          <cell r="A79">
            <v>106</v>
          </cell>
          <cell r="B79" t="str">
            <v>Béton de propreté</v>
          </cell>
          <cell r="F79">
            <v>0</v>
          </cell>
        </row>
        <row r="80">
          <cell r="B80" t="str">
            <v>Le mètre cube</v>
          </cell>
          <cell r="C80" t="str">
            <v>M3</v>
          </cell>
          <cell r="D80">
            <v>10</v>
          </cell>
          <cell r="E80">
            <v>400</v>
          </cell>
          <cell r="F80">
            <v>4000</v>
          </cell>
        </row>
        <row r="81">
          <cell r="F81">
            <v>0</v>
          </cell>
        </row>
        <row r="82">
          <cell r="A82">
            <v>107</v>
          </cell>
          <cell r="B82" t="str">
            <v>Maçonnerie de moellons en fondations</v>
          </cell>
          <cell r="F82">
            <v>0</v>
          </cell>
        </row>
        <row r="83">
          <cell r="B83" t="str">
            <v>Le mètre cube</v>
          </cell>
          <cell r="C83" t="str">
            <v>M3</v>
          </cell>
          <cell r="D83">
            <v>40</v>
          </cell>
          <cell r="E83">
            <v>500</v>
          </cell>
          <cell r="F83">
            <v>20000</v>
          </cell>
        </row>
        <row r="85">
          <cell r="A85">
            <v>108</v>
          </cell>
          <cell r="B85" t="str">
            <v>Gros béton</v>
          </cell>
          <cell r="F85">
            <v>0</v>
          </cell>
        </row>
        <row r="86">
          <cell r="B86" t="str">
            <v>Le mètre cube</v>
          </cell>
          <cell r="C86" t="str">
            <v>M3</v>
          </cell>
          <cell r="D86">
            <v>1</v>
          </cell>
          <cell r="E86">
            <v>400</v>
          </cell>
          <cell r="F86">
            <v>400</v>
          </cell>
        </row>
        <row r="88">
          <cell r="A88">
            <v>109</v>
          </cell>
          <cell r="B88" t="str">
            <v>Chape d'arase étanche sur maçonnerie</v>
          </cell>
        </row>
        <row r="89">
          <cell r="B89" t="str">
            <v>Le mètre linéaire</v>
          </cell>
          <cell r="C89" t="str">
            <v>ML</v>
          </cell>
          <cell r="D89">
            <v>165</v>
          </cell>
          <cell r="E89">
            <v>40</v>
          </cell>
          <cell r="F89">
            <v>6600</v>
          </cell>
        </row>
        <row r="92">
          <cell r="B92" t="str">
            <v>TOTAL MACONNERIE EN FONDATIONS......................... =</v>
          </cell>
          <cell r="F92">
            <v>31000</v>
          </cell>
        </row>
        <row r="95">
          <cell r="B95" t="str">
            <v>BETON ARME EN FONDATIONS</v>
          </cell>
        </row>
        <row r="97">
          <cell r="A97">
            <v>110</v>
          </cell>
          <cell r="B97" t="str">
            <v>Béton armé pour chaînages et longrines</v>
          </cell>
          <cell r="F97">
            <v>0</v>
          </cell>
        </row>
        <row r="98">
          <cell r="B98" t="str">
            <v>Le mètre cube</v>
          </cell>
          <cell r="C98" t="str">
            <v>M3</v>
          </cell>
          <cell r="D98">
            <v>16</v>
          </cell>
          <cell r="E98">
            <v>900</v>
          </cell>
          <cell r="F98">
            <v>14400</v>
          </cell>
        </row>
        <row r="99">
          <cell r="F99">
            <v>0</v>
          </cell>
        </row>
        <row r="100">
          <cell r="A100">
            <v>111</v>
          </cell>
          <cell r="B100" t="str">
            <v>Armature en acier tor en fondations</v>
          </cell>
          <cell r="F100">
            <v>0</v>
          </cell>
        </row>
        <row r="101">
          <cell r="B101" t="str">
            <v>Le kilogramme</v>
          </cell>
          <cell r="C101" t="str">
            <v>KG</v>
          </cell>
          <cell r="D101">
            <v>1100</v>
          </cell>
          <cell r="E101">
            <v>10.5</v>
          </cell>
          <cell r="F101">
            <v>11550</v>
          </cell>
        </row>
        <row r="104">
          <cell r="B104" t="str">
            <v>TOTAL BETON ARME EN FONDATIONS.......................... =</v>
          </cell>
          <cell r="F104">
            <v>25950</v>
          </cell>
        </row>
        <row r="106">
          <cell r="A106" t="str">
            <v>N°</v>
          </cell>
          <cell r="B106" t="str">
            <v>DESIGNATIONS DES OUVRAGES</v>
          </cell>
          <cell r="C106" t="str">
            <v>UNITE</v>
          </cell>
          <cell r="D106" t="str">
            <v>QUANTITE</v>
          </cell>
          <cell r="E106" t="str">
            <v xml:space="preserve">PRIX </v>
          </cell>
          <cell r="F106" t="str">
            <v xml:space="preserve">    TOTAL</v>
          </cell>
        </row>
        <row r="107">
          <cell r="B107" t="str">
            <v>PRIX EN TOUTES LETTRES</v>
          </cell>
          <cell r="E107" t="str">
            <v>UNITAIRE</v>
          </cell>
        </row>
        <row r="109">
          <cell r="B109" t="str">
            <v>RESEAUX D'ASSAINISSEMENT</v>
          </cell>
        </row>
        <row r="110">
          <cell r="B110" t="str">
            <v>ET OUVRAGES ANNEXES</v>
          </cell>
        </row>
        <row r="112">
          <cell r="A112">
            <v>112</v>
          </cell>
          <cell r="B112" t="str">
            <v>Canalisation en buse de béton  comprimé</v>
          </cell>
        </row>
        <row r="113">
          <cell r="B113" t="str">
            <v>pour évacuation</v>
          </cell>
        </row>
        <row r="114">
          <cell r="B114" t="str">
            <v>a) Ø 200</v>
          </cell>
        </row>
        <row r="115">
          <cell r="B115" t="str">
            <v>Le mètre linéaire</v>
          </cell>
          <cell r="C115" t="str">
            <v>ML</v>
          </cell>
          <cell r="D115">
            <v>150</v>
          </cell>
          <cell r="E115">
            <v>80</v>
          </cell>
          <cell r="F115">
            <v>12000</v>
          </cell>
        </row>
        <row r="116">
          <cell r="F116">
            <v>0</v>
          </cell>
        </row>
        <row r="117">
          <cell r="B117" t="str">
            <v>b) Ø 300</v>
          </cell>
          <cell r="F117">
            <v>0</v>
          </cell>
        </row>
        <row r="118">
          <cell r="B118" t="str">
            <v>Le mètre linéaire</v>
          </cell>
          <cell r="C118" t="str">
            <v>ML</v>
          </cell>
          <cell r="D118">
            <v>50</v>
          </cell>
          <cell r="E118">
            <v>100</v>
          </cell>
          <cell r="F118">
            <v>5000</v>
          </cell>
        </row>
        <row r="119">
          <cell r="F119">
            <v>0</v>
          </cell>
        </row>
        <row r="120">
          <cell r="A120">
            <v>113</v>
          </cell>
          <cell r="B120" t="str">
            <v>Regards pour évacuation</v>
          </cell>
          <cell r="F120">
            <v>0</v>
          </cell>
        </row>
        <row r="121">
          <cell r="B121" t="str">
            <v>a) de 50x50 type visitables</v>
          </cell>
          <cell r="F121">
            <v>0</v>
          </cell>
        </row>
        <row r="122">
          <cell r="B122" t="str">
            <v>L'unité</v>
          </cell>
          <cell r="C122" t="str">
            <v>U</v>
          </cell>
          <cell r="D122">
            <v>5</v>
          </cell>
          <cell r="E122">
            <v>400</v>
          </cell>
          <cell r="F122">
            <v>2000</v>
          </cell>
        </row>
        <row r="123">
          <cell r="F123">
            <v>0</v>
          </cell>
        </row>
        <row r="124">
          <cell r="B124" t="str">
            <v>b) de 60x60 type visitables</v>
          </cell>
          <cell r="F124">
            <v>0</v>
          </cell>
        </row>
        <row r="125">
          <cell r="B125" t="str">
            <v>L'unité</v>
          </cell>
          <cell r="C125" t="str">
            <v>U</v>
          </cell>
          <cell r="D125">
            <v>3</v>
          </cell>
          <cell r="E125">
            <v>500</v>
          </cell>
          <cell r="F125">
            <v>1500</v>
          </cell>
        </row>
        <row r="126">
          <cell r="F126">
            <v>0</v>
          </cell>
        </row>
        <row r="127">
          <cell r="B127" t="str">
            <v>c) de 80x80 type visitables</v>
          </cell>
          <cell r="F127">
            <v>0</v>
          </cell>
        </row>
        <row r="128">
          <cell r="B128" t="str">
            <v>L'unité</v>
          </cell>
          <cell r="C128" t="str">
            <v>U</v>
          </cell>
          <cell r="D128">
            <v>2</v>
          </cell>
          <cell r="E128">
            <v>600</v>
          </cell>
          <cell r="F128">
            <v>1200</v>
          </cell>
        </row>
        <row r="129">
          <cell r="F129">
            <v>0</v>
          </cell>
        </row>
        <row r="130">
          <cell r="A130">
            <v>114</v>
          </cell>
          <cell r="B130" t="str">
            <v>Canalisation en buse de béton comprimé</v>
          </cell>
          <cell r="F130">
            <v>0</v>
          </cell>
        </row>
        <row r="131">
          <cell r="B131" t="str">
            <v>Ø 150 pour passage de câbles électriques</v>
          </cell>
          <cell r="F131">
            <v>0</v>
          </cell>
        </row>
        <row r="132">
          <cell r="B132" t="str">
            <v>Le mètre linéaire</v>
          </cell>
          <cell r="C132" t="str">
            <v>ML</v>
          </cell>
          <cell r="D132">
            <v>150</v>
          </cell>
          <cell r="E132">
            <v>70</v>
          </cell>
          <cell r="F132">
            <v>10500</v>
          </cell>
        </row>
        <row r="133">
          <cell r="F133">
            <v>0</v>
          </cell>
        </row>
        <row r="134">
          <cell r="A134">
            <v>115</v>
          </cell>
          <cell r="B134" t="str">
            <v>Regard de 40x40 pour passage de câbles</v>
          </cell>
          <cell r="F134">
            <v>0</v>
          </cell>
        </row>
        <row r="135">
          <cell r="B135" t="str">
            <v>L'unité</v>
          </cell>
          <cell r="C135" t="str">
            <v>U</v>
          </cell>
          <cell r="D135">
            <v>10</v>
          </cell>
          <cell r="E135">
            <v>350</v>
          </cell>
          <cell r="F135">
            <v>3500</v>
          </cell>
        </row>
        <row r="138">
          <cell r="B138" t="str">
            <v>TOTAL RESEAUX D'ASSAINISSEMENT......................... =</v>
          </cell>
          <cell r="F138">
            <v>35700</v>
          </cell>
        </row>
        <row r="141">
          <cell r="B141" t="str">
            <v>SOLS - DALLAGES</v>
          </cell>
        </row>
        <row r="143">
          <cell r="A143">
            <v>116</v>
          </cell>
          <cell r="B143" t="str">
            <v>Hérisson en pierres sèches de 0,20 ép.</v>
          </cell>
        </row>
        <row r="144">
          <cell r="B144" t="str">
            <v>Le mètre carré</v>
          </cell>
          <cell r="C144" t="str">
            <v>M2</v>
          </cell>
          <cell r="D144">
            <v>870</v>
          </cell>
          <cell r="E144">
            <v>25</v>
          </cell>
          <cell r="F144">
            <v>21750</v>
          </cell>
        </row>
        <row r="145">
          <cell r="F145">
            <v>0</v>
          </cell>
        </row>
        <row r="146">
          <cell r="A146">
            <v>117</v>
          </cell>
          <cell r="B146" t="str">
            <v>Béton de forme de 0,10 m d'épaisseur</v>
          </cell>
          <cell r="F146">
            <v>0</v>
          </cell>
        </row>
        <row r="147">
          <cell r="B147" t="str">
            <v>Le mètre carré</v>
          </cell>
          <cell r="C147" t="str">
            <v>M2</v>
          </cell>
          <cell r="D147">
            <v>870</v>
          </cell>
          <cell r="E147">
            <v>80</v>
          </cell>
          <cell r="F147">
            <v>69600</v>
          </cell>
        </row>
        <row r="148">
          <cell r="F148">
            <v>0</v>
          </cell>
        </row>
        <row r="149">
          <cell r="A149">
            <v>118</v>
          </cell>
          <cell r="B149" t="str">
            <v>Armature de forme</v>
          </cell>
          <cell r="F149">
            <v>0</v>
          </cell>
        </row>
        <row r="150">
          <cell r="B150" t="str">
            <v>Le kilogramme</v>
          </cell>
          <cell r="C150" t="str">
            <v>KG</v>
          </cell>
          <cell r="D150">
            <v>1930</v>
          </cell>
          <cell r="E150">
            <v>10</v>
          </cell>
          <cell r="F150">
            <v>19300</v>
          </cell>
        </row>
        <row r="153">
          <cell r="B153" t="str">
            <v>TOTAL SOLS ET DALLAGE...................................... =</v>
          </cell>
          <cell r="F153">
            <v>110650</v>
          </cell>
        </row>
        <row r="155">
          <cell r="A155" t="str">
            <v>N°</v>
          </cell>
          <cell r="B155" t="str">
            <v>DESIGNATIONS DES OUVRAGES</v>
          </cell>
          <cell r="C155" t="str">
            <v>UNITE</v>
          </cell>
          <cell r="D155" t="str">
            <v>QUANTITE</v>
          </cell>
          <cell r="E155" t="str">
            <v xml:space="preserve">PRIX </v>
          </cell>
          <cell r="F155" t="str">
            <v xml:space="preserve">    TOTAL</v>
          </cell>
        </row>
        <row r="156">
          <cell r="B156" t="str">
            <v>PRIX EN TOUTES LETTRES</v>
          </cell>
          <cell r="E156" t="str">
            <v>UNITAIRE</v>
          </cell>
        </row>
        <row r="158">
          <cell r="B158" t="str">
            <v>BETON ARME EN ELEVATIONS</v>
          </cell>
        </row>
        <row r="160">
          <cell r="A160">
            <v>119</v>
          </cell>
          <cell r="B160" t="str">
            <v>Béton armé pour tous ouvrages en élévation</v>
          </cell>
        </row>
        <row r="161">
          <cell r="B161" t="str">
            <v>a) Béton pour poteaux</v>
          </cell>
        </row>
        <row r="162">
          <cell r="B162" t="str">
            <v>Le mètre cube</v>
          </cell>
          <cell r="C162" t="str">
            <v>M3</v>
          </cell>
          <cell r="D162">
            <v>32</v>
          </cell>
          <cell r="E162">
            <v>900</v>
          </cell>
          <cell r="F162">
            <v>28800</v>
          </cell>
        </row>
        <row r="163">
          <cell r="F163">
            <v>0</v>
          </cell>
        </row>
        <row r="164">
          <cell r="B164" t="str">
            <v>b) Béton pour poutre</v>
          </cell>
          <cell r="F164">
            <v>0</v>
          </cell>
        </row>
        <row r="165">
          <cell r="B165" t="str">
            <v>Le mètre cube</v>
          </cell>
          <cell r="C165" t="str">
            <v>M3</v>
          </cell>
          <cell r="D165">
            <v>45</v>
          </cell>
          <cell r="E165">
            <v>900</v>
          </cell>
          <cell r="F165">
            <v>40500</v>
          </cell>
        </row>
        <row r="166">
          <cell r="F166">
            <v>0</v>
          </cell>
        </row>
        <row r="167">
          <cell r="B167" t="str">
            <v>c) Béton pour socle et chapiteaux</v>
          </cell>
        </row>
        <row r="168">
          <cell r="B168" t="str">
            <v>Le mètre cube</v>
          </cell>
          <cell r="C168" t="str">
            <v>M3</v>
          </cell>
          <cell r="D168">
            <v>14</v>
          </cell>
          <cell r="E168">
            <v>900</v>
          </cell>
          <cell r="F168">
            <v>12600</v>
          </cell>
        </row>
        <row r="170">
          <cell r="B170" t="str">
            <v>d) Béton pour voile des arcades</v>
          </cell>
          <cell r="F170">
            <v>0</v>
          </cell>
        </row>
        <row r="171">
          <cell r="B171" t="str">
            <v>Le mètre cube</v>
          </cell>
          <cell r="C171" t="str">
            <v>M3</v>
          </cell>
          <cell r="D171">
            <v>12</v>
          </cell>
          <cell r="E171">
            <v>900</v>
          </cell>
          <cell r="F171">
            <v>10800</v>
          </cell>
        </row>
        <row r="172">
          <cell r="F172">
            <v>0</v>
          </cell>
        </row>
        <row r="173">
          <cell r="B173" t="str">
            <v>d) Béton pour acrotères</v>
          </cell>
          <cell r="F173">
            <v>0</v>
          </cell>
        </row>
        <row r="174">
          <cell r="B174" t="str">
            <v>Le mètre cube</v>
          </cell>
          <cell r="C174" t="str">
            <v>M3</v>
          </cell>
          <cell r="D174">
            <v>63</v>
          </cell>
          <cell r="E174">
            <v>900</v>
          </cell>
          <cell r="F174">
            <v>56700</v>
          </cell>
        </row>
        <row r="175">
          <cell r="F175">
            <v>0</v>
          </cell>
        </row>
        <row r="176">
          <cell r="A176">
            <v>120</v>
          </cell>
          <cell r="B176" t="str">
            <v>Plancher hourdis de 15+5</v>
          </cell>
          <cell r="F176">
            <v>0</v>
          </cell>
        </row>
        <row r="177">
          <cell r="B177" t="str">
            <v>Le mètre carré</v>
          </cell>
          <cell r="C177" t="str">
            <v>M2</v>
          </cell>
          <cell r="D177">
            <v>640</v>
          </cell>
          <cell r="E177">
            <v>200</v>
          </cell>
          <cell r="F177">
            <v>128000</v>
          </cell>
        </row>
        <row r="178">
          <cell r="F178">
            <v>0</v>
          </cell>
        </row>
        <row r="179">
          <cell r="A179">
            <v>121</v>
          </cell>
          <cell r="B179" t="str">
            <v>Armature en acier tor en élévation</v>
          </cell>
          <cell r="F179">
            <v>0</v>
          </cell>
        </row>
        <row r="180">
          <cell r="B180" t="str">
            <v>Le kilogramme</v>
          </cell>
          <cell r="C180" t="str">
            <v>KG</v>
          </cell>
          <cell r="D180">
            <v>11800</v>
          </cell>
          <cell r="E180">
            <v>10.5</v>
          </cell>
          <cell r="F180">
            <v>123900</v>
          </cell>
        </row>
        <row r="181">
          <cell r="F181">
            <v>0</v>
          </cell>
        </row>
        <row r="182">
          <cell r="A182">
            <v>122</v>
          </cell>
          <cell r="B182" t="str">
            <v>Plus value pour :</v>
          </cell>
          <cell r="F182">
            <v>0</v>
          </cell>
        </row>
        <row r="183">
          <cell r="B183" t="str">
            <v>a) poteaux cylindriques</v>
          </cell>
          <cell r="F183">
            <v>0</v>
          </cell>
        </row>
        <row r="184">
          <cell r="B184" t="str">
            <v>L'unité</v>
          </cell>
          <cell r="C184" t="str">
            <v>U</v>
          </cell>
          <cell r="D184">
            <v>141</v>
          </cell>
          <cell r="E184">
            <v>200</v>
          </cell>
          <cell r="F184">
            <v>28200</v>
          </cell>
        </row>
        <row r="185">
          <cell r="F185">
            <v>0</v>
          </cell>
        </row>
        <row r="186">
          <cell r="B186" t="str">
            <v>b) Socles et chapiteaux</v>
          </cell>
          <cell r="F186">
            <v>0</v>
          </cell>
        </row>
        <row r="187">
          <cell r="B187" t="str">
            <v>L'unité</v>
          </cell>
          <cell r="C187" t="str">
            <v>U</v>
          </cell>
          <cell r="D187">
            <v>65</v>
          </cell>
          <cell r="E187">
            <v>200</v>
          </cell>
          <cell r="F187">
            <v>13000</v>
          </cell>
        </row>
        <row r="188">
          <cell r="F188">
            <v>0</v>
          </cell>
        </row>
        <row r="189">
          <cell r="B189" t="str">
            <v>c) Façon d'arcades</v>
          </cell>
          <cell r="F189">
            <v>0</v>
          </cell>
        </row>
        <row r="190">
          <cell r="B190" t="str">
            <v>L'unité</v>
          </cell>
          <cell r="C190" t="str">
            <v>U</v>
          </cell>
          <cell r="D190">
            <v>63</v>
          </cell>
          <cell r="E190">
            <v>200</v>
          </cell>
          <cell r="F190">
            <v>12600</v>
          </cell>
        </row>
        <row r="191">
          <cell r="F191">
            <v>0</v>
          </cell>
        </row>
        <row r="192">
          <cell r="B192" t="str">
            <v>d) Façon d'acrotères, corniches saillantes et</v>
          </cell>
          <cell r="F192">
            <v>0</v>
          </cell>
        </row>
        <row r="193">
          <cell r="B193" t="str">
            <v>larmiers</v>
          </cell>
          <cell r="F193">
            <v>0</v>
          </cell>
        </row>
        <row r="194">
          <cell r="B194" t="str">
            <v>Le mètre linéaire</v>
          </cell>
          <cell r="C194" t="str">
            <v>ML</v>
          </cell>
          <cell r="D194">
            <v>202</v>
          </cell>
          <cell r="E194">
            <v>35</v>
          </cell>
          <cell r="F194">
            <v>7070</v>
          </cell>
        </row>
        <row r="195">
          <cell r="F195">
            <v>0</v>
          </cell>
        </row>
        <row r="196">
          <cell r="B196" t="str">
            <v>e) Acrotère couvre joint</v>
          </cell>
          <cell r="F196">
            <v>0</v>
          </cell>
        </row>
        <row r="197">
          <cell r="B197" t="str">
            <v>Le mètre linéaire</v>
          </cell>
          <cell r="C197" t="str">
            <v>ML</v>
          </cell>
          <cell r="D197">
            <v>60</v>
          </cell>
          <cell r="E197">
            <v>40</v>
          </cell>
          <cell r="F197">
            <v>2400</v>
          </cell>
        </row>
        <row r="198">
          <cell r="F198">
            <v>0</v>
          </cell>
        </row>
        <row r="199">
          <cell r="B199" t="str">
            <v>f) Eléments décoratifs en BA sur façade</v>
          </cell>
          <cell r="F199">
            <v>0</v>
          </cell>
        </row>
        <row r="200">
          <cell r="B200" t="str">
            <v>L'unité</v>
          </cell>
          <cell r="C200" t="str">
            <v>U</v>
          </cell>
          <cell r="D200">
            <v>60</v>
          </cell>
          <cell r="E200">
            <v>100</v>
          </cell>
          <cell r="F200">
            <v>6000</v>
          </cell>
        </row>
        <row r="201">
          <cell r="F201">
            <v>0</v>
          </cell>
        </row>
        <row r="202">
          <cell r="A202">
            <v>123</v>
          </cell>
          <cell r="B202" t="str">
            <v>Joint de dilation en polystyrène</v>
          </cell>
          <cell r="F202">
            <v>0</v>
          </cell>
        </row>
        <row r="203">
          <cell r="B203" t="str">
            <v>Le mètre linéaire</v>
          </cell>
          <cell r="C203" t="str">
            <v>ML</v>
          </cell>
          <cell r="D203">
            <v>60</v>
          </cell>
          <cell r="E203">
            <v>40</v>
          </cell>
          <cell r="F203">
            <v>2400</v>
          </cell>
        </row>
        <row r="205">
          <cell r="A205" t="str">
            <v>N°</v>
          </cell>
          <cell r="B205" t="str">
            <v>DESIGNATIONS DES OUVRAGES</v>
          </cell>
          <cell r="C205" t="str">
            <v>UNITE</v>
          </cell>
          <cell r="D205" t="str">
            <v>QUANTITE</v>
          </cell>
          <cell r="E205" t="str">
            <v xml:space="preserve">PRIX </v>
          </cell>
          <cell r="F205" t="str">
            <v xml:space="preserve">    TOTAL</v>
          </cell>
        </row>
        <row r="206">
          <cell r="B206" t="str">
            <v>PRIX EN TOUTES LETTRES</v>
          </cell>
          <cell r="E206" t="str">
            <v>UNITAIRE</v>
          </cell>
        </row>
        <row r="208">
          <cell r="A208">
            <v>124</v>
          </cell>
          <cell r="B208" t="str">
            <v>Plus value pour incorporation de produit</v>
          </cell>
        </row>
        <row r="209">
          <cell r="B209" t="str">
            <v>hydrofuge</v>
          </cell>
        </row>
        <row r="210">
          <cell r="B210" t="str">
            <v>Le mètre cube</v>
          </cell>
          <cell r="C210" t="str">
            <v>M3</v>
          </cell>
          <cell r="D210">
            <v>5</v>
          </cell>
          <cell r="E210">
            <v>250</v>
          </cell>
          <cell r="F210">
            <v>1250</v>
          </cell>
        </row>
        <row r="213">
          <cell r="B213" t="str">
            <v>TOTAL BETON ARME EN ELEVATION........................... =</v>
          </cell>
          <cell r="F213">
            <v>474220</v>
          </cell>
        </row>
        <row r="216">
          <cell r="B216" t="str">
            <v>MACONNERIE - CLOISONS</v>
          </cell>
        </row>
        <row r="217">
          <cell r="B217" t="str">
            <v>DE DISTRIBUTION</v>
          </cell>
        </row>
        <row r="219">
          <cell r="A219">
            <v>125</v>
          </cell>
          <cell r="B219" t="str">
            <v>Double cloison en brique creuses de 9+6 T</v>
          </cell>
          <cell r="F219">
            <v>0</v>
          </cell>
        </row>
        <row r="220">
          <cell r="B220" t="str">
            <v>Le mètre carré</v>
          </cell>
          <cell r="C220" t="str">
            <v>M2</v>
          </cell>
          <cell r="D220">
            <v>127</v>
          </cell>
          <cell r="E220">
            <v>150</v>
          </cell>
          <cell r="F220">
            <v>19050</v>
          </cell>
        </row>
        <row r="221">
          <cell r="F221">
            <v>0</v>
          </cell>
        </row>
        <row r="222">
          <cell r="A222">
            <v>126</v>
          </cell>
          <cell r="B222" t="str">
            <v>Tête de double cloison</v>
          </cell>
          <cell r="F222">
            <v>0</v>
          </cell>
        </row>
        <row r="223">
          <cell r="B223" t="str">
            <v>Le mètre linéaire</v>
          </cell>
          <cell r="C223" t="str">
            <v>ML</v>
          </cell>
          <cell r="D223">
            <v>15</v>
          </cell>
          <cell r="E223">
            <v>30</v>
          </cell>
          <cell r="F223">
            <v>450</v>
          </cell>
        </row>
        <row r="224">
          <cell r="F224">
            <v>0</v>
          </cell>
        </row>
        <row r="225">
          <cell r="A225">
            <v>127</v>
          </cell>
          <cell r="B225" t="str">
            <v>Cloison en briques creuses de 6T</v>
          </cell>
          <cell r="F225">
            <v>0</v>
          </cell>
        </row>
        <row r="226">
          <cell r="B226" t="str">
            <v>Le mètre carré</v>
          </cell>
          <cell r="C226" t="str">
            <v>M2</v>
          </cell>
          <cell r="D226">
            <v>127</v>
          </cell>
          <cell r="E226">
            <v>70</v>
          </cell>
          <cell r="F226">
            <v>8890</v>
          </cell>
        </row>
        <row r="227">
          <cell r="F227">
            <v>0</v>
          </cell>
        </row>
        <row r="228">
          <cell r="A228">
            <v>128</v>
          </cell>
          <cell r="B228" t="str">
            <v>Maçonnerie en agglos de 0,20</v>
          </cell>
          <cell r="F228">
            <v>0</v>
          </cell>
        </row>
        <row r="229">
          <cell r="B229" t="str">
            <v>Le mètre carré</v>
          </cell>
          <cell r="C229" t="str">
            <v>M2</v>
          </cell>
          <cell r="D229">
            <v>20</v>
          </cell>
          <cell r="E229">
            <v>110</v>
          </cell>
          <cell r="F229">
            <v>2200</v>
          </cell>
        </row>
        <row r="232">
          <cell r="B232" t="str">
            <v>TOTAL MACONNERIE - CLOISONS............................. =</v>
          </cell>
          <cell r="F232">
            <v>30590</v>
          </cell>
        </row>
        <row r="235">
          <cell r="B235" t="str">
            <v>ENDUITS</v>
          </cell>
        </row>
        <row r="237">
          <cell r="A237">
            <v>129</v>
          </cell>
          <cell r="B237" t="str">
            <v>Enduit extérieur au mortier bâtard taloché</v>
          </cell>
        </row>
        <row r="238">
          <cell r="B238" t="str">
            <v>Le mètre carré</v>
          </cell>
          <cell r="C238" t="str">
            <v>M2</v>
          </cell>
          <cell r="D238">
            <v>400</v>
          </cell>
          <cell r="E238">
            <v>35</v>
          </cell>
          <cell r="F238">
            <v>14000</v>
          </cell>
        </row>
        <row r="239">
          <cell r="F239">
            <v>0</v>
          </cell>
        </row>
        <row r="240">
          <cell r="A240">
            <v>130</v>
          </cell>
          <cell r="B240" t="str">
            <v>Enduit intérieur au mortier bâtard taloché</v>
          </cell>
          <cell r="F240">
            <v>0</v>
          </cell>
        </row>
        <row r="241">
          <cell r="B241" t="str">
            <v>a) sur murs</v>
          </cell>
        </row>
        <row r="242">
          <cell r="B242" t="str">
            <v>Le mètre carré</v>
          </cell>
          <cell r="C242" t="str">
            <v>M2</v>
          </cell>
          <cell r="D242">
            <v>400</v>
          </cell>
          <cell r="E242">
            <v>30</v>
          </cell>
          <cell r="F242">
            <v>12000</v>
          </cell>
        </row>
        <row r="243">
          <cell r="F243">
            <v>0</v>
          </cell>
        </row>
        <row r="244">
          <cell r="B244" t="str">
            <v>b) sur plafonds</v>
          </cell>
          <cell r="F244">
            <v>0</v>
          </cell>
        </row>
        <row r="245">
          <cell r="B245" t="str">
            <v>Le mètre carré</v>
          </cell>
          <cell r="C245" t="str">
            <v>M2</v>
          </cell>
          <cell r="D245">
            <v>675</v>
          </cell>
          <cell r="E245">
            <v>30</v>
          </cell>
          <cell r="F245">
            <v>20250</v>
          </cell>
        </row>
        <row r="246">
          <cell r="F246">
            <v>0</v>
          </cell>
        </row>
        <row r="247">
          <cell r="A247">
            <v>131</v>
          </cell>
          <cell r="B247" t="str">
            <v>Baguettes d'angles</v>
          </cell>
          <cell r="F247">
            <v>0</v>
          </cell>
        </row>
        <row r="248">
          <cell r="B248" t="str">
            <v>L'unité</v>
          </cell>
          <cell r="C248" t="str">
            <v>U</v>
          </cell>
          <cell r="D248">
            <v>10</v>
          </cell>
          <cell r="E248">
            <v>15</v>
          </cell>
          <cell r="F248">
            <v>150</v>
          </cell>
        </row>
        <row r="249">
          <cell r="F249">
            <v>0</v>
          </cell>
        </row>
        <row r="250">
          <cell r="A250">
            <v>132</v>
          </cell>
          <cell r="B250" t="str">
            <v>Façon de joints</v>
          </cell>
          <cell r="F250">
            <v>0</v>
          </cell>
        </row>
        <row r="251">
          <cell r="B251" t="str">
            <v>Le mètre linéaire</v>
          </cell>
          <cell r="C251" t="str">
            <v>ML</v>
          </cell>
          <cell r="D251">
            <v>60</v>
          </cell>
          <cell r="E251">
            <v>30</v>
          </cell>
          <cell r="F251">
            <v>1800</v>
          </cell>
        </row>
        <row r="254">
          <cell r="B254" t="str">
            <v>TOTAL ENDUITS ................................................ =</v>
          </cell>
          <cell r="F254">
            <v>48200</v>
          </cell>
        </row>
        <row r="256">
          <cell r="A256" t="str">
            <v>N°</v>
          </cell>
          <cell r="B256" t="str">
            <v>DESIGNATIONS DES OUVRAGES</v>
          </cell>
          <cell r="C256" t="str">
            <v>UNITE</v>
          </cell>
          <cell r="D256" t="str">
            <v>QUANTITE</v>
          </cell>
          <cell r="E256" t="str">
            <v xml:space="preserve">PRIX </v>
          </cell>
          <cell r="F256" t="str">
            <v xml:space="preserve">    TOTAL</v>
          </cell>
        </row>
        <row r="257">
          <cell r="B257" t="str">
            <v>PRIX EN TOUTES LETTRES</v>
          </cell>
          <cell r="E257" t="str">
            <v>UNITAIRE</v>
          </cell>
        </row>
        <row r="259">
          <cell r="B259" t="str">
            <v>DIVERS</v>
          </cell>
        </row>
        <row r="261">
          <cell r="A261">
            <v>133</v>
          </cell>
          <cell r="B261" t="str">
            <v>Mur de clôture au dessous du palissade</v>
          </cell>
        </row>
        <row r="262">
          <cell r="B262" t="str">
            <v>Le mètre linéaire</v>
          </cell>
          <cell r="C262" t="str">
            <v>ML</v>
          </cell>
          <cell r="D262">
            <v>130</v>
          </cell>
          <cell r="E262">
            <v>100</v>
          </cell>
          <cell r="F262">
            <v>13000</v>
          </cell>
        </row>
        <row r="263">
          <cell r="F263">
            <v>0</v>
          </cell>
        </row>
        <row r="264">
          <cell r="A264">
            <v>134</v>
          </cell>
          <cell r="B264" t="str">
            <v>Mur de façade périphérique</v>
          </cell>
          <cell r="F264">
            <v>0</v>
          </cell>
        </row>
        <row r="265">
          <cell r="B265" t="str">
            <v>Le mètre linéaire</v>
          </cell>
          <cell r="C265" t="str">
            <v>ML</v>
          </cell>
          <cell r="D265">
            <v>92</v>
          </cell>
          <cell r="E265">
            <v>600</v>
          </cell>
          <cell r="F265">
            <v>55200</v>
          </cell>
        </row>
        <row r="266">
          <cell r="F266">
            <v>0</v>
          </cell>
        </row>
        <row r="267">
          <cell r="A267">
            <v>135</v>
          </cell>
          <cell r="B267" t="str">
            <v>Mise à la terre</v>
          </cell>
          <cell r="F267">
            <v>0</v>
          </cell>
        </row>
        <row r="268">
          <cell r="B268" t="str">
            <v>Le mètre linéaire</v>
          </cell>
          <cell r="C268" t="str">
            <v>ML</v>
          </cell>
          <cell r="D268">
            <v>200</v>
          </cell>
          <cell r="E268">
            <v>30</v>
          </cell>
          <cell r="F268">
            <v>6000</v>
          </cell>
        </row>
        <row r="271">
          <cell r="B271" t="str">
            <v>TOTAL DIVERS ................................................... =</v>
          </cell>
          <cell r="F271">
            <v>74200</v>
          </cell>
        </row>
      </sheetData>
      <sheetData sheetId="2" refreshError="1"/>
      <sheetData sheetId="3" refreshError="1"/>
      <sheetData sheetId="4"/>
      <sheetData sheetId="5">
        <row r="9">
          <cell r="B9" t="str">
            <v>A/ GROS-ŒUVRE</v>
          </cell>
        </row>
      </sheetData>
      <sheetData sheetId="6"/>
      <sheetData sheetId="7">
        <row r="9">
          <cell r="B9" t="str">
            <v>A/ GROS-ŒUVRE</v>
          </cell>
        </row>
      </sheetData>
      <sheetData sheetId="8"/>
      <sheetData sheetId="9">
        <row r="9">
          <cell r="B9" t="str">
            <v>A/ GROS-ŒUVRE</v>
          </cell>
        </row>
      </sheetData>
      <sheetData sheetId="10"/>
      <sheetData sheetId="11">
        <row r="9">
          <cell r="B9" t="str">
            <v>A/ GROS-ŒUVRE</v>
          </cell>
        </row>
      </sheetData>
      <sheetData sheetId="12"/>
      <sheetData sheetId="13">
        <row r="9">
          <cell r="B9" t="str">
            <v>A/ GROS-ŒUVRE</v>
          </cell>
        </row>
      </sheetData>
      <sheetData sheetId="14"/>
      <sheetData sheetId="15">
        <row r="9">
          <cell r="B9" t="str">
            <v>A/ GROS-ŒUVRE</v>
          </cell>
        </row>
      </sheetData>
      <sheetData sheetId="16"/>
      <sheetData sheetId="17">
        <row r="9">
          <cell r="B9" t="str">
            <v>A/ GROS-ŒUVRE</v>
          </cell>
        </row>
      </sheetData>
      <sheetData sheetId="18"/>
      <sheetData sheetId="19">
        <row r="9">
          <cell r="B9" t="str">
            <v>A/ GROS-ŒUVRE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RDE"/>
      <sheetName val="NOTES"/>
      <sheetName val="BOUCLAGE"/>
      <sheetName val="RESULTATS"/>
      <sheetName val="SOUSDETAILS"/>
      <sheetName val="CIRCUL"/>
      <sheetName val="RESUME"/>
      <sheetName val="RECAP"/>
      <sheetName val="DET"/>
      <sheetName val="MARGE"/>
      <sheetName val="BIBLIOAFF"/>
      <sheetName val="SAISIE_BORDEREAU"/>
      <sheetName val="PE"/>
      <sheetName val="PRIX-ELEM"/>
      <sheetName val="SOUS-TRT"/>
      <sheetName val="INSTALL"/>
      <sheetName val="INDIVIS"/>
      <sheetName val="FRAISFIX"/>
      <sheetName val="SERVGEN"/>
      <sheetName val="PERSONNEL"/>
      <sheetName val="CONTROLE"/>
      <sheetName val="BUDGET"/>
      <sheetName val="MATERIEL"/>
      <sheetName val="MARCHE"/>
      <sheetName val="METRES"/>
      <sheetName val="JOURNAL"/>
      <sheetName val="REVISION"/>
      <sheetName val="EBE"/>
      <sheetName val="RUBRIQUE"/>
      <sheetName val="DETAIL"/>
      <sheetName val="FACTURATION"/>
    </sheetNames>
    <sheetDataSet>
      <sheetData sheetId="0" refreshError="1">
        <row r="6">
          <cell r="M6" t="str">
            <v>OUED ENNACHEF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H2">
            <v>2566690.2279999997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J1">
            <v>1300212.2696629215</v>
          </cell>
        </row>
      </sheetData>
      <sheetData sheetId="15" refreshError="1"/>
      <sheetData sheetId="16" refreshError="1"/>
      <sheetData sheetId="17" refreshError="1">
        <row r="2">
          <cell r="E2">
            <v>62000</v>
          </cell>
        </row>
      </sheetData>
      <sheetData sheetId="18" refreshError="1">
        <row r="2">
          <cell r="E2">
            <v>92000</v>
          </cell>
        </row>
      </sheetData>
      <sheetData sheetId="19" refreshError="1">
        <row r="2">
          <cell r="I2">
            <v>271500</v>
          </cell>
        </row>
      </sheetData>
      <sheetData sheetId="20" refreshError="1"/>
      <sheetData sheetId="21" refreshError="1"/>
      <sheetData sheetId="22" refreshError="1">
        <row r="1">
          <cell r="J1">
            <v>419353.76190476189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ONDA"/>
      <sheetName val="AN1SI"/>
      <sheetName val="AN1SF"/>
      <sheetName val="AN3"/>
      <sheetName val="AN4"/>
      <sheetName val="ENDUIT EXTERIEUR  h"/>
      <sheetName val=" ELAVAT"/>
      <sheetName val=" G,O "/>
      <sheetName val="_FONDA"/>
      <sheetName val="ENDUIT_EXTERIEUR__h"/>
      <sheetName val="_ELAVAT"/>
      <sheetName val="_G,O_"/>
      <sheetName val="_FONDA1"/>
      <sheetName val="ENDUIT_EXTERIEUR__h1"/>
      <sheetName val="_ELAVAT1"/>
      <sheetName val="_G,O_1"/>
      <sheetName val="_FONDA5"/>
      <sheetName val="ENDUIT_EXTERIEUR__h5"/>
      <sheetName val="_ELAVAT5"/>
      <sheetName val="_G,O_5"/>
      <sheetName val="_FONDA2"/>
      <sheetName val="ENDUIT_EXTERIEUR__h2"/>
      <sheetName val="_ELAVAT2"/>
      <sheetName val="_G,O_2"/>
      <sheetName val="_FONDA3"/>
      <sheetName val="ENDUIT_EXTERIEUR__h3"/>
      <sheetName val="_ELAVAT3"/>
      <sheetName val="_G,O_3"/>
      <sheetName val="_FONDA4"/>
      <sheetName val="ENDUIT_EXTERIEUR__h4"/>
      <sheetName val="_ELAVAT4"/>
      <sheetName val="_G,O_4"/>
      <sheetName val="_FONDA6"/>
      <sheetName val="ENDUIT_EXTERIEUR__h6"/>
      <sheetName val="_ELAVAT6"/>
      <sheetName val="_G,O_6"/>
      <sheetName val="_FONDA7"/>
      <sheetName val="ENDUIT_EXTERIEUR__h7"/>
      <sheetName val="_ELAVAT7"/>
      <sheetName val="_G,O_7"/>
      <sheetName val="Feuil2"/>
      <sheetName val="etanchéite"/>
    </sheetNames>
    <sheetDataSet>
      <sheetData sheetId="0" refreshError="1"/>
      <sheetData sheetId="1" refreshError="1"/>
      <sheetData sheetId="2" refreshError="1"/>
      <sheetData sheetId="3" refreshError="1">
        <row r="11">
          <cell r="K11">
            <v>0.1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ma"/>
      <sheetName val="Chrono"/>
      <sheetName val="IMP"/>
      <sheetName val="IMP (2)"/>
      <sheetName val="SHO"/>
      <sheetName val="Assn"/>
      <sheetName val="PG"/>
      <sheetName val="Rep"/>
      <sheetName val="ACIERS"/>
      <sheetName val="Met"/>
      <sheetName val="Expl"/>
      <sheetName val="Fdt"/>
      <sheetName val="Elvt"/>
      <sheetName val="AG"/>
      <sheetName val="PC"/>
      <sheetName val="AD"/>
      <sheetName val="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"/>
      <sheetName val="DP10"/>
      <sheetName val="DP DEFI"/>
      <sheetName val="SITU10"/>
      <sheetName val="ATT CLASSES"/>
      <sheetName val="annexe 1 classes"/>
      <sheetName val="annexe 2 classes"/>
      <sheetName val="ATT INTERNAT"/>
      <sheetName val="annexe 3 INTERNAT DP3"/>
      <sheetName val="annexe 4 Internat DP3"/>
      <sheetName val="ATT Vestiaire"/>
      <sheetName val="ATT SANITAIRE filles"/>
      <sheetName val="ATT SANITAIRE garçons"/>
      <sheetName val="ATT LOG FON"/>
      <sheetName val="Amenagement exter"/>
      <sheetName val="Acier  fon Amen"/>
      <sheetName val="P ATT"/>
      <sheetName val="REVI DES PRIX ok"/>
      <sheetName val="Acier elev Amen"/>
      <sheetName val="Feuil1"/>
      <sheetName val="SITU1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Global Inputs"/>
      <sheetName val="G_O_ao_CNCA"/>
      <sheetName val="Global_Inputs"/>
      <sheetName val="G_O_ao_CNCA1"/>
      <sheetName val="Global_Inputs1"/>
      <sheetName val="BASE"/>
      <sheetName val="Macro-Long"/>
      <sheetName val="G_O_ao_CNCA4"/>
      <sheetName val="Global_Inputs4"/>
      <sheetName val="G_O_ao_CNCA2"/>
      <sheetName val="Global_Inputs2"/>
      <sheetName val="G_O_ao_CNCA3"/>
      <sheetName val="Global_Inputs3"/>
      <sheetName val="G_O_ao_CNCA5"/>
      <sheetName val="Global_Inputs5"/>
      <sheetName val="G_O_ao_CNCA6"/>
      <sheetName val="Global_Inputs6"/>
      <sheetName val="G_O_ao_CNCA7"/>
      <sheetName val="Global_Inputs7"/>
      <sheetName val="G_O_ao_CNCA8"/>
      <sheetName val="Global_Inputs8"/>
      <sheetName val="G_O_ao_CNCA9"/>
      <sheetName val="Global_Inputs9"/>
      <sheetName val="G_O_ao_CNCA10"/>
      <sheetName val="Global_Inputs10"/>
      <sheetName val="G_O_ao_CNCA11"/>
      <sheetName val="Global_Inputs11"/>
      <sheetName val="G_O_ao_CNCA12"/>
      <sheetName val="Global_Inputs12"/>
      <sheetName val="Macro-cons"/>
      <sheetName val="G_O_ao_CNCA13"/>
      <sheetName val="Global_Inputs13"/>
      <sheetName val="G_O_ao_CNCA14"/>
      <sheetName val="Global_Inputs14"/>
      <sheetName val="G_O_ao_CNCA15"/>
      <sheetName val="Global_Inputs15"/>
      <sheetName val="G_O_ao_CNCA17"/>
      <sheetName val="Global_Inputs17"/>
      <sheetName val="G_O_ao_CNCA16"/>
      <sheetName val="Global_Inputs16"/>
      <sheetName val="PU"/>
      <sheetName val="Masque"/>
      <sheetName val="PG1"/>
      <sheetName val="Revenus hors intercomp_"/>
      <sheetName val="TRADING"/>
      <sheetName val="dimensio EU"/>
      <sheetName val="RE SEV 50"/>
      <sheetName val="GC 150m3 MGHASSINE"/>
      <sheetName val="DimensRESEAU (2)"/>
      <sheetName val="PLANT"/>
      <sheetName val="G_O_ao_CNCA18"/>
      <sheetName val="Global_Inputs18"/>
      <sheetName val="Revenus_hors_intercomp_"/>
      <sheetName val="G_O_ao_CNCA19"/>
      <sheetName val="Global_Inputs19"/>
      <sheetName val="Revenus_hors_intercomp_1"/>
      <sheetName val="G_O_ao_CNCA20"/>
      <sheetName val="Global_Inputs20"/>
      <sheetName val="Revenus_hors_intercomp_2"/>
      <sheetName val=" G,O A"/>
      <sheetName val="Macro-press"/>
      <sheetName val="Macro-Dexterne"/>
      <sheetName val="distrib"/>
      <sheetName val="Data Sheet1"/>
      <sheetName val="ASS P21"/>
      <sheetName val="BATIMENT"/>
      <sheetName val="A.I.A"/>
      <sheetName val="elec"/>
      <sheetName val="CNCA DE modefier le25-03-05"/>
      <sheetName val="liste_projets"/>
      <sheetName val="liste_lots"/>
      <sheetName val="phases projet"/>
      <sheetName val="phases_projet"/>
      <sheetName val="DimensRESEAU_(2)"/>
      <sheetName val="GC_150m3_MGHASSINE"/>
      <sheetName val="DimensRESEAU_(2)1"/>
      <sheetName val="GC_150m3_MGHASSINE1"/>
      <sheetName val="DimensRESEAU_(2)2"/>
      <sheetName val="GC_150m3_MGHASSINE2"/>
      <sheetName val="Data_Sheet1"/>
      <sheetName val="Data_Sheet11"/>
      <sheetName val="Data_Sheet12"/>
      <sheetName val="dimensio_EU"/>
      <sheetName val="ASS_P21"/>
      <sheetName val="A_I_A"/>
      <sheetName val="dimensio_EU1"/>
      <sheetName val="ASS_P211"/>
      <sheetName val="A_I_A1"/>
      <sheetName val="dimensio_EU2"/>
      <sheetName val="ASS_P212"/>
      <sheetName val="A_I_A2"/>
      <sheetName val="G_O_ao_CNCA21"/>
      <sheetName val="Global_Inputs21"/>
      <sheetName val="Revenus_hors_intercomp_3"/>
      <sheetName val="_G,O_A"/>
      <sheetName val="RE_SEV_50"/>
      <sheetName val="CNCA_DE_modefier_le25-03-05"/>
      <sheetName val="G_O_ao_CNCA22"/>
      <sheetName val="Global_Inputs22"/>
      <sheetName val="Revenus_hors_intercomp_4"/>
      <sheetName val="_G,O_A1"/>
      <sheetName val="RE_SEV_501"/>
      <sheetName val="CNCA_DE_modefier_le25-03-051"/>
      <sheetName val="G_O_ao_CNCA23"/>
      <sheetName val="Global_Inputs23"/>
      <sheetName val="Revenus_hors_intercomp_5"/>
      <sheetName val="_G,O_A2"/>
      <sheetName val="RE_SEV_502"/>
      <sheetName val="CNCA_DE_modefier_le25-03-052"/>
      <sheetName val="G_O_ao_CNCA25"/>
      <sheetName val="Global_Inputs25"/>
      <sheetName val="Revenus_hors_intercomp_7"/>
      <sheetName val="Data_Sheet14"/>
      <sheetName val="ASS_P214"/>
      <sheetName val="dimensio_EU4"/>
      <sheetName val="A_I_A4"/>
      <sheetName val="CNCA_DE_modefier_le25-03-054"/>
      <sheetName val="RE_SEV_504"/>
      <sheetName val="GC_150m3_MGHASSINE4"/>
      <sheetName val="DimensRESEAU_(2)4"/>
      <sheetName val="G_O_ao_CNCA24"/>
      <sheetName val="Global_Inputs24"/>
      <sheetName val="Revenus_hors_intercomp_6"/>
      <sheetName val="Data_Sheet13"/>
      <sheetName val="ASS_P213"/>
      <sheetName val="dimensio_EU3"/>
      <sheetName val="A_I_A3"/>
      <sheetName val="CNCA_DE_modefier_le25-03-053"/>
      <sheetName val="RE_SEV_503"/>
      <sheetName val="GC_150m3_MGHASSINE3"/>
      <sheetName val="DimensRESEAU_(2)3"/>
      <sheetName val="G_O_ao_CNCA26"/>
      <sheetName val="Global_Inputs26"/>
      <sheetName val="Revenus_hors_intercomp_8"/>
      <sheetName val="Data_Sheet15"/>
      <sheetName val="ASS_P215"/>
      <sheetName val="dimensio_EU5"/>
      <sheetName val="A_I_A5"/>
      <sheetName val="CNCA_DE_modefier_le25-03-055"/>
      <sheetName val="RE_SEV_505"/>
      <sheetName val="GC_150m3_MGHASSINE5"/>
      <sheetName val="DimensRESEAU_(2)5"/>
      <sheetName val="_G,O_A3"/>
      <sheetName val="G_O_ao_CNCA27"/>
      <sheetName val="Global_Inputs27"/>
      <sheetName val="Revenus_hors_intercomp_9"/>
      <sheetName val="Data_Sheet16"/>
      <sheetName val="ASS_P216"/>
      <sheetName val="dimensio_EU6"/>
      <sheetName val="A_I_A6"/>
      <sheetName val="CNCA_DE_modefier_le25-03-056"/>
      <sheetName val="RE_SEV_506"/>
      <sheetName val="GC_150m3_MGHASSINE6"/>
      <sheetName val="DimensRESEAU_(2)6"/>
      <sheetName val="_G,O_A4"/>
      <sheetName val="G_O_ao_CNCA28"/>
      <sheetName val="Global_Inputs28"/>
      <sheetName val="Revenus_hors_intercomp_10"/>
      <sheetName val="Data_Sheet17"/>
      <sheetName val="ASS_P217"/>
      <sheetName val="dimensio_EU7"/>
      <sheetName val="A_I_A7"/>
      <sheetName val="CNCA_DE_modefier_le25-03-057"/>
      <sheetName val="RE_SEV_507"/>
      <sheetName val="GC_150m3_MGHASSINE7"/>
      <sheetName val="DimensRESEAU_(2)7"/>
      <sheetName val="_G,O_A5"/>
      <sheetName val="TABLE"/>
      <sheetName val="T-S,Produits"/>
      <sheetName val=" G,O B"/>
      <sheetName val="G_O_ao_CNCA30"/>
      <sheetName val="Global_Inputs30"/>
      <sheetName val="G_O_ao_CNCA29"/>
      <sheetName val="Global_Inputs29"/>
      <sheetName val="BpElecEnnasr-Géneral"/>
      <sheetName val="BacheSR3NZ"/>
      <sheetName val="récap pein "/>
      <sheetName val="données et résultats"/>
      <sheetName val="Fourniture"/>
      <sheetName val="1"/>
      <sheetName val=""/>
      <sheetName val="R2CAP"/>
      <sheetName val="production distrib"/>
      <sheetName val="SUIVI"/>
      <sheetName val="phases_projet1"/>
      <sheetName val="phases_projet2"/>
      <sheetName val="phases_projet3"/>
      <sheetName val="récap_pein_"/>
      <sheetName val="données_et_résultats"/>
      <sheetName val="production_distrib"/>
      <sheetName val="phases_projet4"/>
      <sheetName val="récap_pein_1"/>
      <sheetName val="données_et_résultats1"/>
      <sheetName val="production_distrib1"/>
      <sheetName val="G_O_ao_CNCA31"/>
      <sheetName val="Global_Inputs31"/>
      <sheetName val="Revenus_hors_intercomp_11"/>
      <sheetName val="Data_Sheet18"/>
      <sheetName val="ASS_P218"/>
      <sheetName val="dimensio_EU8"/>
      <sheetName val="A_I_A8"/>
      <sheetName val="CNCA_DE_modefier_le25-03-058"/>
      <sheetName val="RE_SEV_508"/>
      <sheetName val="GC_150m3_MGHASSINE8"/>
      <sheetName val="DimensRESEAU_(2)8"/>
      <sheetName val="_G,O_A6"/>
      <sheetName val="phases_projet5"/>
      <sheetName val="_G,O_B"/>
      <sheetName val="récap_pein_2"/>
      <sheetName val="données_et_résultats2"/>
      <sheetName val="production_distrib2"/>
      <sheetName val="G_O_ao_CNCA34"/>
      <sheetName val="Global_Inputs34"/>
      <sheetName val="Revenus_hors_intercomp_14"/>
      <sheetName val="Data_Sheet111"/>
      <sheetName val="ASS_P2111"/>
      <sheetName val="dimensio_EU11"/>
      <sheetName val="A_I_A11"/>
      <sheetName val="CNCA_DE_modefier_le25-03-0511"/>
      <sheetName val="RE_SEV_5011"/>
      <sheetName val="GC_150m3_MGHASSINE11"/>
      <sheetName val="DimensRESEAU_(2)11"/>
      <sheetName val="_G,O_A9"/>
      <sheetName val="phases_projet8"/>
      <sheetName val="_G,O_B3"/>
      <sheetName val="récap_pein_5"/>
      <sheetName val="données_et_résultats5"/>
      <sheetName val="production_distrib5"/>
      <sheetName val="G_O_ao_CNCA32"/>
      <sheetName val="Global_Inputs32"/>
      <sheetName val="Revenus_hors_intercomp_12"/>
      <sheetName val="Data_Sheet19"/>
      <sheetName val="ASS_P219"/>
      <sheetName val="dimensio_EU9"/>
      <sheetName val="A_I_A9"/>
      <sheetName val="CNCA_DE_modefier_le25-03-059"/>
      <sheetName val="RE_SEV_509"/>
      <sheetName val="GC_150m3_MGHASSINE9"/>
      <sheetName val="DimensRESEAU_(2)9"/>
      <sheetName val="_G,O_A7"/>
      <sheetName val="phases_projet6"/>
      <sheetName val="_G,O_B1"/>
      <sheetName val="récap_pein_3"/>
      <sheetName val="données_et_résultats3"/>
      <sheetName val="production_distrib3"/>
      <sheetName val="G_O_ao_CNCA33"/>
      <sheetName val="Global_Inputs33"/>
      <sheetName val="Revenus_hors_intercomp_13"/>
      <sheetName val="Data_Sheet110"/>
      <sheetName val="ASS_P2110"/>
      <sheetName val="dimensio_EU10"/>
      <sheetName val="A_I_A10"/>
      <sheetName val="CNCA_DE_modefier_le25-03-0510"/>
      <sheetName val="RE_SEV_5010"/>
      <sheetName val="GC_150m3_MGHASSINE10"/>
      <sheetName val="DimensRESEAU_(2)10"/>
      <sheetName val="_G,O_A8"/>
      <sheetName val="phases_projet7"/>
      <sheetName val="_G,O_B2"/>
      <sheetName val="récap_pein_4"/>
      <sheetName val="données_et_résultats4"/>
      <sheetName val="production_distrib4"/>
      <sheetName val="G_O_ao_CNCA35"/>
      <sheetName val="Global_Inputs35"/>
      <sheetName val="Revenus_hors_intercomp_15"/>
      <sheetName val="Data_Sheet112"/>
      <sheetName val="ASS_P2112"/>
      <sheetName val="dimensio_EU12"/>
      <sheetName val="A_I_A12"/>
      <sheetName val="CNCA_DE_modefier_le25-03-0512"/>
      <sheetName val="RE_SEV_5012"/>
      <sheetName val="GC_150m3_MGHASSINE12"/>
      <sheetName val="DimensRESEAU_(2)12"/>
      <sheetName val="_G,O_A10"/>
      <sheetName val="phases_projet9"/>
      <sheetName val="_G,O_B4"/>
      <sheetName val="récap_pein_6"/>
      <sheetName val="données_et_résultats6"/>
      <sheetName val="production_distrib6"/>
      <sheetName val="G_O_ao_CNCA38"/>
      <sheetName val="Global_Inputs38"/>
      <sheetName val="Revenus_hors_intercomp_18"/>
      <sheetName val="Data_Sheet115"/>
      <sheetName val="ASS_P2115"/>
      <sheetName val="dimensio_EU15"/>
      <sheetName val="A_I_A15"/>
      <sheetName val="CNCA_DE_modefier_le25-03-0515"/>
      <sheetName val="RE_SEV_5015"/>
      <sheetName val="GC_150m3_MGHASSINE15"/>
      <sheetName val="DimensRESEAU_(2)15"/>
      <sheetName val="_G,O_A13"/>
      <sheetName val="phases_projet12"/>
      <sheetName val="_G,O_B7"/>
      <sheetName val="G_O_ao_CNCA36"/>
      <sheetName val="Global_Inputs36"/>
      <sheetName val="Revenus_hors_intercomp_16"/>
      <sheetName val="Data_Sheet113"/>
      <sheetName val="ASS_P2113"/>
      <sheetName val="dimensio_EU13"/>
      <sheetName val="A_I_A13"/>
      <sheetName val="CNCA_DE_modefier_le25-03-0513"/>
      <sheetName val="RE_SEV_5013"/>
      <sheetName val="GC_150m3_MGHASSINE13"/>
      <sheetName val="DimensRESEAU_(2)13"/>
      <sheetName val="_G,O_A11"/>
      <sheetName val="phases_projet10"/>
      <sheetName val="_G,O_B5"/>
      <sheetName val="récap_pein_7"/>
      <sheetName val="données_et_résultats7"/>
      <sheetName val="production_distrib7"/>
      <sheetName val="G_O_ao_CNCA37"/>
      <sheetName val="Global_Inputs37"/>
      <sheetName val="Revenus_hors_intercomp_17"/>
      <sheetName val="Data_Sheet114"/>
      <sheetName val="ASS_P2114"/>
      <sheetName val="dimensio_EU14"/>
      <sheetName val="A_I_A14"/>
      <sheetName val="CNCA_DE_modefier_le25-03-0514"/>
      <sheetName val="RE_SEV_5014"/>
      <sheetName val="GC_150m3_MGHASSINE14"/>
      <sheetName val="DimensRESEAU_(2)14"/>
      <sheetName val="_G,O_A12"/>
      <sheetName val="phases_projet11"/>
      <sheetName val="_G,O_B6"/>
      <sheetName val="récap_pein_8"/>
      <sheetName val="données_et_résultats8"/>
      <sheetName val="production_distrib8"/>
      <sheetName val="Macro-colbrook"/>
      <sheetName val="NIV-2-DIREC.GENERAL"/>
      <sheetName val="Nbr "/>
      <sheetName val="phases_projet13"/>
      <sheetName val="phases_projet14"/>
      <sheetName val="phases_projet15"/>
      <sheetName val="phases_projet16"/>
      <sheetName val="phases_projet17"/>
      <sheetName val="Revenus_hors_intercomp_19"/>
      <sheetName val="Data_Sheet116"/>
      <sheetName val="ASS_P2116"/>
      <sheetName val="dimensio_EU16"/>
      <sheetName val="A_I_A16"/>
      <sheetName val="CNCA_DE_modefier_le25-03-0516"/>
      <sheetName val="RE_SEV_5016"/>
      <sheetName val="GC_150m3_MGHASSINE16"/>
      <sheetName val="DimensRESEAU_(2)16"/>
      <sheetName val="phases_projet18"/>
      <sheetName val="Nbr_"/>
      <sheetName val="Bache"/>
      <sheetName val="Calcul"/>
      <sheetName val="CLOIS-"/>
      <sheetName val="Nbr_2"/>
      <sheetName val="Nbr_1"/>
      <sheetName val="Nbr_3"/>
      <sheetName val="Nbr_4"/>
      <sheetName val="Nbr_5"/>
      <sheetName val="Recp Elév"/>
      <sheetName val="phases_projet20"/>
      <sheetName val="phases_projet19"/>
      <sheetName val="phases_projet21"/>
      <sheetName val="phases_projet22"/>
      <sheetName val="phases_projet23"/>
      <sheetName val="Revenus_hors_intercomp_20"/>
      <sheetName val="dimensio_EU17"/>
      <sheetName val="RE_SEV_5017"/>
      <sheetName val="GC_150m3_MGHASSINE17"/>
      <sheetName val="DimensRESEAU_(2)17"/>
      <sheetName val="Data_Sheet117"/>
      <sheetName val="ASS_P2117"/>
      <sheetName val="A_I_A17"/>
      <sheetName val="CNCA_DE_modefier_le25-03-0517"/>
      <sheetName val="_G,O_A15"/>
      <sheetName val="_G,O_A14"/>
      <sheetName val="G_O_ao_CNCA39"/>
      <sheetName val="Global_Inputs39"/>
      <sheetName val="Revenus_hors_intercomp_21"/>
      <sheetName val="Data_Sheet118"/>
      <sheetName val="ASS_P2118"/>
      <sheetName val="dimensio_EU18"/>
      <sheetName val="A_I_A18"/>
      <sheetName val="CNCA_DE_modefier_le25-03-0518"/>
      <sheetName val="RE_SEV_5018"/>
      <sheetName val="GC_150m3_MGHASSINE18"/>
      <sheetName val="DimensRESEAU_(2)18"/>
      <sheetName val="_G,O_A16"/>
      <sheetName val="phases_projet24"/>
      <sheetName val="Nbr_6"/>
      <sheetName val="Recp_Elév"/>
      <sheetName val="Réservoir 100m3_G8"/>
      <sheetName val="Recappe_Idari- Var 2-"/>
      <sheetName val="Macro-Epaisseur"/>
      <sheetName val="Macro-Diam-interne"/>
      <sheetName val="pop_Tagant"/>
      <sheetName val="IRRIGATION"/>
      <sheetName val="TELEFON"/>
      <sheetName val="EU "/>
      <sheetName val="Bassins d'infiltrations"/>
      <sheetName val="Eclairage"/>
      <sheetName val="HTA-BT"/>
      <sheetName val="D.E1A"/>
      <sheetName val="AN1SI"/>
      <sheetName val="Recap"/>
      <sheetName val="Feuil3"/>
      <sheetName val=" G,O"/>
      <sheetName val="NIV-2-DIREC_GENERAL"/>
      <sheetName val="NIV-2-DIREC_GENERAL1"/>
      <sheetName val="Feuil1"/>
      <sheetName val="G_O_ao_CNCA41"/>
      <sheetName val="Global_Inputs41"/>
      <sheetName val="Revenus_hors_intercomp_23"/>
      <sheetName val="Data_Sheet120"/>
      <sheetName val="ASS_P2120"/>
      <sheetName val="dimensio_EU20"/>
      <sheetName val="A_I_A20"/>
      <sheetName val="CNCA_DE_modefier_le25-03-0520"/>
      <sheetName val="RE_SEV_5020"/>
      <sheetName val="GC_150m3_MGHASSINE20"/>
      <sheetName val="DimensRESEAU_(2)20"/>
      <sheetName val="_G,O_A18"/>
      <sheetName val="_G,O_B9"/>
      <sheetName val="récap_pein_9"/>
      <sheetName val="données_et_résultats9"/>
      <sheetName val="production_distrib9"/>
      <sheetName val="NIV-2-DIREC_GENERAL2"/>
      <sheetName val="G_O_ao_CNCA40"/>
      <sheetName val="Global_Inputs40"/>
      <sheetName val="Revenus_hors_intercomp_22"/>
      <sheetName val="Data_Sheet119"/>
      <sheetName val="ASS_P2119"/>
      <sheetName val="dimensio_EU19"/>
      <sheetName val="A_I_A19"/>
      <sheetName val="CNCA_DE_modefier_le25-03-0519"/>
      <sheetName val="RE_SEV_5019"/>
      <sheetName val="GC_150m3_MGHASSINE19"/>
      <sheetName val="DimensRESEAU_(2)19"/>
      <sheetName val="_G,O_A17"/>
      <sheetName val="_G,O_B8"/>
      <sheetName val="Réservoir_100m3_G8"/>
      <sheetName val="Recappe_Idari-_Var_2-"/>
      <sheetName val="EU_"/>
      <sheetName val="Bassins_d'infiltrations"/>
      <sheetName val="D_E1A"/>
      <sheetName val="G_O_ao_CNCA42"/>
      <sheetName val="Global_Inputs42"/>
      <sheetName val="Revenus_hors_intercomp_24"/>
      <sheetName val="dimensio_EU21"/>
      <sheetName val="RE_SEV_5021"/>
      <sheetName val="GC_150m3_MGHASSINE21"/>
      <sheetName val="DimensRESEAU_(2)21"/>
      <sheetName val="_G,O_A19"/>
      <sheetName val="Data_Sheet121"/>
      <sheetName val="ASS_P2121"/>
      <sheetName val="A_I_A21"/>
      <sheetName val="CNCA_DE_modefier_le25-03-0521"/>
      <sheetName val="récap_pein_10"/>
      <sheetName val="données_et_résultats10"/>
      <sheetName val="production_distrib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he 100 m3_SRET"/>
      <sheetName val="SRET"/>
      <sheetName val="loge G_SRET"/>
      <sheetName val="Bache 50 m3_SR1"/>
      <sheetName val="SR1 "/>
      <sheetName val="loge G_SR1"/>
      <sheetName val="Bache 50 m3_SR2"/>
      <sheetName val="SR2"/>
      <sheetName val="loge G_SR2"/>
      <sheetName val="Bache 50 m3_SR3"/>
      <sheetName val="SR3"/>
      <sheetName val="loge G_SR3"/>
      <sheetName val="Bache 50 m3_SR4"/>
      <sheetName val="SR4"/>
      <sheetName val="loge G_SR4"/>
      <sheetName val="Réservoir170m3"/>
      <sheetName val="loge G_Réserv"/>
      <sheetName val="Récap"/>
      <sheetName val="Approvisi. Génie-Civil"/>
      <sheetName val="Macro-cons"/>
      <sheetName val="Bache_100_m3_SRET"/>
      <sheetName val="loge_G_SRET"/>
      <sheetName val="Bache_50_m3_SR1"/>
      <sheetName val="SR1_"/>
      <sheetName val="loge_G_SR1"/>
      <sheetName val="Bache_50_m3_SR2"/>
      <sheetName val="loge_G_SR2"/>
      <sheetName val="Bache_50_m3_SR3"/>
      <sheetName val="loge_G_SR3"/>
      <sheetName val="Bache_50_m3_SR4"/>
      <sheetName val="loge_G_SR4"/>
      <sheetName val="loge_G_Réserv"/>
      <sheetName val="Approvisi__Génie-Civil"/>
      <sheetName val="Bache_100_m3_SRET1"/>
      <sheetName val="loge_G_SRET1"/>
      <sheetName val="Bache_50_m3_SR11"/>
      <sheetName val="SR1_1"/>
      <sheetName val="loge_G_SR11"/>
      <sheetName val="Bache_50_m3_SR21"/>
      <sheetName val="loge_G_SR21"/>
      <sheetName val="Bache_50_m3_SR31"/>
      <sheetName val="loge_G_SR31"/>
      <sheetName val="Bache_50_m3_SR41"/>
      <sheetName val="loge_G_SR41"/>
      <sheetName val="loge_G_Réserv1"/>
      <sheetName val="Approvisi__Génie-Civil1"/>
      <sheetName val="RE SEV 50"/>
      <sheetName val="D2"/>
      <sheetName val="ca 2012"/>
      <sheetName val="ca_2012"/>
      <sheetName val="ca_20121"/>
      <sheetName val="Bache_100_m3_SRET2"/>
      <sheetName val="loge_G_SRET2"/>
      <sheetName val="Bache_50_m3_SR12"/>
      <sheetName val="SR1_2"/>
      <sheetName val="loge_G_SR12"/>
      <sheetName val="Bache_50_m3_SR22"/>
      <sheetName val="loge_G_SR22"/>
      <sheetName val="Bache_50_m3_SR32"/>
      <sheetName val="loge_G_SR32"/>
      <sheetName val="Bache_50_m3_SR42"/>
      <sheetName val="loge_G_SR42"/>
      <sheetName val="loge_G_Réserv2"/>
      <sheetName val="Approvisi__Génie-Civil2"/>
      <sheetName val="Bache_100_m3_SRET3"/>
      <sheetName val="loge_G_SRET3"/>
      <sheetName val="Bache_50_m3_SR13"/>
      <sheetName val="SR1_3"/>
      <sheetName val="loge_G_SR13"/>
      <sheetName val="Bache_50_m3_SR23"/>
      <sheetName val="loge_G_SR23"/>
      <sheetName val="Bache_50_m3_SR33"/>
      <sheetName val="loge_G_SR33"/>
      <sheetName val="Bache_50_m3_SR43"/>
      <sheetName val="loge_G_SR43"/>
      <sheetName val="loge_G_Réserv3"/>
      <sheetName val="Approvisi__Génie-Civil3"/>
      <sheetName val="ca_20122"/>
      <sheetName val="Bache_100_m3_SRET4"/>
      <sheetName val="loge_G_SRET4"/>
      <sheetName val="Bache_50_m3_SR14"/>
      <sheetName val="SR1_4"/>
      <sheetName val="loge_G_SR14"/>
      <sheetName val="Bache_50_m3_SR24"/>
      <sheetName val="loge_G_SR24"/>
      <sheetName val="Bache_50_m3_SR34"/>
      <sheetName val="loge_G_SR34"/>
      <sheetName val="Bache_50_m3_SR44"/>
      <sheetName val="loge_G_SR44"/>
      <sheetName val="loge_G_Réserv4"/>
      <sheetName val="Approvisi__Génie-Civil4"/>
      <sheetName val="ca_20123"/>
      <sheetName val="Bache_100_m3_SRET5"/>
      <sheetName val="loge_G_SRET5"/>
      <sheetName val="Bache_50_m3_SR15"/>
      <sheetName val="SR1_5"/>
      <sheetName val="loge_G_SR15"/>
      <sheetName val="Bache_50_m3_SR25"/>
      <sheetName val="loge_G_SR25"/>
      <sheetName val="Bache_50_m3_SR35"/>
      <sheetName val="loge_G_SR35"/>
      <sheetName val="Bache_50_m3_SR45"/>
      <sheetName val="loge_G_SR45"/>
      <sheetName val="loge_G_Réserv5"/>
      <sheetName val="Approvisi__Génie-Civil5"/>
      <sheetName val="ca_20124"/>
      <sheetName val="Bache_100_m3_SRET6"/>
      <sheetName val="loge_G_SRET6"/>
      <sheetName val="Bache_50_m3_SR16"/>
      <sheetName val="SR1_6"/>
      <sheetName val="loge_G_SR16"/>
      <sheetName val="Bache_50_m3_SR26"/>
      <sheetName val="loge_G_SR26"/>
      <sheetName val="Bache_50_m3_SR36"/>
      <sheetName val="loge_G_SR36"/>
      <sheetName val="Bache_50_m3_SR46"/>
      <sheetName val="loge_G_SR46"/>
      <sheetName val="loge_G_Réserv6"/>
      <sheetName val="Approvisi__Génie-Civil6"/>
      <sheetName val="ca_20125"/>
      <sheetName val="Bache_100_m3_SRET7"/>
      <sheetName val="loge_G_SRET7"/>
      <sheetName val="Bache_50_m3_SR17"/>
      <sheetName val="SR1_7"/>
      <sheetName val="loge_G_SR17"/>
      <sheetName val="Bache_50_m3_SR27"/>
      <sheetName val="loge_G_SR27"/>
      <sheetName val="Bache_50_m3_SR37"/>
      <sheetName val="loge_G_SR37"/>
      <sheetName val="Bache_50_m3_SR47"/>
      <sheetName val="loge_G_SR47"/>
      <sheetName val="loge_G_Réserv7"/>
      <sheetName val="Approvisi__Génie-Civil7"/>
      <sheetName val="ca_20126"/>
      <sheetName val="SITE"/>
      <sheetName val="STADE OP"/>
      <sheetName val="AN2"/>
      <sheetName val="villas de 1 à 10"/>
      <sheetName val="PU"/>
      <sheetName val="Bache_100_m3_SRET8"/>
      <sheetName val="loge_G_SRET8"/>
      <sheetName val="Bache_50_m3_SR18"/>
      <sheetName val="SR1_8"/>
      <sheetName val="loge_G_SR18"/>
      <sheetName val="Bache_50_m3_SR28"/>
      <sheetName val="loge_G_SR28"/>
      <sheetName val="Bache_50_m3_SR38"/>
      <sheetName val="loge_G_SR38"/>
      <sheetName val="Bache_50_m3_SR48"/>
      <sheetName val="loge_G_SR48"/>
      <sheetName val="loge_G_Réserv8"/>
      <sheetName val="Approvisi__Génie-Civil8"/>
      <sheetName val="ca_20127"/>
      <sheetName val="RE_SEV_50"/>
      <sheetName val="STADE_OP"/>
      <sheetName val="RE_SEV_501"/>
      <sheetName val="RE_SEV_502"/>
      <sheetName val="RE_SEV_503"/>
      <sheetName val="ca_20128"/>
      <sheetName val="RE_SEV_504"/>
      <sheetName val="Bache_100_m3_SRET9"/>
      <sheetName val="loge_G_SRET9"/>
      <sheetName val="Bache_50_m3_SR19"/>
      <sheetName val="SR1_9"/>
      <sheetName val="loge_G_SR19"/>
      <sheetName val="Bache_50_m3_SR29"/>
      <sheetName val="loge_G_SR29"/>
      <sheetName val="Bache_50_m3_SR39"/>
      <sheetName val="loge_G_SR39"/>
      <sheetName val="Bache_50_m3_SR49"/>
      <sheetName val="loge_G_SR49"/>
      <sheetName val="loge_G_Réserv9"/>
      <sheetName val="Approvisi__Génie-Civil9"/>
      <sheetName val="ca_20129"/>
      <sheetName val="RE_SEV_505"/>
      <sheetName val="Bache_100_m3_SRET10"/>
      <sheetName val="loge_G_SRET10"/>
      <sheetName val="Bache_50_m3_SR110"/>
      <sheetName val="SR1_10"/>
      <sheetName val="loge_G_SR110"/>
      <sheetName val="Bache_50_m3_SR210"/>
      <sheetName val="loge_G_SR210"/>
      <sheetName val="Bache_50_m3_SR310"/>
      <sheetName val="loge_G_SR310"/>
      <sheetName val="Bache_50_m3_SR410"/>
      <sheetName val="loge_G_SR410"/>
      <sheetName val="loge_G_Réserv10"/>
      <sheetName val="Approvisi__Génie-Civil10"/>
      <sheetName val="ca_201210"/>
      <sheetName val="RE_SEV_506"/>
      <sheetName val="Bache_100_m3_SRET11"/>
      <sheetName val="loge_G_SRET11"/>
      <sheetName val="Bache_50_m3_SR111"/>
      <sheetName val="SR1_11"/>
      <sheetName val="loge_G_SR111"/>
      <sheetName val="Bache_50_m3_SR211"/>
      <sheetName val="loge_G_SR211"/>
      <sheetName val="Bache_50_m3_SR311"/>
      <sheetName val="loge_G_SR311"/>
      <sheetName val="Bache_50_m3_SR411"/>
      <sheetName val="loge_G_SR411"/>
      <sheetName val="loge_G_Réserv11"/>
      <sheetName val="Approvisi__Génie-Civil11"/>
      <sheetName val="ca_201211"/>
      <sheetName val="RE_SEV_507"/>
      <sheetName val="Bache_100_m3_SRET12"/>
      <sheetName val="loge_G_SRET12"/>
      <sheetName val="Bache_50_m3_SR112"/>
      <sheetName val="SR1_12"/>
      <sheetName val="loge_G_SR112"/>
      <sheetName val="Bache_50_m3_SR212"/>
      <sheetName val="loge_G_SR212"/>
      <sheetName val="Bache_50_m3_SR312"/>
      <sheetName val="loge_G_SR312"/>
      <sheetName val="Bache_50_m3_SR412"/>
      <sheetName val="loge_G_SR412"/>
      <sheetName val="loge_G_Réserv12"/>
      <sheetName val="Approvisi__Génie-Civil12"/>
      <sheetName val="ca_201212"/>
      <sheetName val="RE_SEV_508"/>
      <sheetName val="Bache_100_m3_SRET13"/>
      <sheetName val="loge_G_SRET13"/>
      <sheetName val="Bache_50_m3_SR113"/>
      <sheetName val="SR1_13"/>
      <sheetName val="loge_G_SR113"/>
      <sheetName val="Bache_50_m3_SR213"/>
      <sheetName val="loge_G_SR213"/>
      <sheetName val="Bache_50_m3_SR313"/>
      <sheetName val="loge_G_SR313"/>
      <sheetName val="Bache_50_m3_SR413"/>
      <sheetName val="loge_G_SR413"/>
      <sheetName val="loge_G_Réserv13"/>
      <sheetName val="Approvisi__Génie-Civil13"/>
      <sheetName val="ca_201213"/>
      <sheetName val="RE_SEV_509"/>
      <sheetName val="Bache_100_m3_SRET14"/>
      <sheetName val="loge_G_SRET14"/>
      <sheetName val="Bache_50_m3_SR114"/>
      <sheetName val="SR1_14"/>
      <sheetName val="loge_G_SR114"/>
      <sheetName val="Bache_50_m3_SR214"/>
      <sheetName val="loge_G_SR214"/>
      <sheetName val="Bache_50_m3_SR314"/>
      <sheetName val="loge_G_SR314"/>
      <sheetName val="Bache_50_m3_SR414"/>
      <sheetName val="loge_G_SR414"/>
      <sheetName val="loge_G_Réserv14"/>
      <sheetName val="Approvisi__Génie-Civil14"/>
      <sheetName val="ca_201214"/>
      <sheetName val="RE_SEV_5010"/>
      <sheetName val="Bache_100_m3_SRET15"/>
      <sheetName val="loge_G_SRET15"/>
      <sheetName val="Bache_50_m3_SR115"/>
      <sheetName val="SR1_15"/>
      <sheetName val="loge_G_SR115"/>
      <sheetName val="Bache_50_m3_SR215"/>
      <sheetName val="loge_G_SR215"/>
      <sheetName val="Bache_50_m3_SR315"/>
      <sheetName val="loge_G_SR315"/>
      <sheetName val="Bache_50_m3_SR415"/>
      <sheetName val="loge_G_SR415"/>
      <sheetName val="loge_G_Réserv15"/>
      <sheetName val="Approvisi__Génie-Civil15"/>
      <sheetName val="ca_201215"/>
      <sheetName val="RE_SEV_5011"/>
      <sheetName val="Bache_100_m3_SRET16"/>
      <sheetName val="loge_G_SRET16"/>
      <sheetName val="Bache_50_m3_SR116"/>
      <sheetName val="SR1_16"/>
      <sheetName val="loge_G_SR116"/>
      <sheetName val="Bache_50_m3_SR216"/>
      <sheetName val="loge_G_SR216"/>
      <sheetName val="Bache_50_m3_SR316"/>
      <sheetName val="loge_G_SR316"/>
      <sheetName val="Bache_50_m3_SR416"/>
      <sheetName val="loge_G_SR416"/>
      <sheetName val="loge_G_Réserv16"/>
      <sheetName val="Approvisi__Génie-Civil16"/>
      <sheetName val="ca_201216"/>
      <sheetName val="RE_SEV_5012"/>
      <sheetName val="Bache_100_m3_SRET17"/>
      <sheetName val="loge_G_SRET17"/>
      <sheetName val="Bache_50_m3_SR117"/>
      <sheetName val="SR1_17"/>
      <sheetName val="loge_G_SR117"/>
      <sheetName val="Bache_50_m3_SR217"/>
      <sheetName val="loge_G_SR217"/>
      <sheetName val="Bache_50_m3_SR317"/>
      <sheetName val="loge_G_SR317"/>
      <sheetName val="Bache_50_m3_SR417"/>
      <sheetName val="loge_G_SR417"/>
      <sheetName val="loge_G_Réserv17"/>
      <sheetName val="Approvisi__Génie-Civil17"/>
      <sheetName val="ca_201217"/>
      <sheetName val="RE_SEV_5013"/>
      <sheetName val="Bache_100_m3_SRET18"/>
      <sheetName val="loge_G_SRET18"/>
      <sheetName val="Bache_50_m3_SR118"/>
      <sheetName val="SR1_18"/>
      <sheetName val="loge_G_SR118"/>
      <sheetName val="Bache_50_m3_SR218"/>
      <sheetName val="loge_G_SR218"/>
      <sheetName val="Bache_50_m3_SR318"/>
      <sheetName val="loge_G_SR318"/>
      <sheetName val="Bache_50_m3_SR418"/>
      <sheetName val="loge_G_SR418"/>
      <sheetName val="loge_G_Réserv18"/>
      <sheetName val="Approvisi__Génie-Civil18"/>
      <sheetName val="ca_201218"/>
      <sheetName val="RE_SEV_5014"/>
      <sheetName val="Bache_100_m3_SRET19"/>
      <sheetName val="loge_G_SRET19"/>
      <sheetName val="Bache_50_m3_SR119"/>
      <sheetName val="SR1_19"/>
      <sheetName val="loge_G_SR119"/>
      <sheetName val="Bache_50_m3_SR219"/>
      <sheetName val="loge_G_SR219"/>
      <sheetName val="Bache_50_m3_SR319"/>
      <sheetName val="loge_G_SR319"/>
      <sheetName val="Bache_50_m3_SR419"/>
      <sheetName val="loge_G_SR419"/>
      <sheetName val="loge_G_Réserv19"/>
      <sheetName val="Approvisi__Génie-Civil19"/>
      <sheetName val="ca_201219"/>
      <sheetName val="RE_SEV_5015"/>
      <sheetName val="Bache_100_m3_SRET20"/>
      <sheetName val="loge_G_SRET20"/>
      <sheetName val="Bache_50_m3_SR120"/>
      <sheetName val="SR1_20"/>
      <sheetName val="loge_G_SR120"/>
      <sheetName val="Bache_50_m3_SR220"/>
      <sheetName val="loge_G_SR220"/>
      <sheetName val="Bache_50_m3_SR320"/>
      <sheetName val="loge_G_SR320"/>
      <sheetName val="Bache_50_m3_SR420"/>
      <sheetName val="loge_G_SR420"/>
      <sheetName val="loge_G_Réserv20"/>
      <sheetName val="Approvisi__Génie-Civil20"/>
      <sheetName val="ca_201220"/>
      <sheetName val="RE_SEV_5016"/>
      <sheetName val="T16"/>
      <sheetName val="STADE_OP1"/>
      <sheetName val="STADE_OP2"/>
      <sheetName val="STADE_OP3"/>
      <sheetName val="STADE_OP4"/>
      <sheetName val="STADE_OP5"/>
      <sheetName val="STADE_OP6"/>
      <sheetName val="STADE_OP7"/>
      <sheetName val="STADE_OP8"/>
      <sheetName val="STADE_OP9"/>
      <sheetName val="Bache_100_m3_SRET23"/>
      <sheetName val="loge_G_SRET23"/>
      <sheetName val="Bache_50_m3_SR123"/>
      <sheetName val="SR1_23"/>
      <sheetName val="loge_G_SR123"/>
      <sheetName val="Bache_50_m3_SR223"/>
      <sheetName val="loge_G_SR223"/>
      <sheetName val="Bache_50_m3_SR323"/>
      <sheetName val="loge_G_SR323"/>
      <sheetName val="Bache_50_m3_SR423"/>
      <sheetName val="loge_G_SR423"/>
      <sheetName val="loge_G_Réserv23"/>
      <sheetName val="Approvisi__Génie-Civil23"/>
      <sheetName val="ca_201223"/>
      <sheetName val="RE_SEV_5019"/>
      <sheetName val="villas_de_1_à_102"/>
      <sheetName val="Bache_100_m3_SRET22"/>
      <sheetName val="loge_G_SRET22"/>
      <sheetName val="Bache_50_m3_SR122"/>
      <sheetName val="SR1_22"/>
      <sheetName val="loge_G_SR122"/>
      <sheetName val="Bache_50_m3_SR222"/>
      <sheetName val="loge_G_SR222"/>
      <sheetName val="Bache_50_m3_SR322"/>
      <sheetName val="loge_G_SR322"/>
      <sheetName val="Bache_50_m3_SR422"/>
      <sheetName val="loge_G_SR422"/>
      <sheetName val="loge_G_Réserv22"/>
      <sheetName val="Approvisi__Génie-Civil22"/>
      <sheetName val="ca_201222"/>
      <sheetName val="RE_SEV_5018"/>
      <sheetName val="villas_de_1_à_101"/>
      <sheetName val="Bache_100_m3_SRET21"/>
      <sheetName val="loge_G_SRET21"/>
      <sheetName val="Bache_50_m3_SR121"/>
      <sheetName val="SR1_21"/>
      <sheetName val="loge_G_SR121"/>
      <sheetName val="Bache_50_m3_SR221"/>
      <sheetName val="loge_G_SR221"/>
      <sheetName val="Bache_50_m3_SR321"/>
      <sheetName val="loge_G_SR321"/>
      <sheetName val="Bache_50_m3_SR421"/>
      <sheetName val="loge_G_SR421"/>
      <sheetName val="loge_G_Réserv21"/>
      <sheetName val="Approvisi__Génie-Civil21"/>
      <sheetName val="ca_201221"/>
      <sheetName val="RE_SEV_5017"/>
      <sheetName val="villas_de_1_à_10"/>
      <sheetName val="Bache_100_m3_SRET24"/>
      <sheetName val="loge_G_SRET24"/>
      <sheetName val="Bache_50_m3_SR124"/>
      <sheetName val="SR1_24"/>
      <sheetName val="loge_G_SR124"/>
      <sheetName val="Bache_50_m3_SR224"/>
      <sheetName val="loge_G_SR224"/>
      <sheetName val="Bache_50_m3_SR324"/>
      <sheetName val="loge_G_SR324"/>
      <sheetName val="Bache_50_m3_SR424"/>
      <sheetName val="loge_G_SR424"/>
      <sheetName val="loge_G_Réserv24"/>
      <sheetName val="Approvisi__Génie-Civil24"/>
      <sheetName val="ca_201224"/>
      <sheetName val="RE_SEV_5020"/>
      <sheetName val="villas_de_1_à_103"/>
      <sheetName val="Bache_100_m3_SRET25"/>
      <sheetName val="loge_G_SRET25"/>
      <sheetName val="Bache_50_m3_SR125"/>
      <sheetName val="SR1_25"/>
      <sheetName val="loge_G_SR125"/>
      <sheetName val="Bache_50_m3_SR225"/>
      <sheetName val="loge_G_SR225"/>
      <sheetName val="Bache_50_m3_SR325"/>
      <sheetName val="loge_G_SR325"/>
      <sheetName val="Bache_50_m3_SR425"/>
      <sheetName val="loge_G_SR425"/>
      <sheetName val="loge_G_Réserv25"/>
      <sheetName val="Approvisi__Génie-Civil25"/>
      <sheetName val="ca_201225"/>
      <sheetName val="RE_SEV_5021"/>
      <sheetName val="villas_de_1_à_104"/>
      <sheetName val="Bache_100_m3_SRET26"/>
      <sheetName val="loge_G_SRET26"/>
      <sheetName val="Bache_50_m3_SR126"/>
      <sheetName val="SR1_26"/>
      <sheetName val="loge_G_SR126"/>
      <sheetName val="Bache_50_m3_SR226"/>
      <sheetName val="loge_G_SR226"/>
      <sheetName val="Bache_50_m3_SR326"/>
      <sheetName val="loge_G_SR326"/>
      <sheetName val="Bache_50_m3_SR426"/>
      <sheetName val="loge_G_SR426"/>
      <sheetName val="loge_G_Réserv26"/>
      <sheetName val="Approvisi__Génie-Civil26"/>
      <sheetName val="ca_201226"/>
      <sheetName val="RE_SEV_5022"/>
      <sheetName val="villas_de_1_à_105"/>
      <sheetName val="Listes"/>
      <sheetName val="EST CONF"/>
      <sheetName val="Macro-Long"/>
      <sheetName val="Macro-press"/>
      <sheetName val="Macro-Dexterne"/>
      <sheetName val="Macro-Epaisseur"/>
      <sheetName val="z.fnche"/>
      <sheetName val="Macro-Diam-interne"/>
      <sheetName val="E.U"/>
      <sheetName val="STADE_OP10"/>
      <sheetName val="STADE_OP11"/>
      <sheetName val="EST_CONF"/>
      <sheetName val="z_fnche"/>
      <sheetName val="semelfonc"/>
      <sheetName val="classe1"/>
      <sheetName val="preau"/>
      <sheetName val="STADE_OP12"/>
      <sheetName val="STADE_OP13"/>
      <sheetName val="STADE_OP14"/>
      <sheetName val="STADE_OP15"/>
      <sheetName val="EST_CONF1"/>
      <sheetName val="z_fnche1"/>
      <sheetName val="EST_CONF2"/>
      <sheetName val="z_fnche2"/>
      <sheetName val="Bache_100_m3_SRET32"/>
      <sheetName val="loge_G_SRET32"/>
      <sheetName val="Bache_50_m3_SR132"/>
      <sheetName val="SR1_32"/>
      <sheetName val="loge_G_SR132"/>
      <sheetName val="Bache_50_m3_SR232"/>
      <sheetName val="loge_G_SR232"/>
      <sheetName val="Bache_50_m3_SR332"/>
      <sheetName val="loge_G_SR332"/>
      <sheetName val="Bache_50_m3_SR432"/>
      <sheetName val="loge_G_SR432"/>
      <sheetName val="loge_G_Réserv32"/>
      <sheetName val="Approvisi__Génie-Civil32"/>
      <sheetName val="ca_201232"/>
      <sheetName val="RE_SEV_5028"/>
      <sheetName val="STADE_OP21"/>
      <sheetName val="villas_de_1_à_1011"/>
      <sheetName val="E_U3"/>
      <sheetName val="EST_CONF4"/>
      <sheetName val="z_fnche4"/>
      <sheetName val="Bache_100_m3_SRET27"/>
      <sheetName val="loge_G_SRET27"/>
      <sheetName val="Bache_50_m3_SR127"/>
      <sheetName val="SR1_27"/>
      <sheetName val="loge_G_SR127"/>
      <sheetName val="Bache_50_m3_SR227"/>
      <sheetName val="loge_G_SR227"/>
      <sheetName val="Bache_50_m3_SR327"/>
      <sheetName val="loge_G_SR327"/>
      <sheetName val="Bache_50_m3_SR427"/>
      <sheetName val="loge_G_SR427"/>
      <sheetName val="loge_G_Réserv27"/>
      <sheetName val="Approvisi__Génie-Civil27"/>
      <sheetName val="ca_201227"/>
      <sheetName val="RE_SEV_5023"/>
      <sheetName val="STADE_OP16"/>
      <sheetName val="villas_de_1_à_106"/>
      <sheetName val="E_U"/>
      <sheetName val="Bache_100_m3_SRET28"/>
      <sheetName val="loge_G_SRET28"/>
      <sheetName val="Bache_50_m3_SR128"/>
      <sheetName val="SR1_28"/>
      <sheetName val="loge_G_SR128"/>
      <sheetName val="Bache_50_m3_SR228"/>
      <sheetName val="loge_G_SR228"/>
      <sheetName val="Bache_50_m3_SR328"/>
      <sheetName val="loge_G_SR328"/>
      <sheetName val="Bache_50_m3_SR428"/>
      <sheetName val="loge_G_SR428"/>
      <sheetName val="loge_G_Réserv28"/>
      <sheetName val="Approvisi__Génie-Civil28"/>
      <sheetName val="ca_201228"/>
      <sheetName val="RE_SEV_5024"/>
      <sheetName val="STADE_OP17"/>
      <sheetName val="villas_de_1_à_107"/>
      <sheetName val="Bache_100_m3_SRET29"/>
      <sheetName val="loge_G_SRET29"/>
      <sheetName val="Bache_50_m3_SR129"/>
      <sheetName val="SR1_29"/>
      <sheetName val="loge_G_SR129"/>
      <sheetName val="Bache_50_m3_SR229"/>
      <sheetName val="loge_G_SR229"/>
      <sheetName val="Bache_50_m3_SR329"/>
      <sheetName val="loge_G_SR329"/>
      <sheetName val="Bache_50_m3_SR429"/>
      <sheetName val="loge_G_SR429"/>
      <sheetName val="loge_G_Réserv29"/>
      <sheetName val="Approvisi__Génie-Civil29"/>
      <sheetName val="ca_201229"/>
      <sheetName val="RE_SEV_5025"/>
      <sheetName val="STADE_OP18"/>
      <sheetName val="villas_de_1_à_108"/>
      <sheetName val="E_U1"/>
      <sheetName val="Bache_100_m3_SRET31"/>
      <sheetName val="loge_G_SRET31"/>
      <sheetName val="Bache_50_m3_SR131"/>
      <sheetName val="SR1_31"/>
      <sheetName val="loge_G_SR131"/>
      <sheetName val="Bache_50_m3_SR231"/>
      <sheetName val="loge_G_SR231"/>
      <sheetName val="Bache_50_m3_SR331"/>
      <sheetName val="loge_G_SR331"/>
      <sheetName val="Bache_50_m3_SR431"/>
      <sheetName val="loge_G_SR431"/>
      <sheetName val="loge_G_Réserv31"/>
      <sheetName val="Approvisi__Génie-Civil31"/>
      <sheetName val="ca_201231"/>
      <sheetName val="RE_SEV_5027"/>
      <sheetName val="STADE_OP20"/>
      <sheetName val="villas_de_1_à_1010"/>
      <sheetName val="Bache_100_m3_SRET30"/>
      <sheetName val="loge_G_SRET30"/>
      <sheetName val="Bache_50_m3_SR130"/>
      <sheetName val="SR1_30"/>
      <sheetName val="loge_G_SR130"/>
      <sheetName val="Bache_50_m3_SR230"/>
      <sheetName val="loge_G_SR230"/>
      <sheetName val="Bache_50_m3_SR330"/>
      <sheetName val="loge_G_SR330"/>
      <sheetName val="Bache_50_m3_SR430"/>
      <sheetName val="loge_G_SR430"/>
      <sheetName val="loge_G_Réserv30"/>
      <sheetName val="Approvisi__Génie-Civil30"/>
      <sheetName val="ca_201230"/>
      <sheetName val="RE_SEV_5026"/>
      <sheetName val="STADE_OP19"/>
      <sheetName val="villas_de_1_à_109"/>
      <sheetName val="E_U2"/>
      <sheetName val="EST_CONF3"/>
      <sheetName val="z_fnche3"/>
      <sheetName val="Macro-colbrook"/>
      <sheetName val="Macro-Newton"/>
      <sheetName val="BpElecEnnasr-Géneral"/>
      <sheetName val="EST_CONF5"/>
      <sheetName val="z_fnche5"/>
      <sheetName val="dimensio EU"/>
      <sheetName val="EST_CONF6"/>
      <sheetName val="z_fnche6"/>
      <sheetName val="EST_CONF7"/>
      <sheetName val="z_fnche7"/>
      <sheetName val="Bache_100_m3_SRET33"/>
      <sheetName val="loge_G_SRET33"/>
      <sheetName val="Bache_50_m3_SR133"/>
      <sheetName val="SR1_33"/>
      <sheetName val="loge_G_SR133"/>
      <sheetName val="Bache_50_m3_SR233"/>
      <sheetName val="loge_G_SR233"/>
      <sheetName val="Bache_50_m3_SR333"/>
      <sheetName val="loge_G_SR333"/>
      <sheetName val="Bache_50_m3_SR433"/>
      <sheetName val="loge_G_SR433"/>
      <sheetName val="loge_G_Réserv33"/>
      <sheetName val="Approvisi__Génie-Civil33"/>
      <sheetName val="ca_201233"/>
      <sheetName val="RE_SEV_5029"/>
      <sheetName val="STADE_OP22"/>
      <sheetName val="villas_de_1_à_1012"/>
      <sheetName val="Bache_100_m3_SRET34"/>
      <sheetName val="loge_G_SRET34"/>
      <sheetName val="Bache_50_m3_SR134"/>
      <sheetName val="SR1_34"/>
      <sheetName val="loge_G_SR134"/>
      <sheetName val="Bache_50_m3_SR234"/>
      <sheetName val="loge_G_SR234"/>
      <sheetName val="Bache_50_m3_SR334"/>
      <sheetName val="loge_G_SR334"/>
      <sheetName val="Bache_50_m3_SR434"/>
      <sheetName val="loge_G_SR434"/>
      <sheetName val="loge_G_Réserv34"/>
      <sheetName val="Approvisi__Génie-Civil34"/>
      <sheetName val="ca_201234"/>
      <sheetName val="RE_SEV_5030"/>
      <sheetName val="STADE_OP23"/>
      <sheetName val="villas_de_1_à_1013"/>
      <sheetName val="Bache_100_m3_SRET35"/>
      <sheetName val="loge_G_SRET35"/>
      <sheetName val="Bache_50_m3_SR135"/>
      <sheetName val="SR1_35"/>
      <sheetName val="loge_G_SR135"/>
      <sheetName val="Bache_50_m3_SR235"/>
      <sheetName val="loge_G_SR235"/>
      <sheetName val="Bache_50_m3_SR335"/>
      <sheetName val="loge_G_SR335"/>
      <sheetName val="Bache_50_m3_SR435"/>
      <sheetName val="loge_G_SR435"/>
      <sheetName val="loge_G_Réserv35"/>
      <sheetName val="Approvisi__Génie-Civil35"/>
      <sheetName val="ca_201235"/>
      <sheetName val="RE_SEV_5031"/>
      <sheetName val="STADE_OP24"/>
      <sheetName val="villas_de_1_à_1014"/>
      <sheetName val="EST_CONF8"/>
      <sheetName val="z_fnche8"/>
      <sheetName val="E_U5"/>
      <sheetName val="E_U4"/>
      <sheetName val="Bache_100_m3_SRET36"/>
      <sheetName val="loge_G_SRET36"/>
      <sheetName val="Bache_50_m3_SR136"/>
      <sheetName val="SR1_36"/>
      <sheetName val="loge_G_SR136"/>
      <sheetName val="Bache_50_m3_SR236"/>
      <sheetName val="loge_G_SR236"/>
      <sheetName val="Bache_50_m3_SR336"/>
      <sheetName val="loge_G_SR336"/>
      <sheetName val="Bache_50_m3_SR436"/>
      <sheetName val="loge_G_SR436"/>
      <sheetName val="loge_G_Réserv36"/>
      <sheetName val="Approvisi__Génie-Civil36"/>
      <sheetName val="ca_201236"/>
      <sheetName val="RE_SEV_5032"/>
      <sheetName val="STADE_OP25"/>
      <sheetName val="villas_de_1_à_1015"/>
      <sheetName val="EST_CONF9"/>
      <sheetName val="z_fnche9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1">
          <cell r="H11">
            <v>0.9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1">
          <cell r="H11">
            <v>0.9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11">
          <cell r="H11">
            <v>0.9</v>
          </cell>
        </row>
      </sheetData>
      <sheetData sheetId="139">
        <row r="11">
          <cell r="H11">
            <v>0.9</v>
          </cell>
        </row>
      </sheetData>
      <sheetData sheetId="140">
        <row r="11">
          <cell r="H11">
            <v>0.9</v>
          </cell>
        </row>
      </sheetData>
      <sheetData sheetId="141">
        <row r="11">
          <cell r="H11">
            <v>0.9</v>
          </cell>
        </row>
      </sheetData>
      <sheetData sheetId="142">
        <row r="11">
          <cell r="H11">
            <v>0.9</v>
          </cell>
        </row>
      </sheetData>
      <sheetData sheetId="143">
        <row r="11">
          <cell r="H11">
            <v>0.9</v>
          </cell>
        </row>
      </sheetData>
      <sheetData sheetId="144">
        <row r="11">
          <cell r="H11">
            <v>0.9</v>
          </cell>
        </row>
      </sheetData>
      <sheetData sheetId="145">
        <row r="11">
          <cell r="H11">
            <v>0.9</v>
          </cell>
        </row>
      </sheetData>
      <sheetData sheetId="146">
        <row r="11">
          <cell r="H11">
            <v>0.9</v>
          </cell>
        </row>
      </sheetData>
      <sheetData sheetId="147">
        <row r="11">
          <cell r="H11">
            <v>0.9</v>
          </cell>
        </row>
      </sheetData>
      <sheetData sheetId="148">
        <row r="11">
          <cell r="H11">
            <v>0.9</v>
          </cell>
        </row>
      </sheetData>
      <sheetData sheetId="149">
        <row r="11">
          <cell r="H11">
            <v>0.9</v>
          </cell>
        </row>
      </sheetData>
      <sheetData sheetId="150">
        <row r="11">
          <cell r="H11">
            <v>0.9</v>
          </cell>
        </row>
      </sheetData>
      <sheetData sheetId="151">
        <row r="11">
          <cell r="H11">
            <v>0.9</v>
          </cell>
        </row>
      </sheetData>
      <sheetData sheetId="152">
        <row r="11">
          <cell r="H11">
            <v>0.9</v>
          </cell>
        </row>
      </sheetData>
      <sheetData sheetId="153" refreshError="1"/>
      <sheetData sheetId="154"/>
      <sheetData sheetId="155">
        <row r="11">
          <cell r="H11">
            <v>0.9</v>
          </cell>
        </row>
      </sheetData>
      <sheetData sheetId="156" refreshError="1"/>
      <sheetData sheetId="157">
        <row r="11">
          <cell r="H11">
            <v>0.9</v>
          </cell>
        </row>
      </sheetData>
      <sheetData sheetId="158">
        <row r="11">
          <cell r="H11">
            <v>0.9</v>
          </cell>
        </row>
      </sheetData>
      <sheetData sheetId="159" refreshError="1"/>
      <sheetData sheetId="160"/>
      <sheetData sheetId="161"/>
      <sheetData sheetId="162">
        <row r="11">
          <cell r="H11">
            <v>0.9</v>
          </cell>
        </row>
      </sheetData>
      <sheetData sheetId="163">
        <row r="11">
          <cell r="H11">
            <v>0.9</v>
          </cell>
        </row>
      </sheetData>
      <sheetData sheetId="164">
        <row r="11">
          <cell r="H11">
            <v>0.9</v>
          </cell>
        </row>
      </sheetData>
      <sheetData sheetId="165">
        <row r="11">
          <cell r="H11">
            <v>0.9</v>
          </cell>
        </row>
      </sheetData>
      <sheetData sheetId="166">
        <row r="11">
          <cell r="H11">
            <v>0.9</v>
          </cell>
        </row>
      </sheetData>
      <sheetData sheetId="167">
        <row r="11">
          <cell r="H11">
            <v>0.9</v>
          </cell>
        </row>
      </sheetData>
      <sheetData sheetId="168">
        <row r="11">
          <cell r="H11">
            <v>0.9</v>
          </cell>
        </row>
      </sheetData>
      <sheetData sheetId="169">
        <row r="11">
          <cell r="H11">
            <v>0.9</v>
          </cell>
        </row>
      </sheetData>
      <sheetData sheetId="170">
        <row r="11">
          <cell r="H11">
            <v>0.9</v>
          </cell>
        </row>
      </sheetData>
      <sheetData sheetId="171">
        <row r="11">
          <cell r="H11">
            <v>0.9</v>
          </cell>
        </row>
      </sheetData>
      <sheetData sheetId="172">
        <row r="11">
          <cell r="H11">
            <v>0.9</v>
          </cell>
        </row>
      </sheetData>
      <sheetData sheetId="173">
        <row r="11">
          <cell r="H11">
            <v>0.9</v>
          </cell>
        </row>
      </sheetData>
      <sheetData sheetId="174">
        <row r="11">
          <cell r="H11">
            <v>0.9</v>
          </cell>
        </row>
      </sheetData>
      <sheetData sheetId="175">
        <row r="11">
          <cell r="H11">
            <v>0.9</v>
          </cell>
        </row>
      </sheetData>
      <sheetData sheetId="176">
        <row r="11">
          <cell r="H11">
            <v>0.9</v>
          </cell>
        </row>
      </sheetData>
      <sheetData sheetId="177">
        <row r="11">
          <cell r="H11">
            <v>0.9</v>
          </cell>
        </row>
      </sheetData>
      <sheetData sheetId="178">
        <row r="11">
          <cell r="H11">
            <v>0.9</v>
          </cell>
        </row>
      </sheetData>
      <sheetData sheetId="179">
        <row r="11">
          <cell r="H11">
            <v>0.9</v>
          </cell>
        </row>
      </sheetData>
      <sheetData sheetId="180">
        <row r="11">
          <cell r="H11">
            <v>0.9</v>
          </cell>
        </row>
      </sheetData>
      <sheetData sheetId="181">
        <row r="11">
          <cell r="H11">
            <v>0.9</v>
          </cell>
        </row>
      </sheetData>
      <sheetData sheetId="182">
        <row r="11">
          <cell r="H11">
            <v>0.9</v>
          </cell>
        </row>
      </sheetData>
      <sheetData sheetId="183">
        <row r="11">
          <cell r="H11">
            <v>0.9</v>
          </cell>
        </row>
      </sheetData>
      <sheetData sheetId="184">
        <row r="11">
          <cell r="H11">
            <v>0.9</v>
          </cell>
        </row>
      </sheetData>
      <sheetData sheetId="185">
        <row r="11">
          <cell r="H11">
            <v>0.9</v>
          </cell>
        </row>
      </sheetData>
      <sheetData sheetId="186">
        <row r="11">
          <cell r="H11">
            <v>0.9</v>
          </cell>
        </row>
      </sheetData>
      <sheetData sheetId="187">
        <row r="11">
          <cell r="H11">
            <v>0.9</v>
          </cell>
        </row>
      </sheetData>
      <sheetData sheetId="188">
        <row r="11">
          <cell r="H11">
            <v>0.9</v>
          </cell>
        </row>
      </sheetData>
      <sheetData sheetId="189">
        <row r="11">
          <cell r="H11">
            <v>0.9</v>
          </cell>
        </row>
      </sheetData>
      <sheetData sheetId="190">
        <row r="11">
          <cell r="H11">
            <v>0.9</v>
          </cell>
        </row>
      </sheetData>
      <sheetData sheetId="191">
        <row r="11">
          <cell r="H11">
            <v>0.9</v>
          </cell>
        </row>
      </sheetData>
      <sheetData sheetId="192">
        <row r="11">
          <cell r="H11">
            <v>0.9</v>
          </cell>
        </row>
      </sheetData>
      <sheetData sheetId="193">
        <row r="11">
          <cell r="H11">
            <v>0.9</v>
          </cell>
        </row>
      </sheetData>
      <sheetData sheetId="194">
        <row r="11">
          <cell r="H11">
            <v>0.9</v>
          </cell>
        </row>
      </sheetData>
      <sheetData sheetId="195">
        <row r="11">
          <cell r="H11">
            <v>0.9</v>
          </cell>
        </row>
      </sheetData>
      <sheetData sheetId="196">
        <row r="11">
          <cell r="H11">
            <v>0.9</v>
          </cell>
        </row>
      </sheetData>
      <sheetData sheetId="197">
        <row r="11">
          <cell r="H11">
            <v>0.9</v>
          </cell>
        </row>
      </sheetData>
      <sheetData sheetId="198">
        <row r="11">
          <cell r="H11">
            <v>0.9</v>
          </cell>
        </row>
      </sheetData>
      <sheetData sheetId="199">
        <row r="11">
          <cell r="H11">
            <v>0.9</v>
          </cell>
        </row>
      </sheetData>
      <sheetData sheetId="200">
        <row r="11">
          <cell r="H11">
            <v>0.9</v>
          </cell>
        </row>
      </sheetData>
      <sheetData sheetId="201">
        <row r="11">
          <cell r="H11">
            <v>0.9</v>
          </cell>
        </row>
      </sheetData>
      <sheetData sheetId="202">
        <row r="11">
          <cell r="H11">
            <v>0.9</v>
          </cell>
        </row>
      </sheetData>
      <sheetData sheetId="203">
        <row r="11">
          <cell r="H11">
            <v>0.9</v>
          </cell>
        </row>
      </sheetData>
      <sheetData sheetId="204">
        <row r="11">
          <cell r="H11">
            <v>0.9</v>
          </cell>
        </row>
      </sheetData>
      <sheetData sheetId="205">
        <row r="11">
          <cell r="H11">
            <v>0.9</v>
          </cell>
        </row>
      </sheetData>
      <sheetData sheetId="206">
        <row r="11">
          <cell r="H11">
            <v>0.9</v>
          </cell>
        </row>
      </sheetData>
      <sheetData sheetId="207">
        <row r="11">
          <cell r="H11">
            <v>0.9</v>
          </cell>
        </row>
      </sheetData>
      <sheetData sheetId="208">
        <row r="11">
          <cell r="H11">
            <v>0.9</v>
          </cell>
        </row>
      </sheetData>
      <sheetData sheetId="209">
        <row r="11">
          <cell r="H11">
            <v>0.9</v>
          </cell>
        </row>
      </sheetData>
      <sheetData sheetId="210">
        <row r="11">
          <cell r="H11">
            <v>0.9</v>
          </cell>
        </row>
      </sheetData>
      <sheetData sheetId="211">
        <row r="11">
          <cell r="H11">
            <v>0.9</v>
          </cell>
        </row>
      </sheetData>
      <sheetData sheetId="212">
        <row r="11">
          <cell r="H11">
            <v>0.9</v>
          </cell>
        </row>
      </sheetData>
      <sheetData sheetId="213">
        <row r="11">
          <cell r="H11">
            <v>0.9</v>
          </cell>
        </row>
      </sheetData>
      <sheetData sheetId="214">
        <row r="11">
          <cell r="H11">
            <v>0.9</v>
          </cell>
        </row>
      </sheetData>
      <sheetData sheetId="215">
        <row r="11">
          <cell r="H11">
            <v>0.9</v>
          </cell>
        </row>
      </sheetData>
      <sheetData sheetId="216">
        <row r="11">
          <cell r="H11">
            <v>0.9</v>
          </cell>
        </row>
      </sheetData>
      <sheetData sheetId="217">
        <row r="11">
          <cell r="H11">
            <v>0.9</v>
          </cell>
        </row>
      </sheetData>
      <sheetData sheetId="218">
        <row r="11">
          <cell r="H11">
            <v>0.9</v>
          </cell>
        </row>
      </sheetData>
      <sheetData sheetId="219">
        <row r="11">
          <cell r="H11">
            <v>0.9</v>
          </cell>
        </row>
      </sheetData>
      <sheetData sheetId="220">
        <row r="11">
          <cell r="H11">
            <v>0.9</v>
          </cell>
        </row>
      </sheetData>
      <sheetData sheetId="221">
        <row r="11">
          <cell r="H11">
            <v>0.9</v>
          </cell>
        </row>
      </sheetData>
      <sheetData sheetId="222">
        <row r="11">
          <cell r="H11">
            <v>0.9</v>
          </cell>
        </row>
      </sheetData>
      <sheetData sheetId="223">
        <row r="11">
          <cell r="H11">
            <v>0.9</v>
          </cell>
        </row>
      </sheetData>
      <sheetData sheetId="224">
        <row r="11">
          <cell r="H11">
            <v>0.9</v>
          </cell>
        </row>
      </sheetData>
      <sheetData sheetId="225">
        <row r="11">
          <cell r="H11">
            <v>0.9</v>
          </cell>
        </row>
      </sheetData>
      <sheetData sheetId="226">
        <row r="11">
          <cell r="H11">
            <v>0.9</v>
          </cell>
        </row>
      </sheetData>
      <sheetData sheetId="227">
        <row r="11">
          <cell r="H11">
            <v>0.9</v>
          </cell>
        </row>
      </sheetData>
      <sheetData sheetId="228">
        <row r="11">
          <cell r="H11">
            <v>0.9</v>
          </cell>
        </row>
      </sheetData>
      <sheetData sheetId="229">
        <row r="11">
          <cell r="H11">
            <v>0.9</v>
          </cell>
        </row>
      </sheetData>
      <sheetData sheetId="230">
        <row r="11">
          <cell r="H11">
            <v>0.9</v>
          </cell>
        </row>
      </sheetData>
      <sheetData sheetId="231">
        <row r="11">
          <cell r="H11">
            <v>0.9</v>
          </cell>
        </row>
      </sheetData>
      <sheetData sheetId="232">
        <row r="11">
          <cell r="H11">
            <v>0.9</v>
          </cell>
        </row>
      </sheetData>
      <sheetData sheetId="233">
        <row r="11">
          <cell r="H11">
            <v>0.9</v>
          </cell>
        </row>
      </sheetData>
      <sheetData sheetId="234">
        <row r="11">
          <cell r="H11">
            <v>0.9</v>
          </cell>
        </row>
      </sheetData>
      <sheetData sheetId="235">
        <row r="11">
          <cell r="H11">
            <v>0.9</v>
          </cell>
        </row>
      </sheetData>
      <sheetData sheetId="236">
        <row r="11">
          <cell r="H11">
            <v>0.9</v>
          </cell>
        </row>
      </sheetData>
      <sheetData sheetId="237">
        <row r="11">
          <cell r="H11">
            <v>0.9</v>
          </cell>
        </row>
      </sheetData>
      <sheetData sheetId="238">
        <row r="11">
          <cell r="H11">
            <v>0.9</v>
          </cell>
        </row>
      </sheetData>
      <sheetData sheetId="239">
        <row r="11">
          <cell r="H11">
            <v>0.9</v>
          </cell>
        </row>
      </sheetData>
      <sheetData sheetId="240">
        <row r="11">
          <cell r="H11">
            <v>0.9</v>
          </cell>
        </row>
      </sheetData>
      <sheetData sheetId="241">
        <row r="11">
          <cell r="H11">
            <v>0.9</v>
          </cell>
        </row>
      </sheetData>
      <sheetData sheetId="242">
        <row r="11">
          <cell r="H11">
            <v>0.9</v>
          </cell>
        </row>
      </sheetData>
      <sheetData sheetId="243">
        <row r="11">
          <cell r="H11">
            <v>0.9</v>
          </cell>
        </row>
      </sheetData>
      <sheetData sheetId="244">
        <row r="11">
          <cell r="H11">
            <v>0.9</v>
          </cell>
        </row>
      </sheetData>
      <sheetData sheetId="245">
        <row r="11">
          <cell r="H11">
            <v>0.9</v>
          </cell>
        </row>
      </sheetData>
      <sheetData sheetId="246">
        <row r="11">
          <cell r="H11">
            <v>0.9</v>
          </cell>
        </row>
      </sheetData>
      <sheetData sheetId="247">
        <row r="11">
          <cell r="H11">
            <v>0.9</v>
          </cell>
        </row>
      </sheetData>
      <sheetData sheetId="248">
        <row r="11">
          <cell r="H11">
            <v>0.9</v>
          </cell>
        </row>
      </sheetData>
      <sheetData sheetId="249">
        <row r="11">
          <cell r="H11">
            <v>0.9</v>
          </cell>
        </row>
      </sheetData>
      <sheetData sheetId="250">
        <row r="11">
          <cell r="H11">
            <v>0.9</v>
          </cell>
        </row>
      </sheetData>
      <sheetData sheetId="251">
        <row r="11">
          <cell r="H11">
            <v>0.9</v>
          </cell>
        </row>
      </sheetData>
      <sheetData sheetId="252">
        <row r="11">
          <cell r="H11">
            <v>0.9</v>
          </cell>
        </row>
      </sheetData>
      <sheetData sheetId="253">
        <row r="11">
          <cell r="H11">
            <v>0.9</v>
          </cell>
        </row>
      </sheetData>
      <sheetData sheetId="254">
        <row r="11">
          <cell r="H11">
            <v>0.9</v>
          </cell>
        </row>
      </sheetData>
      <sheetData sheetId="255">
        <row r="11">
          <cell r="H11">
            <v>0.9</v>
          </cell>
        </row>
      </sheetData>
      <sheetData sheetId="256">
        <row r="11">
          <cell r="H11">
            <v>0.9</v>
          </cell>
        </row>
      </sheetData>
      <sheetData sheetId="257">
        <row r="11">
          <cell r="H11">
            <v>0.9</v>
          </cell>
        </row>
      </sheetData>
      <sheetData sheetId="258">
        <row r="11">
          <cell r="H11">
            <v>0.9</v>
          </cell>
        </row>
      </sheetData>
      <sheetData sheetId="259">
        <row r="11">
          <cell r="H11">
            <v>0.9</v>
          </cell>
        </row>
      </sheetData>
      <sheetData sheetId="260">
        <row r="11">
          <cell r="H11">
            <v>0.9</v>
          </cell>
        </row>
      </sheetData>
      <sheetData sheetId="261">
        <row r="11">
          <cell r="H11">
            <v>0.9</v>
          </cell>
        </row>
      </sheetData>
      <sheetData sheetId="262">
        <row r="11">
          <cell r="H11">
            <v>0.9</v>
          </cell>
        </row>
      </sheetData>
      <sheetData sheetId="263">
        <row r="11">
          <cell r="H11">
            <v>0.9</v>
          </cell>
        </row>
      </sheetData>
      <sheetData sheetId="264">
        <row r="11">
          <cell r="H11">
            <v>0.9</v>
          </cell>
        </row>
      </sheetData>
      <sheetData sheetId="265">
        <row r="11">
          <cell r="H11">
            <v>0.9</v>
          </cell>
        </row>
      </sheetData>
      <sheetData sheetId="266">
        <row r="11">
          <cell r="H11">
            <v>0.9</v>
          </cell>
        </row>
      </sheetData>
      <sheetData sheetId="267">
        <row r="11">
          <cell r="H11">
            <v>0.9</v>
          </cell>
        </row>
      </sheetData>
      <sheetData sheetId="268">
        <row r="11">
          <cell r="H11">
            <v>0.9</v>
          </cell>
        </row>
      </sheetData>
      <sheetData sheetId="269">
        <row r="11">
          <cell r="H11">
            <v>0.9</v>
          </cell>
        </row>
      </sheetData>
      <sheetData sheetId="270">
        <row r="11">
          <cell r="H11">
            <v>0.9</v>
          </cell>
        </row>
      </sheetData>
      <sheetData sheetId="271">
        <row r="11">
          <cell r="H11">
            <v>0.9</v>
          </cell>
        </row>
      </sheetData>
      <sheetData sheetId="272">
        <row r="11">
          <cell r="H11">
            <v>0.9</v>
          </cell>
        </row>
      </sheetData>
      <sheetData sheetId="273">
        <row r="11">
          <cell r="H11">
            <v>0.9</v>
          </cell>
        </row>
      </sheetData>
      <sheetData sheetId="274">
        <row r="11">
          <cell r="H11">
            <v>0.9</v>
          </cell>
        </row>
      </sheetData>
      <sheetData sheetId="275">
        <row r="11">
          <cell r="H11">
            <v>0.9</v>
          </cell>
        </row>
      </sheetData>
      <sheetData sheetId="276">
        <row r="11">
          <cell r="H11">
            <v>0.9</v>
          </cell>
        </row>
      </sheetData>
      <sheetData sheetId="277">
        <row r="11">
          <cell r="H11">
            <v>0.9</v>
          </cell>
        </row>
      </sheetData>
      <sheetData sheetId="278">
        <row r="11">
          <cell r="H11">
            <v>0.9</v>
          </cell>
        </row>
      </sheetData>
      <sheetData sheetId="279">
        <row r="11">
          <cell r="H11">
            <v>0.9</v>
          </cell>
        </row>
      </sheetData>
      <sheetData sheetId="280">
        <row r="11">
          <cell r="H11">
            <v>0.9</v>
          </cell>
        </row>
      </sheetData>
      <sheetData sheetId="281">
        <row r="11">
          <cell r="H11">
            <v>0.9</v>
          </cell>
        </row>
      </sheetData>
      <sheetData sheetId="282">
        <row r="11">
          <cell r="H11">
            <v>0.9</v>
          </cell>
        </row>
      </sheetData>
      <sheetData sheetId="283">
        <row r="11">
          <cell r="H11">
            <v>0.9</v>
          </cell>
        </row>
      </sheetData>
      <sheetData sheetId="284">
        <row r="11">
          <cell r="H11">
            <v>0.9</v>
          </cell>
        </row>
      </sheetData>
      <sheetData sheetId="285">
        <row r="11">
          <cell r="H11">
            <v>0.9</v>
          </cell>
        </row>
      </sheetData>
      <sheetData sheetId="286">
        <row r="11">
          <cell r="H11">
            <v>0.9</v>
          </cell>
        </row>
      </sheetData>
      <sheetData sheetId="287">
        <row r="11">
          <cell r="H11">
            <v>0.9</v>
          </cell>
        </row>
      </sheetData>
      <sheetData sheetId="288">
        <row r="11">
          <cell r="H11">
            <v>0.9</v>
          </cell>
        </row>
      </sheetData>
      <sheetData sheetId="289">
        <row r="11">
          <cell r="H11">
            <v>0.9</v>
          </cell>
        </row>
      </sheetData>
      <sheetData sheetId="290">
        <row r="11">
          <cell r="H11">
            <v>0.9</v>
          </cell>
        </row>
      </sheetData>
      <sheetData sheetId="291">
        <row r="11">
          <cell r="H11">
            <v>0.9</v>
          </cell>
        </row>
      </sheetData>
      <sheetData sheetId="292">
        <row r="11">
          <cell r="H11">
            <v>0.9</v>
          </cell>
        </row>
      </sheetData>
      <sheetData sheetId="293">
        <row r="11">
          <cell r="H11">
            <v>0.9</v>
          </cell>
        </row>
      </sheetData>
      <sheetData sheetId="294">
        <row r="11">
          <cell r="H11">
            <v>0.9</v>
          </cell>
        </row>
      </sheetData>
      <sheetData sheetId="295">
        <row r="11">
          <cell r="H11">
            <v>0.9</v>
          </cell>
        </row>
      </sheetData>
      <sheetData sheetId="296">
        <row r="11">
          <cell r="H11">
            <v>0.9</v>
          </cell>
        </row>
      </sheetData>
      <sheetData sheetId="297">
        <row r="11">
          <cell r="H11">
            <v>0.9</v>
          </cell>
        </row>
      </sheetData>
      <sheetData sheetId="298">
        <row r="11">
          <cell r="H11">
            <v>0.9</v>
          </cell>
        </row>
      </sheetData>
      <sheetData sheetId="299">
        <row r="11">
          <cell r="H11">
            <v>0.9</v>
          </cell>
        </row>
      </sheetData>
      <sheetData sheetId="300">
        <row r="11">
          <cell r="H11">
            <v>0.9</v>
          </cell>
        </row>
      </sheetData>
      <sheetData sheetId="301">
        <row r="11">
          <cell r="H11">
            <v>0.9</v>
          </cell>
        </row>
      </sheetData>
      <sheetData sheetId="302">
        <row r="11">
          <cell r="H11">
            <v>0.9</v>
          </cell>
        </row>
      </sheetData>
      <sheetData sheetId="303">
        <row r="11">
          <cell r="H11">
            <v>0.9</v>
          </cell>
        </row>
      </sheetData>
      <sheetData sheetId="304">
        <row r="11">
          <cell r="H11">
            <v>0.9</v>
          </cell>
        </row>
      </sheetData>
      <sheetData sheetId="305">
        <row r="11">
          <cell r="H11">
            <v>0.9</v>
          </cell>
        </row>
      </sheetData>
      <sheetData sheetId="306">
        <row r="11">
          <cell r="H11">
            <v>0.9</v>
          </cell>
        </row>
      </sheetData>
      <sheetData sheetId="307">
        <row r="11">
          <cell r="H11">
            <v>0.9</v>
          </cell>
        </row>
      </sheetData>
      <sheetData sheetId="308">
        <row r="11">
          <cell r="H11">
            <v>0.9</v>
          </cell>
        </row>
      </sheetData>
      <sheetData sheetId="309">
        <row r="11">
          <cell r="H11">
            <v>0.9</v>
          </cell>
        </row>
      </sheetData>
      <sheetData sheetId="310">
        <row r="11">
          <cell r="H11">
            <v>0.9</v>
          </cell>
        </row>
      </sheetData>
      <sheetData sheetId="311">
        <row r="11">
          <cell r="H11">
            <v>0.9</v>
          </cell>
        </row>
      </sheetData>
      <sheetData sheetId="312">
        <row r="11">
          <cell r="H11">
            <v>0.9</v>
          </cell>
        </row>
      </sheetData>
      <sheetData sheetId="313">
        <row r="11">
          <cell r="H11">
            <v>0.9</v>
          </cell>
        </row>
      </sheetData>
      <sheetData sheetId="314">
        <row r="11">
          <cell r="H11">
            <v>0.9</v>
          </cell>
        </row>
      </sheetData>
      <sheetData sheetId="315">
        <row r="11">
          <cell r="H11">
            <v>0.9</v>
          </cell>
        </row>
      </sheetData>
      <sheetData sheetId="316">
        <row r="11">
          <cell r="H11">
            <v>0.9</v>
          </cell>
        </row>
      </sheetData>
      <sheetData sheetId="317">
        <row r="11">
          <cell r="H11">
            <v>0.9</v>
          </cell>
        </row>
      </sheetData>
      <sheetData sheetId="318">
        <row r="11">
          <cell r="H11">
            <v>0.9</v>
          </cell>
        </row>
      </sheetData>
      <sheetData sheetId="319">
        <row r="11">
          <cell r="H11">
            <v>0.9</v>
          </cell>
        </row>
      </sheetData>
      <sheetData sheetId="320">
        <row r="11">
          <cell r="H11">
            <v>0.9</v>
          </cell>
        </row>
      </sheetData>
      <sheetData sheetId="321">
        <row r="11">
          <cell r="H11">
            <v>0.9</v>
          </cell>
        </row>
      </sheetData>
      <sheetData sheetId="322">
        <row r="11">
          <cell r="H11">
            <v>0.9</v>
          </cell>
        </row>
      </sheetData>
      <sheetData sheetId="323">
        <row r="11">
          <cell r="H11">
            <v>0.9</v>
          </cell>
        </row>
      </sheetData>
      <sheetData sheetId="324">
        <row r="11">
          <cell r="H11">
            <v>0.9</v>
          </cell>
        </row>
      </sheetData>
      <sheetData sheetId="325">
        <row r="11">
          <cell r="H11">
            <v>0.9</v>
          </cell>
        </row>
      </sheetData>
      <sheetData sheetId="326">
        <row r="11">
          <cell r="H11">
            <v>0.9</v>
          </cell>
        </row>
      </sheetData>
      <sheetData sheetId="327">
        <row r="11">
          <cell r="H11">
            <v>0.9</v>
          </cell>
        </row>
      </sheetData>
      <sheetData sheetId="328">
        <row r="11">
          <cell r="H11">
            <v>0.9</v>
          </cell>
        </row>
      </sheetData>
      <sheetData sheetId="329">
        <row r="11">
          <cell r="H11">
            <v>0.9</v>
          </cell>
        </row>
      </sheetData>
      <sheetData sheetId="330">
        <row r="11">
          <cell r="H11">
            <v>0.9</v>
          </cell>
        </row>
      </sheetData>
      <sheetData sheetId="331">
        <row r="11">
          <cell r="H11">
            <v>0.9</v>
          </cell>
        </row>
      </sheetData>
      <sheetData sheetId="332">
        <row r="11">
          <cell r="H11">
            <v>0.9</v>
          </cell>
        </row>
      </sheetData>
      <sheetData sheetId="333">
        <row r="11">
          <cell r="H11">
            <v>0.9</v>
          </cell>
        </row>
      </sheetData>
      <sheetData sheetId="334">
        <row r="11">
          <cell r="H11">
            <v>0.9</v>
          </cell>
        </row>
      </sheetData>
      <sheetData sheetId="335">
        <row r="11">
          <cell r="H11">
            <v>0.9</v>
          </cell>
        </row>
      </sheetData>
      <sheetData sheetId="336">
        <row r="11">
          <cell r="H11">
            <v>0.9</v>
          </cell>
        </row>
      </sheetData>
      <sheetData sheetId="337">
        <row r="11">
          <cell r="H11">
            <v>0.9</v>
          </cell>
        </row>
      </sheetData>
      <sheetData sheetId="338">
        <row r="11">
          <cell r="H11">
            <v>0.9</v>
          </cell>
        </row>
      </sheetData>
      <sheetData sheetId="339" refreshError="1"/>
      <sheetData sheetId="340" refreshError="1"/>
      <sheetData sheetId="341">
        <row r="11">
          <cell r="H11">
            <v>0.9</v>
          </cell>
        </row>
      </sheetData>
      <sheetData sheetId="342">
        <row r="11">
          <cell r="H11">
            <v>0.9</v>
          </cell>
        </row>
      </sheetData>
      <sheetData sheetId="343">
        <row r="11">
          <cell r="H11">
            <v>0.9</v>
          </cell>
        </row>
      </sheetData>
      <sheetData sheetId="344">
        <row r="11">
          <cell r="H11">
            <v>0.9</v>
          </cell>
        </row>
      </sheetData>
      <sheetData sheetId="345">
        <row r="11">
          <cell r="H11">
            <v>0.9</v>
          </cell>
        </row>
      </sheetData>
      <sheetData sheetId="346">
        <row r="11">
          <cell r="H11">
            <v>0.9</v>
          </cell>
        </row>
      </sheetData>
      <sheetData sheetId="347">
        <row r="11">
          <cell r="H11">
            <v>0.9</v>
          </cell>
        </row>
      </sheetData>
      <sheetData sheetId="348">
        <row r="11">
          <cell r="H11">
            <v>0.9</v>
          </cell>
        </row>
      </sheetData>
      <sheetData sheetId="349">
        <row r="11">
          <cell r="H11">
            <v>0.9</v>
          </cell>
        </row>
      </sheetData>
      <sheetData sheetId="350">
        <row r="11">
          <cell r="H11">
            <v>0.9</v>
          </cell>
        </row>
      </sheetData>
      <sheetData sheetId="351">
        <row r="11">
          <cell r="H11">
            <v>0.9</v>
          </cell>
        </row>
      </sheetData>
      <sheetData sheetId="352">
        <row r="11">
          <cell r="H11">
            <v>0.9</v>
          </cell>
        </row>
      </sheetData>
      <sheetData sheetId="353">
        <row r="11">
          <cell r="H11">
            <v>0.9</v>
          </cell>
        </row>
      </sheetData>
      <sheetData sheetId="354">
        <row r="11">
          <cell r="H11">
            <v>0.9</v>
          </cell>
        </row>
      </sheetData>
      <sheetData sheetId="355">
        <row r="11">
          <cell r="H11">
            <v>0.9</v>
          </cell>
        </row>
      </sheetData>
      <sheetData sheetId="356">
        <row r="11">
          <cell r="H11">
            <v>0.9</v>
          </cell>
        </row>
      </sheetData>
      <sheetData sheetId="357">
        <row r="11">
          <cell r="H11">
            <v>0.9</v>
          </cell>
        </row>
      </sheetData>
      <sheetData sheetId="358">
        <row r="11">
          <cell r="H11">
            <v>0.9</v>
          </cell>
        </row>
      </sheetData>
      <sheetData sheetId="359">
        <row r="11">
          <cell r="H11">
            <v>0.9</v>
          </cell>
        </row>
      </sheetData>
      <sheetData sheetId="360">
        <row r="11">
          <cell r="H11">
            <v>0.9</v>
          </cell>
        </row>
      </sheetData>
      <sheetData sheetId="361">
        <row r="11">
          <cell r="H11">
            <v>0.9</v>
          </cell>
        </row>
      </sheetData>
      <sheetData sheetId="362">
        <row r="11">
          <cell r="H11">
            <v>0.9</v>
          </cell>
        </row>
      </sheetData>
      <sheetData sheetId="363">
        <row r="11">
          <cell r="H11">
            <v>0.9</v>
          </cell>
        </row>
      </sheetData>
      <sheetData sheetId="364">
        <row r="11">
          <cell r="H11">
            <v>0.9</v>
          </cell>
        </row>
      </sheetData>
      <sheetData sheetId="365">
        <row r="11">
          <cell r="H11">
            <v>0.9</v>
          </cell>
        </row>
      </sheetData>
      <sheetData sheetId="366">
        <row r="11">
          <cell r="H11">
            <v>0.9</v>
          </cell>
        </row>
      </sheetData>
      <sheetData sheetId="367">
        <row r="11">
          <cell r="H11">
            <v>0.9</v>
          </cell>
        </row>
      </sheetData>
      <sheetData sheetId="368">
        <row r="11">
          <cell r="H11">
            <v>0.9</v>
          </cell>
        </row>
      </sheetData>
      <sheetData sheetId="369">
        <row r="11">
          <cell r="H11">
            <v>0.9</v>
          </cell>
        </row>
      </sheetData>
      <sheetData sheetId="370">
        <row r="11">
          <cell r="H11">
            <v>0.9</v>
          </cell>
        </row>
      </sheetData>
      <sheetData sheetId="371">
        <row r="11">
          <cell r="H11">
            <v>0.9</v>
          </cell>
        </row>
      </sheetData>
      <sheetData sheetId="372">
        <row r="11">
          <cell r="H11">
            <v>0.9</v>
          </cell>
        </row>
      </sheetData>
      <sheetData sheetId="373">
        <row r="11">
          <cell r="H11">
            <v>0.9</v>
          </cell>
        </row>
      </sheetData>
      <sheetData sheetId="374">
        <row r="11">
          <cell r="H11">
            <v>0.9</v>
          </cell>
        </row>
      </sheetData>
      <sheetData sheetId="375">
        <row r="11">
          <cell r="H11">
            <v>0.9</v>
          </cell>
        </row>
      </sheetData>
      <sheetData sheetId="376">
        <row r="11">
          <cell r="H11">
            <v>0.9</v>
          </cell>
        </row>
      </sheetData>
      <sheetData sheetId="377">
        <row r="11">
          <cell r="H11">
            <v>0.9</v>
          </cell>
        </row>
      </sheetData>
      <sheetData sheetId="378">
        <row r="11">
          <cell r="H11">
            <v>0.9</v>
          </cell>
        </row>
      </sheetData>
      <sheetData sheetId="379">
        <row r="11">
          <cell r="H11">
            <v>0.9</v>
          </cell>
        </row>
      </sheetData>
      <sheetData sheetId="380">
        <row r="11">
          <cell r="H11">
            <v>0.9</v>
          </cell>
        </row>
      </sheetData>
      <sheetData sheetId="381">
        <row r="11">
          <cell r="H11">
            <v>0.9</v>
          </cell>
        </row>
      </sheetData>
      <sheetData sheetId="382">
        <row r="11">
          <cell r="H11">
            <v>0.9</v>
          </cell>
        </row>
      </sheetData>
      <sheetData sheetId="383">
        <row r="11">
          <cell r="H11">
            <v>0.9</v>
          </cell>
        </row>
      </sheetData>
      <sheetData sheetId="384">
        <row r="11">
          <cell r="H11">
            <v>0.9</v>
          </cell>
        </row>
      </sheetData>
      <sheetData sheetId="385">
        <row r="11">
          <cell r="H11">
            <v>0.9</v>
          </cell>
        </row>
      </sheetData>
      <sheetData sheetId="386">
        <row r="11">
          <cell r="H11">
            <v>0.9</v>
          </cell>
        </row>
      </sheetData>
      <sheetData sheetId="387">
        <row r="11">
          <cell r="H11">
            <v>0.9</v>
          </cell>
        </row>
      </sheetData>
      <sheetData sheetId="388">
        <row r="11">
          <cell r="H11">
            <v>0.9</v>
          </cell>
        </row>
      </sheetData>
      <sheetData sheetId="389">
        <row r="11">
          <cell r="H11">
            <v>0.9</v>
          </cell>
        </row>
      </sheetData>
      <sheetData sheetId="390">
        <row r="11">
          <cell r="H11">
            <v>0.9</v>
          </cell>
        </row>
      </sheetData>
      <sheetData sheetId="391">
        <row r="11">
          <cell r="H11">
            <v>0.9</v>
          </cell>
        </row>
      </sheetData>
      <sheetData sheetId="392">
        <row r="11">
          <cell r="H11">
            <v>0.9</v>
          </cell>
        </row>
      </sheetData>
      <sheetData sheetId="393">
        <row r="11">
          <cell r="H11">
            <v>0.9</v>
          </cell>
        </row>
      </sheetData>
      <sheetData sheetId="394">
        <row r="11">
          <cell r="H11">
            <v>0.9</v>
          </cell>
        </row>
      </sheetData>
      <sheetData sheetId="395">
        <row r="11">
          <cell r="H11">
            <v>0.9</v>
          </cell>
        </row>
      </sheetData>
      <sheetData sheetId="396">
        <row r="11">
          <cell r="H11">
            <v>0.9</v>
          </cell>
        </row>
      </sheetData>
      <sheetData sheetId="397">
        <row r="11">
          <cell r="H11">
            <v>0.9</v>
          </cell>
        </row>
      </sheetData>
      <sheetData sheetId="398">
        <row r="11">
          <cell r="H11">
            <v>0.9</v>
          </cell>
        </row>
      </sheetData>
      <sheetData sheetId="399">
        <row r="11">
          <cell r="H11">
            <v>0.9</v>
          </cell>
        </row>
      </sheetData>
      <sheetData sheetId="400">
        <row r="11">
          <cell r="H11">
            <v>0.9</v>
          </cell>
        </row>
      </sheetData>
      <sheetData sheetId="401">
        <row r="11">
          <cell r="H11">
            <v>0.9</v>
          </cell>
        </row>
      </sheetData>
      <sheetData sheetId="402">
        <row r="11">
          <cell r="H11">
            <v>0.9</v>
          </cell>
        </row>
      </sheetData>
      <sheetData sheetId="403">
        <row r="11">
          <cell r="H11">
            <v>0.9</v>
          </cell>
        </row>
      </sheetData>
      <sheetData sheetId="404">
        <row r="11">
          <cell r="H11">
            <v>0.9</v>
          </cell>
        </row>
      </sheetData>
      <sheetData sheetId="405">
        <row r="11">
          <cell r="H11">
            <v>0.9</v>
          </cell>
        </row>
      </sheetData>
      <sheetData sheetId="406">
        <row r="11">
          <cell r="H11">
            <v>0.9</v>
          </cell>
        </row>
      </sheetData>
      <sheetData sheetId="407">
        <row r="11">
          <cell r="H11">
            <v>0.9</v>
          </cell>
        </row>
      </sheetData>
      <sheetData sheetId="408">
        <row r="11">
          <cell r="H11">
            <v>0.9</v>
          </cell>
        </row>
      </sheetData>
      <sheetData sheetId="409">
        <row r="11">
          <cell r="H11">
            <v>0.9</v>
          </cell>
        </row>
      </sheetData>
      <sheetData sheetId="410">
        <row r="11">
          <cell r="H11">
            <v>0.9</v>
          </cell>
        </row>
      </sheetData>
      <sheetData sheetId="411">
        <row r="11">
          <cell r="H11">
            <v>0.9</v>
          </cell>
        </row>
      </sheetData>
      <sheetData sheetId="412">
        <row r="11">
          <cell r="H11">
            <v>0.9</v>
          </cell>
        </row>
      </sheetData>
      <sheetData sheetId="413">
        <row r="11">
          <cell r="H11">
            <v>0.9</v>
          </cell>
        </row>
      </sheetData>
      <sheetData sheetId="414">
        <row r="11">
          <cell r="H11">
            <v>0.9</v>
          </cell>
        </row>
      </sheetData>
      <sheetData sheetId="415">
        <row r="11">
          <cell r="H11">
            <v>0.9</v>
          </cell>
        </row>
      </sheetData>
      <sheetData sheetId="416">
        <row r="11">
          <cell r="H11">
            <v>0.9</v>
          </cell>
        </row>
      </sheetData>
      <sheetData sheetId="417">
        <row r="11">
          <cell r="H11">
            <v>0.9</v>
          </cell>
        </row>
      </sheetData>
      <sheetData sheetId="418">
        <row r="11">
          <cell r="H11">
            <v>0.9</v>
          </cell>
        </row>
      </sheetData>
      <sheetData sheetId="419">
        <row r="11">
          <cell r="H11">
            <v>0.9</v>
          </cell>
        </row>
      </sheetData>
      <sheetData sheetId="420">
        <row r="11">
          <cell r="H11">
            <v>0.9</v>
          </cell>
        </row>
      </sheetData>
      <sheetData sheetId="421">
        <row r="11">
          <cell r="H11">
            <v>0.9</v>
          </cell>
        </row>
      </sheetData>
      <sheetData sheetId="422">
        <row r="11">
          <cell r="H11">
            <v>0.9</v>
          </cell>
        </row>
      </sheetData>
      <sheetData sheetId="423">
        <row r="11">
          <cell r="H11">
            <v>0.9</v>
          </cell>
        </row>
      </sheetData>
      <sheetData sheetId="424">
        <row r="11">
          <cell r="H11">
            <v>0.9</v>
          </cell>
        </row>
      </sheetData>
      <sheetData sheetId="425">
        <row r="11">
          <cell r="H11">
            <v>0.9</v>
          </cell>
        </row>
      </sheetData>
      <sheetData sheetId="426">
        <row r="11">
          <cell r="H11">
            <v>0.9</v>
          </cell>
        </row>
      </sheetData>
      <sheetData sheetId="427">
        <row r="11">
          <cell r="H11">
            <v>0.9</v>
          </cell>
        </row>
      </sheetData>
      <sheetData sheetId="428">
        <row r="11">
          <cell r="H11">
            <v>0.9</v>
          </cell>
        </row>
      </sheetData>
      <sheetData sheetId="429">
        <row r="11">
          <cell r="H11">
            <v>0.9</v>
          </cell>
        </row>
      </sheetData>
      <sheetData sheetId="430">
        <row r="11">
          <cell r="H11">
            <v>0.9</v>
          </cell>
        </row>
      </sheetData>
      <sheetData sheetId="431">
        <row r="11">
          <cell r="H11">
            <v>0.9</v>
          </cell>
        </row>
      </sheetData>
      <sheetData sheetId="432">
        <row r="11">
          <cell r="H11">
            <v>0.9</v>
          </cell>
        </row>
      </sheetData>
      <sheetData sheetId="433">
        <row r="11">
          <cell r="H11">
            <v>0.9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>
        <row r="11">
          <cell r="H11">
            <v>0.9</v>
          </cell>
        </row>
      </sheetData>
      <sheetData sheetId="448">
        <row r="11">
          <cell r="H11">
            <v>0.9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11">
          <cell r="H11">
            <v>0.9</v>
          </cell>
        </row>
      </sheetData>
      <sheetData sheetId="456">
        <row r="11">
          <cell r="H11">
            <v>0.9</v>
          </cell>
        </row>
      </sheetData>
      <sheetData sheetId="457">
        <row r="11">
          <cell r="H11">
            <v>0.9</v>
          </cell>
        </row>
      </sheetData>
      <sheetData sheetId="458">
        <row r="11">
          <cell r="H11">
            <v>0.9</v>
          </cell>
        </row>
      </sheetData>
      <sheetData sheetId="459" refreshError="1"/>
      <sheetData sheetId="460" refreshError="1"/>
      <sheetData sheetId="461" refreshError="1"/>
      <sheetData sheetId="462">
        <row r="11">
          <cell r="H11">
            <v>0.9</v>
          </cell>
        </row>
      </sheetData>
      <sheetData sheetId="463">
        <row r="11">
          <cell r="H11">
            <v>0.9</v>
          </cell>
        </row>
      </sheetData>
      <sheetData sheetId="464">
        <row r="11">
          <cell r="H11">
            <v>0.9</v>
          </cell>
        </row>
      </sheetData>
      <sheetData sheetId="465">
        <row r="11">
          <cell r="H11">
            <v>0.9</v>
          </cell>
        </row>
      </sheetData>
      <sheetData sheetId="466">
        <row r="11">
          <cell r="H11">
            <v>0.9</v>
          </cell>
        </row>
      </sheetData>
      <sheetData sheetId="467">
        <row r="11">
          <cell r="H11">
            <v>0.9</v>
          </cell>
        </row>
      </sheetData>
      <sheetData sheetId="468">
        <row r="11">
          <cell r="H11">
            <v>0.9</v>
          </cell>
        </row>
      </sheetData>
      <sheetData sheetId="469">
        <row r="11">
          <cell r="H11">
            <v>0.9</v>
          </cell>
        </row>
      </sheetData>
      <sheetData sheetId="470">
        <row r="11">
          <cell r="H11">
            <v>0.9</v>
          </cell>
        </row>
      </sheetData>
      <sheetData sheetId="471">
        <row r="11">
          <cell r="H11">
            <v>0.9</v>
          </cell>
        </row>
      </sheetData>
      <sheetData sheetId="472">
        <row r="11">
          <cell r="H11">
            <v>0.9</v>
          </cell>
        </row>
      </sheetData>
      <sheetData sheetId="473">
        <row r="11">
          <cell r="H11">
            <v>0.9</v>
          </cell>
        </row>
      </sheetData>
      <sheetData sheetId="474">
        <row r="11">
          <cell r="H11">
            <v>0.9</v>
          </cell>
        </row>
      </sheetData>
      <sheetData sheetId="475">
        <row r="11">
          <cell r="H11">
            <v>0.9</v>
          </cell>
        </row>
      </sheetData>
      <sheetData sheetId="476">
        <row r="11">
          <cell r="H11">
            <v>0.9</v>
          </cell>
        </row>
      </sheetData>
      <sheetData sheetId="477">
        <row r="11">
          <cell r="H11">
            <v>0.9</v>
          </cell>
        </row>
      </sheetData>
      <sheetData sheetId="478">
        <row r="11">
          <cell r="H11">
            <v>0.9</v>
          </cell>
        </row>
      </sheetData>
      <sheetData sheetId="479">
        <row r="11">
          <cell r="H11">
            <v>0.9</v>
          </cell>
        </row>
      </sheetData>
      <sheetData sheetId="480">
        <row r="11">
          <cell r="H11">
            <v>0.9</v>
          </cell>
        </row>
      </sheetData>
      <sheetData sheetId="481">
        <row r="11">
          <cell r="H11">
            <v>0.9</v>
          </cell>
        </row>
      </sheetData>
      <sheetData sheetId="482">
        <row r="11">
          <cell r="H11">
            <v>0.9</v>
          </cell>
        </row>
      </sheetData>
      <sheetData sheetId="483">
        <row r="11">
          <cell r="H11">
            <v>0.9</v>
          </cell>
        </row>
      </sheetData>
      <sheetData sheetId="484">
        <row r="11">
          <cell r="H11">
            <v>0.9</v>
          </cell>
        </row>
      </sheetData>
      <sheetData sheetId="485">
        <row r="11">
          <cell r="H11">
            <v>0.9</v>
          </cell>
        </row>
      </sheetData>
      <sheetData sheetId="486">
        <row r="11">
          <cell r="H11">
            <v>0.9</v>
          </cell>
        </row>
      </sheetData>
      <sheetData sheetId="487">
        <row r="11">
          <cell r="H11">
            <v>0.9</v>
          </cell>
        </row>
      </sheetData>
      <sheetData sheetId="488">
        <row r="11">
          <cell r="H11">
            <v>0.9</v>
          </cell>
        </row>
      </sheetData>
      <sheetData sheetId="489">
        <row r="11">
          <cell r="H11">
            <v>0.9</v>
          </cell>
        </row>
      </sheetData>
      <sheetData sheetId="490">
        <row r="11">
          <cell r="H11">
            <v>0.9</v>
          </cell>
        </row>
      </sheetData>
      <sheetData sheetId="491">
        <row r="11">
          <cell r="H11">
            <v>0.9</v>
          </cell>
        </row>
      </sheetData>
      <sheetData sheetId="492">
        <row r="11">
          <cell r="H11">
            <v>0.9</v>
          </cell>
        </row>
      </sheetData>
      <sheetData sheetId="493">
        <row r="11">
          <cell r="H11">
            <v>0.9</v>
          </cell>
        </row>
      </sheetData>
      <sheetData sheetId="494">
        <row r="11">
          <cell r="H11">
            <v>0.9</v>
          </cell>
        </row>
      </sheetData>
      <sheetData sheetId="495">
        <row r="11">
          <cell r="H11">
            <v>0.9</v>
          </cell>
        </row>
      </sheetData>
      <sheetData sheetId="496">
        <row r="11">
          <cell r="H11">
            <v>0.9</v>
          </cell>
        </row>
      </sheetData>
      <sheetData sheetId="497">
        <row r="11">
          <cell r="H11">
            <v>0.9</v>
          </cell>
        </row>
      </sheetData>
      <sheetData sheetId="498">
        <row r="11">
          <cell r="H11">
            <v>0.9</v>
          </cell>
        </row>
      </sheetData>
      <sheetData sheetId="499">
        <row r="11">
          <cell r="H11">
            <v>0.9</v>
          </cell>
        </row>
      </sheetData>
      <sheetData sheetId="500">
        <row r="11">
          <cell r="H11">
            <v>0.9</v>
          </cell>
        </row>
      </sheetData>
      <sheetData sheetId="501">
        <row r="11">
          <cell r="H11">
            <v>0.9</v>
          </cell>
        </row>
      </sheetData>
      <sheetData sheetId="502">
        <row r="11">
          <cell r="H11">
            <v>0.9</v>
          </cell>
        </row>
      </sheetData>
      <sheetData sheetId="503">
        <row r="11">
          <cell r="H11">
            <v>0.9</v>
          </cell>
        </row>
      </sheetData>
      <sheetData sheetId="504">
        <row r="11">
          <cell r="H11">
            <v>0.9</v>
          </cell>
        </row>
      </sheetData>
      <sheetData sheetId="505">
        <row r="11">
          <cell r="H11">
            <v>0.9</v>
          </cell>
        </row>
      </sheetData>
      <sheetData sheetId="506">
        <row r="11">
          <cell r="H11">
            <v>0.9</v>
          </cell>
        </row>
      </sheetData>
      <sheetData sheetId="507">
        <row r="11">
          <cell r="H11">
            <v>0.9</v>
          </cell>
        </row>
      </sheetData>
      <sheetData sheetId="508">
        <row r="11">
          <cell r="H11">
            <v>0.9</v>
          </cell>
        </row>
      </sheetData>
      <sheetData sheetId="509">
        <row r="11">
          <cell r="H11">
            <v>0.9</v>
          </cell>
        </row>
      </sheetData>
      <sheetData sheetId="510">
        <row r="11">
          <cell r="H11">
            <v>0.9</v>
          </cell>
        </row>
      </sheetData>
      <sheetData sheetId="511">
        <row r="11">
          <cell r="H11">
            <v>0.9</v>
          </cell>
        </row>
      </sheetData>
      <sheetData sheetId="512">
        <row r="11">
          <cell r="H11">
            <v>0.9</v>
          </cell>
        </row>
      </sheetData>
      <sheetData sheetId="513">
        <row r="11">
          <cell r="H11">
            <v>0.9</v>
          </cell>
        </row>
      </sheetData>
      <sheetData sheetId="514">
        <row r="11">
          <cell r="H11">
            <v>0.9</v>
          </cell>
        </row>
      </sheetData>
      <sheetData sheetId="515">
        <row r="11">
          <cell r="H11">
            <v>0.9</v>
          </cell>
        </row>
      </sheetData>
      <sheetData sheetId="516">
        <row r="11">
          <cell r="H11">
            <v>0.9</v>
          </cell>
        </row>
      </sheetData>
      <sheetData sheetId="517">
        <row r="11">
          <cell r="H11">
            <v>0.9</v>
          </cell>
        </row>
      </sheetData>
      <sheetData sheetId="518">
        <row r="11">
          <cell r="H11">
            <v>0.9</v>
          </cell>
        </row>
      </sheetData>
      <sheetData sheetId="519">
        <row r="11">
          <cell r="H11">
            <v>0.9</v>
          </cell>
        </row>
      </sheetData>
      <sheetData sheetId="520">
        <row r="11">
          <cell r="H11">
            <v>0.9</v>
          </cell>
        </row>
      </sheetData>
      <sheetData sheetId="521">
        <row r="11">
          <cell r="H11">
            <v>0.9</v>
          </cell>
        </row>
      </sheetData>
      <sheetData sheetId="522">
        <row r="11">
          <cell r="H11">
            <v>0.9</v>
          </cell>
        </row>
      </sheetData>
      <sheetData sheetId="523">
        <row r="11">
          <cell r="H11">
            <v>0.9</v>
          </cell>
        </row>
      </sheetData>
      <sheetData sheetId="524">
        <row r="11">
          <cell r="H11">
            <v>0.9</v>
          </cell>
        </row>
      </sheetData>
      <sheetData sheetId="525">
        <row r="11">
          <cell r="H11">
            <v>0.9</v>
          </cell>
        </row>
      </sheetData>
      <sheetData sheetId="526">
        <row r="11">
          <cell r="H11">
            <v>0.9</v>
          </cell>
        </row>
      </sheetData>
      <sheetData sheetId="527">
        <row r="11">
          <cell r="H11">
            <v>0.9</v>
          </cell>
        </row>
      </sheetData>
      <sheetData sheetId="528">
        <row r="11">
          <cell r="H11">
            <v>0.9</v>
          </cell>
        </row>
      </sheetData>
      <sheetData sheetId="529">
        <row r="11">
          <cell r="H11">
            <v>0.9</v>
          </cell>
        </row>
      </sheetData>
      <sheetData sheetId="530">
        <row r="11">
          <cell r="H11">
            <v>0.9</v>
          </cell>
        </row>
      </sheetData>
      <sheetData sheetId="531">
        <row r="11">
          <cell r="H11">
            <v>0.9</v>
          </cell>
        </row>
      </sheetData>
      <sheetData sheetId="532">
        <row r="11">
          <cell r="H11">
            <v>0.9</v>
          </cell>
        </row>
      </sheetData>
      <sheetData sheetId="533">
        <row r="11">
          <cell r="H11">
            <v>0.9</v>
          </cell>
        </row>
      </sheetData>
      <sheetData sheetId="534">
        <row r="11">
          <cell r="H11">
            <v>0.9</v>
          </cell>
        </row>
      </sheetData>
      <sheetData sheetId="535">
        <row r="11">
          <cell r="H11">
            <v>0.9</v>
          </cell>
        </row>
      </sheetData>
      <sheetData sheetId="536">
        <row r="11">
          <cell r="H11">
            <v>0.9</v>
          </cell>
        </row>
      </sheetData>
      <sheetData sheetId="537">
        <row r="11">
          <cell r="H11">
            <v>0.9</v>
          </cell>
        </row>
      </sheetData>
      <sheetData sheetId="538">
        <row r="11">
          <cell r="H11">
            <v>0.9</v>
          </cell>
        </row>
      </sheetData>
      <sheetData sheetId="539">
        <row r="11">
          <cell r="H11">
            <v>0.9</v>
          </cell>
        </row>
      </sheetData>
      <sheetData sheetId="540">
        <row r="11">
          <cell r="H11">
            <v>0.9</v>
          </cell>
        </row>
      </sheetData>
      <sheetData sheetId="541">
        <row r="11">
          <cell r="H11">
            <v>0.9</v>
          </cell>
        </row>
      </sheetData>
      <sheetData sheetId="542">
        <row r="11">
          <cell r="H11">
            <v>0.9</v>
          </cell>
        </row>
      </sheetData>
      <sheetData sheetId="543">
        <row r="11">
          <cell r="H11">
            <v>0.9</v>
          </cell>
        </row>
      </sheetData>
      <sheetData sheetId="544">
        <row r="11">
          <cell r="H11">
            <v>0.9</v>
          </cell>
        </row>
      </sheetData>
      <sheetData sheetId="545">
        <row r="11">
          <cell r="H11">
            <v>0.9</v>
          </cell>
        </row>
      </sheetData>
      <sheetData sheetId="546">
        <row r="11">
          <cell r="H11">
            <v>0.9</v>
          </cell>
        </row>
      </sheetData>
      <sheetData sheetId="547">
        <row r="11">
          <cell r="H11">
            <v>0.9</v>
          </cell>
        </row>
      </sheetData>
      <sheetData sheetId="548"/>
      <sheetData sheetId="549">
        <row r="11">
          <cell r="H11">
            <v>0.9</v>
          </cell>
        </row>
      </sheetData>
      <sheetData sheetId="550">
        <row r="11">
          <cell r="H11">
            <v>0.9</v>
          </cell>
        </row>
      </sheetData>
      <sheetData sheetId="551">
        <row r="11">
          <cell r="H11">
            <v>0.9</v>
          </cell>
        </row>
      </sheetData>
      <sheetData sheetId="552">
        <row r="11">
          <cell r="H11">
            <v>0.9</v>
          </cell>
        </row>
      </sheetData>
      <sheetData sheetId="553">
        <row r="11">
          <cell r="H11">
            <v>0.9</v>
          </cell>
        </row>
      </sheetData>
      <sheetData sheetId="554">
        <row r="11">
          <cell r="H11">
            <v>0.9</v>
          </cell>
        </row>
      </sheetData>
      <sheetData sheetId="555"/>
      <sheetData sheetId="556">
        <row r="11">
          <cell r="H11">
            <v>0.9</v>
          </cell>
        </row>
      </sheetData>
      <sheetData sheetId="557">
        <row r="11">
          <cell r="H11">
            <v>0.9</v>
          </cell>
        </row>
      </sheetData>
      <sheetData sheetId="558">
        <row r="11">
          <cell r="H11">
            <v>0.9</v>
          </cell>
        </row>
      </sheetData>
      <sheetData sheetId="559"/>
      <sheetData sheetId="560">
        <row r="11">
          <cell r="H11">
            <v>0.9</v>
          </cell>
        </row>
      </sheetData>
      <sheetData sheetId="561">
        <row r="11">
          <cell r="H11">
            <v>0.9</v>
          </cell>
        </row>
      </sheetData>
      <sheetData sheetId="562">
        <row r="11">
          <cell r="H11">
            <v>0.9</v>
          </cell>
        </row>
      </sheetData>
      <sheetData sheetId="563">
        <row r="11">
          <cell r="H11">
            <v>0.9</v>
          </cell>
        </row>
      </sheetData>
      <sheetData sheetId="564">
        <row r="11">
          <cell r="H11">
            <v>0.9</v>
          </cell>
        </row>
      </sheetData>
      <sheetData sheetId="565">
        <row r="11">
          <cell r="H11">
            <v>0.9</v>
          </cell>
        </row>
      </sheetData>
      <sheetData sheetId="566">
        <row r="11">
          <cell r="H11">
            <v>0.9</v>
          </cell>
        </row>
      </sheetData>
      <sheetData sheetId="567">
        <row r="11">
          <cell r="H11">
            <v>0.9</v>
          </cell>
        </row>
      </sheetData>
      <sheetData sheetId="568">
        <row r="11">
          <cell r="H11">
            <v>0.9</v>
          </cell>
        </row>
      </sheetData>
      <sheetData sheetId="569">
        <row r="11">
          <cell r="H11">
            <v>0.9</v>
          </cell>
        </row>
      </sheetData>
      <sheetData sheetId="570">
        <row r="11">
          <cell r="H11">
            <v>0.9</v>
          </cell>
        </row>
      </sheetData>
      <sheetData sheetId="571">
        <row r="11">
          <cell r="H11">
            <v>0.9</v>
          </cell>
        </row>
      </sheetData>
      <sheetData sheetId="572">
        <row r="11">
          <cell r="H11">
            <v>0.9</v>
          </cell>
        </row>
      </sheetData>
      <sheetData sheetId="573">
        <row r="11">
          <cell r="H11">
            <v>0.9</v>
          </cell>
        </row>
      </sheetData>
      <sheetData sheetId="574">
        <row r="11">
          <cell r="H11">
            <v>0.9</v>
          </cell>
        </row>
      </sheetData>
      <sheetData sheetId="575">
        <row r="11">
          <cell r="H11">
            <v>0.9</v>
          </cell>
        </row>
      </sheetData>
      <sheetData sheetId="576">
        <row r="11">
          <cell r="H11">
            <v>0.9</v>
          </cell>
        </row>
      </sheetData>
      <sheetData sheetId="577">
        <row r="11">
          <cell r="H11">
            <v>0.9</v>
          </cell>
        </row>
      </sheetData>
      <sheetData sheetId="578">
        <row r="11">
          <cell r="H11">
            <v>0.9</v>
          </cell>
        </row>
      </sheetData>
      <sheetData sheetId="579">
        <row r="11">
          <cell r="H11">
            <v>0.9</v>
          </cell>
        </row>
      </sheetData>
      <sheetData sheetId="580">
        <row r="11">
          <cell r="H11">
            <v>0.9</v>
          </cell>
        </row>
      </sheetData>
      <sheetData sheetId="581">
        <row r="11">
          <cell r="H11">
            <v>0.9</v>
          </cell>
        </row>
      </sheetData>
      <sheetData sheetId="582" refreshError="1"/>
      <sheetData sheetId="583">
        <row r="11">
          <cell r="H11">
            <v>0.9</v>
          </cell>
        </row>
      </sheetData>
      <sheetData sheetId="584">
        <row r="11">
          <cell r="H11">
            <v>0.9</v>
          </cell>
        </row>
      </sheetData>
      <sheetData sheetId="585" refreshError="1"/>
      <sheetData sheetId="586">
        <row r="11">
          <cell r="H11">
            <v>0.9</v>
          </cell>
        </row>
      </sheetData>
      <sheetData sheetId="587"/>
      <sheetData sheetId="588"/>
      <sheetData sheetId="589"/>
      <sheetData sheetId="590"/>
      <sheetData sheetId="591">
        <row r="11">
          <cell r="H11">
            <v>0.9</v>
          </cell>
        </row>
      </sheetData>
      <sheetData sheetId="592">
        <row r="11">
          <cell r="H11">
            <v>0.9</v>
          </cell>
        </row>
      </sheetData>
      <sheetData sheetId="593">
        <row r="11">
          <cell r="H11">
            <v>0.9</v>
          </cell>
        </row>
      </sheetData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>
        <row r="11">
          <cell r="H11">
            <v>0.9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>
        <row r="11">
          <cell r="H11">
            <v>0.9</v>
          </cell>
        </row>
      </sheetData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11">
          <cell r="H11">
            <v>0.9</v>
          </cell>
        </row>
      </sheetData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>
        <row r="11">
          <cell r="H11">
            <v>0.9</v>
          </cell>
        </row>
      </sheetData>
      <sheetData sheetId="659"/>
      <sheetData sheetId="660"/>
      <sheetData sheetId="661"/>
      <sheetData sheetId="662"/>
      <sheetData sheetId="663"/>
      <sheetData sheetId="66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-NZAla"/>
      <sheetName val="NZALAT+B.AMMAR"/>
      <sheetName val="B.AMMAR "/>
      <sheetName val="Appr-Mghassine"/>
      <sheetName val="Mghassine"/>
      <sheetName val="Hamraoua"/>
      <sheetName val="Appr- SIDI ALI"/>
      <sheetName val="Sidi Ali"/>
      <sheetName val="Récap"/>
      <sheetName val="anc"/>
      <sheetName val="Bache 50 m3_SR1"/>
      <sheetName val="calculs"/>
      <sheetName val="NZALAT+B_AMMAR"/>
      <sheetName val="B_AMMAR_"/>
      <sheetName val="Appr-_SIDI_ALI"/>
      <sheetName val="Sidi_Ali"/>
      <sheetName val="Bache_50_m3_SR1"/>
      <sheetName val="NZALAT+B_AMMAR1"/>
      <sheetName val="B_AMMAR_1"/>
      <sheetName val="Appr-_SIDI_ALI1"/>
      <sheetName val="Sidi_Ali1"/>
      <sheetName val="Bache_50_m3_SR11"/>
      <sheetName val="VRD"/>
      <sheetName val="NZALAT+B_AMMAR3"/>
      <sheetName val="B_AMMAR_3"/>
      <sheetName val="Appr-_SIDI_ALI3"/>
      <sheetName val="Sidi_Ali3"/>
      <sheetName val="NZALAT+B_AMMAR2"/>
      <sheetName val="B_AMMAR_2"/>
      <sheetName val="Appr-_SIDI_ALI2"/>
      <sheetName val="Sidi_Ali2"/>
      <sheetName val="NZALAT+B_AMMAR4"/>
      <sheetName val="B_AMMAR_4"/>
      <sheetName val="Appr-_SIDI_ALI4"/>
      <sheetName val="Sidi_Ali4"/>
      <sheetName val="NZALAT+B_AMMAR6"/>
      <sheetName val="B_AMMAR_6"/>
      <sheetName val="Appr-_SIDI_ALI6"/>
      <sheetName val="Sidi_Ali6"/>
      <sheetName val="NZALAT+B_AMMAR5"/>
      <sheetName val="B_AMMAR_5"/>
      <sheetName val="Appr-_SIDI_ALI5"/>
      <sheetName val="Sidi_Ali5"/>
      <sheetName val="NZALAT+B_AMMAR7"/>
      <sheetName val="B_AMMAR_7"/>
      <sheetName val="Appr-_SIDI_ALI7"/>
      <sheetName val="Sidi_Ali7"/>
      <sheetName val="Macro-cons"/>
      <sheetName val="Tréso actualisée avec tirage"/>
      <sheetName val="Tréso_actualisée_avec_tirage"/>
      <sheetName val="Tréso_actualisée_avec_tirage1"/>
      <sheetName val="Tréso_actualisée_avec_tirage2"/>
      <sheetName val="Tréso_actualisée_avec_tirage3"/>
      <sheetName val="Tréso_actualisée_avec_tirage4"/>
      <sheetName val="Bache_50_m3_SR12"/>
      <sheetName val="Tréso_actualisée_avec_tirage5"/>
      <sheetName val="Bache_50_m3_SR13"/>
      <sheetName val="Param"/>
      <sheetName val="TABLE"/>
      <sheetName val="Nbr "/>
      <sheetName val="NZALAT+B_AMMAR8"/>
      <sheetName val="B_AMMAR_8"/>
      <sheetName val="Appr-_SIDI_ALI8"/>
      <sheetName val="Sidi_Ali8"/>
      <sheetName val="Bache_50_m3_SR14"/>
      <sheetName val="Tréso_actualisée_avec_tirage6"/>
      <sheetName val="PASSERELLE1000"/>
      <sheetName val="GO TM"/>
      <sheetName val="GO_TM"/>
      <sheetName val="GO_TM2"/>
      <sheetName val="GO_TM1"/>
      <sheetName val="GO_TM3"/>
      <sheetName val="Bache_50_m3_SR15"/>
      <sheetName val="GO_TM4"/>
      <sheetName val="Bache_50_m3_SR16"/>
      <sheetName val="Tréso_actualisée_avec_tirage7"/>
      <sheetName val="GO_TM5"/>
      <sheetName val="NZALAT+B_AMMAR9"/>
      <sheetName val="B_AMMAR_9"/>
      <sheetName val="Appr-_SIDI_ALI9"/>
      <sheetName val="Sidi_Ali9"/>
      <sheetName val="Bache_50_m3_SR17"/>
      <sheetName val="Tréso_actualisée_avec_tirage8"/>
      <sheetName val="GO_TM6"/>
      <sheetName val="NZALAT+B_AMMAR10"/>
      <sheetName val="B_AMMAR_10"/>
      <sheetName val="Appr-_SIDI_ALI10"/>
      <sheetName val="Sidi_Ali10"/>
      <sheetName val="Bache_50_m3_SR18"/>
      <sheetName val="Tréso_actualisée_avec_tirage9"/>
      <sheetName val="GO_TM7"/>
      <sheetName val="NZALAT+B_AMMAR11"/>
      <sheetName val="B_AMMAR_11"/>
      <sheetName val="Appr-_SIDI_ALI11"/>
      <sheetName val="Sidi_Ali11"/>
      <sheetName val="Bache_50_m3_SR19"/>
      <sheetName val="Tréso_actualisée_avec_tirage10"/>
      <sheetName val="GO_TM8"/>
      <sheetName val="NZALAT+B_AMMAR12"/>
      <sheetName val="B_AMMAR_12"/>
      <sheetName val="Appr-_SIDI_ALI12"/>
      <sheetName val="Sidi_Ali12"/>
      <sheetName val="Bache_50_m3_SR110"/>
      <sheetName val="Tréso_actualisée_avec_tirage11"/>
      <sheetName val="GO_TM9"/>
      <sheetName val="NZALAT+B_AMMAR13"/>
      <sheetName val="B_AMMAR_13"/>
      <sheetName val="Appr-_SIDI_ALI13"/>
      <sheetName val="Sidi_Ali13"/>
      <sheetName val="Bache_50_m3_SR111"/>
      <sheetName val="Tréso_actualisée_avec_tirage12"/>
      <sheetName val="GO_TM10"/>
      <sheetName val="NZALAT+B_AMMAR14"/>
      <sheetName val="B_AMMAR_14"/>
      <sheetName val="Appr-_SIDI_ALI14"/>
      <sheetName val="Sidi_Ali14"/>
      <sheetName val="Bache_50_m3_SR112"/>
      <sheetName val="Tréso_actualisée_avec_tirage13"/>
      <sheetName val="GO_TM11"/>
      <sheetName val="NZALAT+B_AMMAR15"/>
      <sheetName val="B_AMMAR_15"/>
      <sheetName val="Appr-_SIDI_ALI15"/>
      <sheetName val="Sidi_Ali15"/>
      <sheetName val="Bache_50_m3_SR113"/>
      <sheetName val="Tréso_actualisée_avec_tirage14"/>
      <sheetName val="GO_TM12"/>
      <sheetName val="NZALAT+B_AMMAR16"/>
      <sheetName val="B_AMMAR_16"/>
      <sheetName val="Appr-_SIDI_ALI16"/>
      <sheetName val="Sidi_Ali16"/>
      <sheetName val="Bache_50_m3_SR114"/>
      <sheetName val="Tréso_actualisée_avec_tirage15"/>
      <sheetName val="GO_TM13"/>
      <sheetName val="NZALAT+B_AMMAR17"/>
      <sheetName val="B_AMMAR_17"/>
      <sheetName val="Appr-_SIDI_ALI17"/>
      <sheetName val="Sidi_Ali17"/>
      <sheetName val="Bache_50_m3_SR115"/>
      <sheetName val="Tréso_actualisée_avec_tirage16"/>
      <sheetName val="GO_TM14"/>
      <sheetName val="NZALAT+B_AMMAR18"/>
      <sheetName val="B_AMMAR_18"/>
      <sheetName val="Appr-_SIDI_ALI18"/>
      <sheetName val="Sidi_Ali18"/>
      <sheetName val="Bache_50_m3_SR116"/>
      <sheetName val="Tréso_actualisée_avec_tirage17"/>
      <sheetName val="GO_TM15"/>
      <sheetName val="NZALAT+B_AMMAR19"/>
      <sheetName val="B_AMMAR_19"/>
      <sheetName val="Appr-_SIDI_ALI19"/>
      <sheetName val="Sidi_Ali19"/>
      <sheetName val="Bache_50_m3_SR117"/>
      <sheetName val="Tréso_actualisée_avec_tirage18"/>
      <sheetName val="GO_TM16"/>
      <sheetName val="NZALAT+B_AMMAR20"/>
      <sheetName val="B_AMMAR_20"/>
      <sheetName val="Appr-_SIDI_ALI20"/>
      <sheetName val="Sidi_Ali20"/>
      <sheetName val="Bache_50_m3_SR118"/>
      <sheetName val="Tréso_actualisée_avec_tirage19"/>
      <sheetName val="GO_TM17"/>
      <sheetName val="NZALAT+B_AMMAR23"/>
      <sheetName val="B_AMMAR_23"/>
      <sheetName val="Appr-_SIDI_ALI23"/>
      <sheetName val="Sidi_Ali23"/>
      <sheetName val="Bache_50_m3_SR121"/>
      <sheetName val="Tréso_actualisée_avec_tirage22"/>
      <sheetName val="Nbr_2"/>
      <sheetName val="NZALAT+B_AMMAR22"/>
      <sheetName val="B_AMMAR_22"/>
      <sheetName val="Appr-_SIDI_ALI22"/>
      <sheetName val="Sidi_Ali22"/>
      <sheetName val="Bache_50_m3_SR120"/>
      <sheetName val="Tréso_actualisée_avec_tirage21"/>
      <sheetName val="Nbr_1"/>
      <sheetName val="NZALAT+B_AMMAR21"/>
      <sheetName val="B_AMMAR_21"/>
      <sheetName val="Appr-_SIDI_ALI21"/>
      <sheetName val="Sidi_Ali21"/>
      <sheetName val="Bache_50_m3_SR119"/>
      <sheetName val="Tréso_actualisée_avec_tirage20"/>
      <sheetName val="Nbr_"/>
      <sheetName val="GO_TM18"/>
      <sheetName val="NZALAT+B_AMMAR24"/>
      <sheetName val="B_AMMAR_24"/>
      <sheetName val="Appr-_SIDI_ALI24"/>
      <sheetName val="Sidi_Ali24"/>
      <sheetName val="Bache_50_m3_SR122"/>
      <sheetName val="Tréso_actualisée_avec_tirage23"/>
      <sheetName val="Nbr_3"/>
      <sheetName val="GO_TM19"/>
      <sheetName val="NZALAT+B_AMMAR25"/>
      <sheetName val="B_AMMAR_25"/>
      <sheetName val="Appr-_SIDI_ALI25"/>
      <sheetName val="Sidi_Ali25"/>
      <sheetName val="Bache_50_m3_SR123"/>
      <sheetName val="Tréso_actualisée_avec_tirage24"/>
      <sheetName val="Nbr_4"/>
      <sheetName val="GO_TM20"/>
      <sheetName val="NZALAT+B_AMMAR26"/>
      <sheetName val="B_AMMAR_26"/>
      <sheetName val="Appr-_SIDI_ALI26"/>
      <sheetName val="Sidi_Ali26"/>
      <sheetName val="Bache_50_m3_SR124"/>
      <sheetName val="Tréso_actualisée_avec_tirage25"/>
      <sheetName val="Nbr_5"/>
      <sheetName val="GO_TM21"/>
      <sheetName val="Détail EFCMarrakech palmeraie"/>
      <sheetName val="Retrieve Data"/>
      <sheetName val="Retrieve Data Mensuel"/>
      <sheetName val="Retrieve Snow"/>
      <sheetName val="Retrieve Snow Mensuel"/>
      <sheetName val="P4-cond définitif"/>
      <sheetName val="PU"/>
      <sheetName val="linéaire"/>
      <sheetName val="groupe 2 b-a"/>
      <sheetName val="NZALAT+B_AMMAR32"/>
      <sheetName val="B_AMMAR_32"/>
      <sheetName val="Appr-_SIDI_ALI32"/>
      <sheetName val="Sidi_Ali32"/>
      <sheetName val="Bache_50_m3_SR130"/>
      <sheetName val="Tréso_actualisée_avec_tirage31"/>
      <sheetName val="Nbr_11"/>
      <sheetName val="GO_TM26"/>
      <sheetName val="Détail_EFCMarrakech_palmeraie3"/>
      <sheetName val="Retrieve_Data3"/>
      <sheetName val="Retrieve_Data_Mensuel3"/>
      <sheetName val="Retrieve_Snow3"/>
      <sheetName val="Retrieve_Snow_Mensuel3"/>
      <sheetName val="NZALAT+B_AMMAR27"/>
      <sheetName val="B_AMMAR_27"/>
      <sheetName val="Appr-_SIDI_ALI27"/>
      <sheetName val="Sidi_Ali27"/>
      <sheetName val="Bache_50_m3_SR125"/>
      <sheetName val="Tréso_actualisée_avec_tirage26"/>
      <sheetName val="Nbr_6"/>
      <sheetName val="Détail_EFCMarrakech_palmeraie"/>
      <sheetName val="Retrieve_Data"/>
      <sheetName val="Retrieve_Data_Mensuel"/>
      <sheetName val="Retrieve_Snow"/>
      <sheetName val="Retrieve_Snow_Mensuel"/>
      <sheetName val="NZALAT+B_AMMAR28"/>
      <sheetName val="B_AMMAR_28"/>
      <sheetName val="Appr-_SIDI_ALI28"/>
      <sheetName val="Sidi_Ali28"/>
      <sheetName val="Bache_50_m3_SR126"/>
      <sheetName val="Tréso_actualisée_avec_tirage27"/>
      <sheetName val="Nbr_7"/>
      <sheetName val="GO_TM22"/>
      <sheetName val="NZALAT+B_AMMAR29"/>
      <sheetName val="B_AMMAR_29"/>
      <sheetName val="Appr-_SIDI_ALI29"/>
      <sheetName val="Sidi_Ali29"/>
      <sheetName val="Bache_50_m3_SR127"/>
      <sheetName val="Tréso_actualisée_avec_tirage28"/>
      <sheetName val="Nbr_8"/>
      <sheetName val="GO_TM23"/>
      <sheetName val="Détail_EFCMarrakech_palmeraie1"/>
      <sheetName val="Retrieve_Data1"/>
      <sheetName val="Retrieve_Data_Mensuel1"/>
      <sheetName val="Retrieve_Snow1"/>
      <sheetName val="Retrieve_Snow_Mensuel1"/>
      <sheetName val="NZALAT+B_AMMAR31"/>
      <sheetName val="B_AMMAR_31"/>
      <sheetName val="Appr-_SIDI_ALI31"/>
      <sheetName val="Sidi_Ali31"/>
      <sheetName val="Bache_50_m3_SR129"/>
      <sheetName val="Tréso_actualisée_avec_tirage30"/>
      <sheetName val="Nbr_10"/>
      <sheetName val="GO_TM25"/>
      <sheetName val="NZALAT+B_AMMAR30"/>
      <sheetName val="B_AMMAR_30"/>
      <sheetName val="Appr-_SIDI_ALI30"/>
      <sheetName val="Sidi_Ali30"/>
      <sheetName val="Bache_50_m3_SR128"/>
      <sheetName val="Tréso_actualisée_avec_tirage29"/>
      <sheetName val="Nbr_9"/>
      <sheetName val="GO_TM24"/>
      <sheetName val="Détail_EFCMarrakech_palmeraie2"/>
      <sheetName val="Retrieve_Data2"/>
      <sheetName val="Retrieve_Data_Mensuel2"/>
      <sheetName val="Retrieve_Snow2"/>
      <sheetName val="Retrieve_Snow_Mensuel2"/>
      <sheetName val="RE SEV 50"/>
      <sheetName val="RE_SEV_5020"/>
      <sheetName val="BacheSR3NZ"/>
      <sheetName val="P4-cond_définitif"/>
      <sheetName val="NZALAT+B_AMMAR33"/>
      <sheetName val="B_AMMAR_33"/>
      <sheetName val="Appr-_SIDI_ALI33"/>
      <sheetName val="Sidi_Ali33"/>
      <sheetName val="Bache_50_m3_SR131"/>
      <sheetName val="Tréso_actualisée_avec_tirage32"/>
      <sheetName val="Nbr_12"/>
      <sheetName val="GO_TM27"/>
      <sheetName val="P4-cond_définitif2"/>
      <sheetName val="Détail_EFCMarrakech_palmeraie5"/>
      <sheetName val="Retrieve_Data5"/>
      <sheetName val="Retrieve_Data_Mensuel5"/>
      <sheetName val="Retrieve_Snow5"/>
      <sheetName val="Retrieve_Snow_Mensuel5"/>
      <sheetName val="P4-cond_définitif1"/>
      <sheetName val="Détail_EFCMarrakech_palmeraie4"/>
      <sheetName val="Retrieve_Data4"/>
      <sheetName val="Retrieve_Data_Mensuel4"/>
      <sheetName val="Retrieve_Snow4"/>
      <sheetName val="Retrieve_Snow_Mensuel4"/>
      <sheetName val="NZALAT+B_AMMAR34"/>
      <sheetName val="B_AMMAR_34"/>
      <sheetName val="Appr-_SIDI_ALI34"/>
      <sheetName val="Sidi_Ali34"/>
      <sheetName val="Bache_50_m3_SR132"/>
      <sheetName val="Tréso_actualisée_avec_tirage33"/>
      <sheetName val="Nbr_13"/>
      <sheetName val="GO_TM28"/>
      <sheetName val="Détail_EFCMarrakech_palmeraie6"/>
      <sheetName val="Retrieve_Data6"/>
      <sheetName val="Retrieve_Data_Mensuel6"/>
      <sheetName val="Retrieve_Snow6"/>
      <sheetName val="Retrieve_Snow_Mensuel6"/>
      <sheetName val="DimensRESEAU (2)"/>
      <sheetName val="RE_SEV_50"/>
      <sheetName val="P4-cond_définitif3"/>
      <sheetName val="RE_SEV_501"/>
      <sheetName val="Bache_50_m3_SR133"/>
      <sheetName val="Bache_50_m3_SR134"/>
      <sheetName val="NZALAT+B_AMMAR35"/>
      <sheetName val="B_AMMAR_35"/>
      <sheetName val="Appr-_SIDI_ALI35"/>
      <sheetName val="Sidi_Ali35"/>
      <sheetName val="Tréso_actualisée_avec_tirage34"/>
      <sheetName val="Nbr_14"/>
      <sheetName val="GO_TM29"/>
      <sheetName val="Détail_EFCMarrakech_palmeraie7"/>
      <sheetName val="Retrieve_Data7"/>
      <sheetName val="Retrieve_Data_Mensuel7"/>
      <sheetName val="Retrieve_Snow7"/>
      <sheetName val="Retrieve_Snow_Mensuel7"/>
      <sheetName val="NZALAT+B_AMMAR36"/>
      <sheetName val="B_AMMAR_36"/>
      <sheetName val="Appr-_SIDI_ALI36"/>
      <sheetName val="Sidi_Ali36"/>
      <sheetName val="Tréso_actualisée_avec_tirage35"/>
      <sheetName val="Nbr_15"/>
      <sheetName val="GO_TM30"/>
      <sheetName val="Détail_EFCMarrakech_palmeraie8"/>
      <sheetName val="Retrieve_Data8"/>
      <sheetName val="Retrieve_Data_Mensuel8"/>
      <sheetName val="Retrieve_Snow8"/>
      <sheetName val="Retrieve_Snow_Mensuel8"/>
      <sheetName val="P4-cond_définitif4"/>
      <sheetName val="NZALAT+B_AMMAR37"/>
      <sheetName val="B_AMMAR_37"/>
      <sheetName val="Appr-_SIDI_ALI37"/>
      <sheetName val="Sidi_Ali37"/>
      <sheetName val="Bache_50_m3_SR135"/>
      <sheetName val="Tréso_actualisée_avec_tirage36"/>
      <sheetName val="Nbr_16"/>
      <sheetName val="GO_TM31"/>
      <sheetName val="Détail_EFCMarrakech_palmeraie9"/>
      <sheetName val="Retrieve_Data9"/>
      <sheetName val="Retrieve_Data_Mensuel9"/>
      <sheetName val="Retrieve_Snow9"/>
      <sheetName val="Retrieve_Snow_Mensuel9"/>
      <sheetName val="P4-cond_définitif5"/>
      <sheetName val="groupe_2_b-a"/>
      <sheetName val="Bache"/>
      <sheetName val="D.E1A"/>
      <sheetName val="Réservoir 250m3"/>
      <sheetName val="Macro-colbrook"/>
      <sheetName val="Macro-New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C3">
            <v>100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">
          <cell r="C3">
            <v>100</v>
          </cell>
        </row>
      </sheetData>
      <sheetData sheetId="62">
        <row r="3">
          <cell r="C3">
            <v>100</v>
          </cell>
        </row>
      </sheetData>
      <sheetData sheetId="63">
        <row r="3">
          <cell r="C3">
            <v>100</v>
          </cell>
        </row>
      </sheetData>
      <sheetData sheetId="64">
        <row r="3">
          <cell r="C3">
            <v>100</v>
          </cell>
        </row>
      </sheetData>
      <sheetData sheetId="65"/>
      <sheetData sheetId="66" refreshError="1"/>
      <sheetData sheetId="67" refreshError="1"/>
      <sheetData sheetId="68" refreshError="1"/>
      <sheetData sheetId="69">
        <row r="3">
          <cell r="C3">
            <v>100</v>
          </cell>
        </row>
      </sheetData>
      <sheetData sheetId="70">
        <row r="3">
          <cell r="C3">
            <v>100</v>
          </cell>
        </row>
      </sheetData>
      <sheetData sheetId="71" refreshError="1"/>
      <sheetData sheetId="72">
        <row r="3">
          <cell r="C3">
            <v>100</v>
          </cell>
        </row>
      </sheetData>
      <sheetData sheetId="73" refreshError="1"/>
      <sheetData sheetId="74">
        <row r="3">
          <cell r="C3">
            <v>100</v>
          </cell>
        </row>
      </sheetData>
      <sheetData sheetId="75">
        <row r="3">
          <cell r="C3">
            <v>100</v>
          </cell>
        </row>
      </sheetData>
      <sheetData sheetId="76">
        <row r="3">
          <cell r="C3">
            <v>100</v>
          </cell>
        </row>
      </sheetData>
      <sheetData sheetId="77">
        <row r="3">
          <cell r="C3">
            <v>100</v>
          </cell>
        </row>
      </sheetData>
      <sheetData sheetId="78">
        <row r="3">
          <cell r="C3">
            <v>100</v>
          </cell>
        </row>
      </sheetData>
      <sheetData sheetId="79">
        <row r="3">
          <cell r="C3">
            <v>100</v>
          </cell>
        </row>
      </sheetData>
      <sheetData sheetId="80">
        <row r="3">
          <cell r="C3">
            <v>100</v>
          </cell>
        </row>
      </sheetData>
      <sheetData sheetId="81">
        <row r="3">
          <cell r="C3">
            <v>100</v>
          </cell>
        </row>
      </sheetData>
      <sheetData sheetId="82">
        <row r="3">
          <cell r="C3">
            <v>100</v>
          </cell>
        </row>
      </sheetData>
      <sheetData sheetId="83">
        <row r="3">
          <cell r="C3">
            <v>100</v>
          </cell>
        </row>
      </sheetData>
      <sheetData sheetId="84">
        <row r="3">
          <cell r="C3">
            <v>100</v>
          </cell>
        </row>
      </sheetData>
      <sheetData sheetId="85">
        <row r="3">
          <cell r="C3">
            <v>100</v>
          </cell>
        </row>
      </sheetData>
      <sheetData sheetId="86">
        <row r="3">
          <cell r="C3">
            <v>100</v>
          </cell>
        </row>
      </sheetData>
      <sheetData sheetId="87">
        <row r="3">
          <cell r="C3">
            <v>100</v>
          </cell>
        </row>
      </sheetData>
      <sheetData sheetId="88">
        <row r="3">
          <cell r="C3">
            <v>100</v>
          </cell>
        </row>
      </sheetData>
      <sheetData sheetId="89">
        <row r="3">
          <cell r="C3">
            <v>100</v>
          </cell>
        </row>
      </sheetData>
      <sheetData sheetId="90">
        <row r="3">
          <cell r="C3">
            <v>100</v>
          </cell>
        </row>
      </sheetData>
      <sheetData sheetId="91">
        <row r="3">
          <cell r="C3">
            <v>100</v>
          </cell>
        </row>
      </sheetData>
      <sheetData sheetId="92">
        <row r="3">
          <cell r="C3">
            <v>100</v>
          </cell>
        </row>
      </sheetData>
      <sheetData sheetId="93">
        <row r="3">
          <cell r="C3">
            <v>100</v>
          </cell>
        </row>
      </sheetData>
      <sheetData sheetId="94">
        <row r="3">
          <cell r="C3">
            <v>100</v>
          </cell>
        </row>
      </sheetData>
      <sheetData sheetId="95">
        <row r="3">
          <cell r="C3">
            <v>100</v>
          </cell>
        </row>
      </sheetData>
      <sheetData sheetId="96">
        <row r="3">
          <cell r="C3">
            <v>100</v>
          </cell>
        </row>
      </sheetData>
      <sheetData sheetId="97">
        <row r="3">
          <cell r="C3">
            <v>100</v>
          </cell>
        </row>
      </sheetData>
      <sheetData sheetId="98">
        <row r="3">
          <cell r="C3">
            <v>100</v>
          </cell>
        </row>
      </sheetData>
      <sheetData sheetId="99">
        <row r="3">
          <cell r="C3">
            <v>100</v>
          </cell>
        </row>
      </sheetData>
      <sheetData sheetId="100">
        <row r="3">
          <cell r="C3">
            <v>100</v>
          </cell>
        </row>
      </sheetData>
      <sheetData sheetId="101">
        <row r="3">
          <cell r="C3">
            <v>100</v>
          </cell>
        </row>
      </sheetData>
      <sheetData sheetId="102">
        <row r="3">
          <cell r="C3">
            <v>100</v>
          </cell>
        </row>
      </sheetData>
      <sheetData sheetId="103">
        <row r="3">
          <cell r="C3">
            <v>100</v>
          </cell>
        </row>
      </sheetData>
      <sheetData sheetId="104">
        <row r="3">
          <cell r="C3">
            <v>100</v>
          </cell>
        </row>
      </sheetData>
      <sheetData sheetId="105">
        <row r="3">
          <cell r="C3">
            <v>100</v>
          </cell>
        </row>
      </sheetData>
      <sheetData sheetId="106">
        <row r="3">
          <cell r="C3">
            <v>100</v>
          </cell>
        </row>
      </sheetData>
      <sheetData sheetId="107">
        <row r="3">
          <cell r="C3">
            <v>100</v>
          </cell>
        </row>
      </sheetData>
      <sheetData sheetId="108">
        <row r="3">
          <cell r="C3">
            <v>100</v>
          </cell>
        </row>
      </sheetData>
      <sheetData sheetId="109">
        <row r="3">
          <cell r="C3">
            <v>100</v>
          </cell>
        </row>
      </sheetData>
      <sheetData sheetId="110">
        <row r="3">
          <cell r="C3">
            <v>100</v>
          </cell>
        </row>
      </sheetData>
      <sheetData sheetId="111">
        <row r="3">
          <cell r="C3">
            <v>100</v>
          </cell>
        </row>
      </sheetData>
      <sheetData sheetId="112">
        <row r="3">
          <cell r="C3">
            <v>100</v>
          </cell>
        </row>
      </sheetData>
      <sheetData sheetId="113">
        <row r="3">
          <cell r="C3">
            <v>100</v>
          </cell>
        </row>
      </sheetData>
      <sheetData sheetId="114">
        <row r="3">
          <cell r="C3">
            <v>100</v>
          </cell>
        </row>
      </sheetData>
      <sheetData sheetId="115">
        <row r="3">
          <cell r="C3">
            <v>100</v>
          </cell>
        </row>
      </sheetData>
      <sheetData sheetId="116">
        <row r="3">
          <cell r="C3">
            <v>100</v>
          </cell>
        </row>
      </sheetData>
      <sheetData sheetId="117">
        <row r="3">
          <cell r="C3">
            <v>100</v>
          </cell>
        </row>
      </sheetData>
      <sheetData sheetId="118">
        <row r="3">
          <cell r="C3">
            <v>100</v>
          </cell>
        </row>
      </sheetData>
      <sheetData sheetId="119">
        <row r="3">
          <cell r="C3">
            <v>100</v>
          </cell>
        </row>
      </sheetData>
      <sheetData sheetId="120">
        <row r="3">
          <cell r="C3">
            <v>100</v>
          </cell>
        </row>
      </sheetData>
      <sheetData sheetId="121">
        <row r="3">
          <cell r="C3">
            <v>100</v>
          </cell>
        </row>
      </sheetData>
      <sheetData sheetId="122">
        <row r="3">
          <cell r="C3">
            <v>100</v>
          </cell>
        </row>
      </sheetData>
      <sheetData sheetId="123"/>
      <sheetData sheetId="124">
        <row r="3">
          <cell r="C3">
            <v>100</v>
          </cell>
        </row>
      </sheetData>
      <sheetData sheetId="125">
        <row r="3">
          <cell r="C3">
            <v>100</v>
          </cell>
        </row>
      </sheetData>
      <sheetData sheetId="126">
        <row r="3">
          <cell r="C3">
            <v>100</v>
          </cell>
        </row>
      </sheetData>
      <sheetData sheetId="127">
        <row r="3">
          <cell r="C3">
            <v>100</v>
          </cell>
        </row>
      </sheetData>
      <sheetData sheetId="128">
        <row r="3">
          <cell r="C3">
            <v>100</v>
          </cell>
        </row>
      </sheetData>
      <sheetData sheetId="129">
        <row r="3">
          <cell r="C3">
            <v>100</v>
          </cell>
        </row>
      </sheetData>
      <sheetData sheetId="130">
        <row r="3">
          <cell r="C3">
            <v>100</v>
          </cell>
        </row>
      </sheetData>
      <sheetData sheetId="131">
        <row r="3">
          <cell r="C3">
            <v>100</v>
          </cell>
        </row>
      </sheetData>
      <sheetData sheetId="132">
        <row r="3">
          <cell r="C3">
            <v>100</v>
          </cell>
        </row>
      </sheetData>
      <sheetData sheetId="133">
        <row r="3">
          <cell r="C3">
            <v>100</v>
          </cell>
        </row>
      </sheetData>
      <sheetData sheetId="134">
        <row r="3">
          <cell r="C3">
            <v>100</v>
          </cell>
        </row>
      </sheetData>
      <sheetData sheetId="135">
        <row r="3">
          <cell r="C3">
            <v>100</v>
          </cell>
        </row>
      </sheetData>
      <sheetData sheetId="136">
        <row r="3">
          <cell r="C3">
            <v>100</v>
          </cell>
        </row>
      </sheetData>
      <sheetData sheetId="137">
        <row r="3">
          <cell r="C3">
            <v>100</v>
          </cell>
        </row>
      </sheetData>
      <sheetData sheetId="138">
        <row r="3">
          <cell r="C3">
            <v>100</v>
          </cell>
        </row>
      </sheetData>
      <sheetData sheetId="139">
        <row r="3">
          <cell r="C3">
            <v>100</v>
          </cell>
        </row>
      </sheetData>
      <sheetData sheetId="140">
        <row r="3">
          <cell r="C3">
            <v>100</v>
          </cell>
        </row>
      </sheetData>
      <sheetData sheetId="141">
        <row r="3">
          <cell r="C3">
            <v>100</v>
          </cell>
        </row>
      </sheetData>
      <sheetData sheetId="142">
        <row r="3">
          <cell r="C3">
            <v>100</v>
          </cell>
        </row>
      </sheetData>
      <sheetData sheetId="143">
        <row r="3">
          <cell r="C3">
            <v>100</v>
          </cell>
        </row>
      </sheetData>
      <sheetData sheetId="144">
        <row r="3">
          <cell r="C3">
            <v>100</v>
          </cell>
        </row>
      </sheetData>
      <sheetData sheetId="145">
        <row r="3">
          <cell r="C3">
            <v>100</v>
          </cell>
        </row>
      </sheetData>
      <sheetData sheetId="146">
        <row r="3">
          <cell r="C3">
            <v>100</v>
          </cell>
        </row>
      </sheetData>
      <sheetData sheetId="147">
        <row r="3">
          <cell r="C3">
            <v>100</v>
          </cell>
        </row>
      </sheetData>
      <sheetData sheetId="148">
        <row r="3">
          <cell r="C3">
            <v>100</v>
          </cell>
        </row>
      </sheetData>
      <sheetData sheetId="149">
        <row r="3">
          <cell r="C3">
            <v>100</v>
          </cell>
        </row>
      </sheetData>
      <sheetData sheetId="150">
        <row r="3">
          <cell r="C3">
            <v>100</v>
          </cell>
        </row>
      </sheetData>
      <sheetData sheetId="151">
        <row r="3">
          <cell r="C3">
            <v>100</v>
          </cell>
        </row>
      </sheetData>
      <sheetData sheetId="152">
        <row r="3">
          <cell r="C3">
            <v>100</v>
          </cell>
        </row>
      </sheetData>
      <sheetData sheetId="153">
        <row r="3">
          <cell r="C3">
            <v>100</v>
          </cell>
        </row>
      </sheetData>
      <sheetData sheetId="154">
        <row r="3">
          <cell r="C3">
            <v>100</v>
          </cell>
        </row>
      </sheetData>
      <sheetData sheetId="155">
        <row r="3">
          <cell r="C3">
            <v>100</v>
          </cell>
        </row>
      </sheetData>
      <sheetData sheetId="156">
        <row r="3">
          <cell r="C3">
            <v>100</v>
          </cell>
        </row>
      </sheetData>
      <sheetData sheetId="157">
        <row r="3">
          <cell r="C3">
            <v>100</v>
          </cell>
        </row>
      </sheetData>
      <sheetData sheetId="158">
        <row r="3">
          <cell r="C3">
            <v>100</v>
          </cell>
        </row>
      </sheetData>
      <sheetData sheetId="159">
        <row r="3">
          <cell r="C3">
            <v>100</v>
          </cell>
        </row>
      </sheetData>
      <sheetData sheetId="160">
        <row r="3">
          <cell r="C3">
            <v>100</v>
          </cell>
        </row>
      </sheetData>
      <sheetData sheetId="161">
        <row r="3">
          <cell r="C3">
            <v>100</v>
          </cell>
        </row>
      </sheetData>
      <sheetData sheetId="162">
        <row r="3">
          <cell r="C3">
            <v>100</v>
          </cell>
        </row>
      </sheetData>
      <sheetData sheetId="163">
        <row r="3">
          <cell r="C3">
            <v>100</v>
          </cell>
        </row>
      </sheetData>
      <sheetData sheetId="164">
        <row r="3">
          <cell r="C3">
            <v>100</v>
          </cell>
        </row>
      </sheetData>
      <sheetData sheetId="165">
        <row r="3">
          <cell r="C3">
            <v>100</v>
          </cell>
        </row>
      </sheetData>
      <sheetData sheetId="166">
        <row r="3">
          <cell r="C3">
            <v>100</v>
          </cell>
        </row>
      </sheetData>
      <sheetData sheetId="167">
        <row r="3">
          <cell r="C3">
            <v>100</v>
          </cell>
        </row>
      </sheetData>
      <sheetData sheetId="168">
        <row r="3">
          <cell r="C3">
            <v>100</v>
          </cell>
        </row>
      </sheetData>
      <sheetData sheetId="169">
        <row r="3">
          <cell r="C3">
            <v>100</v>
          </cell>
        </row>
      </sheetData>
      <sheetData sheetId="170">
        <row r="3">
          <cell r="C3">
            <v>100</v>
          </cell>
        </row>
      </sheetData>
      <sheetData sheetId="171">
        <row r="3">
          <cell r="C3">
            <v>100</v>
          </cell>
        </row>
      </sheetData>
      <sheetData sheetId="172">
        <row r="3">
          <cell r="C3">
            <v>100</v>
          </cell>
        </row>
      </sheetData>
      <sheetData sheetId="173">
        <row r="3">
          <cell r="C3">
            <v>100</v>
          </cell>
        </row>
      </sheetData>
      <sheetData sheetId="174">
        <row r="3">
          <cell r="C3">
            <v>100</v>
          </cell>
        </row>
      </sheetData>
      <sheetData sheetId="175">
        <row r="3">
          <cell r="C3">
            <v>100</v>
          </cell>
        </row>
      </sheetData>
      <sheetData sheetId="176">
        <row r="3">
          <cell r="C3">
            <v>100</v>
          </cell>
        </row>
      </sheetData>
      <sheetData sheetId="177">
        <row r="3">
          <cell r="C3">
            <v>100</v>
          </cell>
        </row>
      </sheetData>
      <sheetData sheetId="178">
        <row r="3">
          <cell r="C3">
            <v>100</v>
          </cell>
        </row>
      </sheetData>
      <sheetData sheetId="179">
        <row r="3">
          <cell r="C3">
            <v>100</v>
          </cell>
        </row>
      </sheetData>
      <sheetData sheetId="180">
        <row r="3">
          <cell r="C3">
            <v>100</v>
          </cell>
        </row>
      </sheetData>
      <sheetData sheetId="181">
        <row r="3">
          <cell r="C3">
            <v>100</v>
          </cell>
        </row>
      </sheetData>
      <sheetData sheetId="182">
        <row r="3">
          <cell r="C3">
            <v>100</v>
          </cell>
        </row>
      </sheetData>
      <sheetData sheetId="183">
        <row r="3">
          <cell r="C3">
            <v>100</v>
          </cell>
        </row>
      </sheetData>
      <sheetData sheetId="184">
        <row r="3">
          <cell r="C3">
            <v>100</v>
          </cell>
        </row>
      </sheetData>
      <sheetData sheetId="185">
        <row r="3">
          <cell r="C3">
            <v>100</v>
          </cell>
        </row>
      </sheetData>
      <sheetData sheetId="186">
        <row r="3">
          <cell r="C3">
            <v>100</v>
          </cell>
        </row>
      </sheetData>
      <sheetData sheetId="187">
        <row r="3">
          <cell r="C3">
            <v>100</v>
          </cell>
        </row>
      </sheetData>
      <sheetData sheetId="188">
        <row r="3">
          <cell r="C3">
            <v>100</v>
          </cell>
        </row>
      </sheetData>
      <sheetData sheetId="189">
        <row r="3">
          <cell r="C3">
            <v>100</v>
          </cell>
        </row>
      </sheetData>
      <sheetData sheetId="190">
        <row r="3">
          <cell r="C3">
            <v>100</v>
          </cell>
        </row>
      </sheetData>
      <sheetData sheetId="191">
        <row r="3">
          <cell r="C3">
            <v>100</v>
          </cell>
        </row>
      </sheetData>
      <sheetData sheetId="192">
        <row r="3">
          <cell r="C3">
            <v>100</v>
          </cell>
        </row>
      </sheetData>
      <sheetData sheetId="193">
        <row r="3">
          <cell r="C3">
            <v>100</v>
          </cell>
        </row>
      </sheetData>
      <sheetData sheetId="194">
        <row r="3">
          <cell r="C3">
            <v>100</v>
          </cell>
        </row>
      </sheetData>
      <sheetData sheetId="195">
        <row r="3">
          <cell r="C3">
            <v>100</v>
          </cell>
        </row>
      </sheetData>
      <sheetData sheetId="196">
        <row r="3">
          <cell r="C3">
            <v>100</v>
          </cell>
        </row>
      </sheetData>
      <sheetData sheetId="197">
        <row r="3">
          <cell r="C3">
            <v>100</v>
          </cell>
        </row>
      </sheetData>
      <sheetData sheetId="198">
        <row r="3">
          <cell r="C3">
            <v>100</v>
          </cell>
        </row>
      </sheetData>
      <sheetData sheetId="199">
        <row r="3">
          <cell r="C3">
            <v>100</v>
          </cell>
        </row>
      </sheetData>
      <sheetData sheetId="200">
        <row r="3">
          <cell r="C3">
            <v>100</v>
          </cell>
        </row>
      </sheetData>
      <sheetData sheetId="201">
        <row r="3">
          <cell r="C3">
            <v>100</v>
          </cell>
        </row>
      </sheetData>
      <sheetData sheetId="202">
        <row r="3">
          <cell r="C3">
            <v>100</v>
          </cell>
        </row>
      </sheetData>
      <sheetData sheetId="203">
        <row r="3">
          <cell r="C3">
            <v>100</v>
          </cell>
        </row>
      </sheetData>
      <sheetData sheetId="204">
        <row r="3">
          <cell r="C3">
            <v>100</v>
          </cell>
        </row>
      </sheetData>
      <sheetData sheetId="205">
        <row r="3">
          <cell r="C3">
            <v>100</v>
          </cell>
        </row>
      </sheetData>
      <sheetData sheetId="206">
        <row r="3">
          <cell r="C3">
            <v>100</v>
          </cell>
        </row>
      </sheetData>
      <sheetData sheetId="207" refreshError="1"/>
      <sheetData sheetId="208">
        <row r="3">
          <cell r="C3">
            <v>100</v>
          </cell>
        </row>
      </sheetData>
      <sheetData sheetId="209">
        <row r="3">
          <cell r="C3">
            <v>100</v>
          </cell>
        </row>
      </sheetData>
      <sheetData sheetId="210">
        <row r="3">
          <cell r="C3">
            <v>100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3">
          <cell r="C3">
            <v>100</v>
          </cell>
        </row>
      </sheetData>
      <sheetData sheetId="217">
        <row r="3">
          <cell r="C3">
            <v>100</v>
          </cell>
        </row>
      </sheetData>
      <sheetData sheetId="218">
        <row r="3">
          <cell r="C3">
            <v>100</v>
          </cell>
        </row>
      </sheetData>
      <sheetData sheetId="219">
        <row r="3">
          <cell r="C3">
            <v>100</v>
          </cell>
        </row>
      </sheetData>
      <sheetData sheetId="220">
        <row r="3">
          <cell r="C3">
            <v>100</v>
          </cell>
        </row>
      </sheetData>
      <sheetData sheetId="221">
        <row r="3">
          <cell r="C3">
            <v>100</v>
          </cell>
        </row>
      </sheetData>
      <sheetData sheetId="222">
        <row r="3">
          <cell r="C3">
            <v>100</v>
          </cell>
        </row>
      </sheetData>
      <sheetData sheetId="223">
        <row r="3">
          <cell r="C3">
            <v>100</v>
          </cell>
        </row>
      </sheetData>
      <sheetData sheetId="224">
        <row r="3">
          <cell r="C3">
            <v>100</v>
          </cell>
        </row>
      </sheetData>
      <sheetData sheetId="225">
        <row r="3">
          <cell r="C3">
            <v>100</v>
          </cell>
        </row>
      </sheetData>
      <sheetData sheetId="226">
        <row r="3">
          <cell r="C3">
            <v>100</v>
          </cell>
        </row>
      </sheetData>
      <sheetData sheetId="227">
        <row r="3">
          <cell r="C3">
            <v>100</v>
          </cell>
        </row>
      </sheetData>
      <sheetData sheetId="228">
        <row r="3">
          <cell r="C3">
            <v>100</v>
          </cell>
        </row>
      </sheetData>
      <sheetData sheetId="229">
        <row r="3">
          <cell r="C3">
            <v>100</v>
          </cell>
        </row>
      </sheetData>
      <sheetData sheetId="230">
        <row r="3">
          <cell r="C3">
            <v>100</v>
          </cell>
        </row>
      </sheetData>
      <sheetData sheetId="231">
        <row r="3">
          <cell r="C3">
            <v>100</v>
          </cell>
        </row>
      </sheetData>
      <sheetData sheetId="232">
        <row r="3">
          <cell r="C3">
            <v>100</v>
          </cell>
        </row>
      </sheetData>
      <sheetData sheetId="233">
        <row r="3">
          <cell r="C3">
            <v>100</v>
          </cell>
        </row>
      </sheetData>
      <sheetData sheetId="234">
        <row r="3">
          <cell r="C3">
            <v>100</v>
          </cell>
        </row>
      </sheetData>
      <sheetData sheetId="235">
        <row r="3">
          <cell r="C3">
            <v>100</v>
          </cell>
        </row>
      </sheetData>
      <sheetData sheetId="236">
        <row r="3">
          <cell r="C3">
            <v>100</v>
          </cell>
        </row>
      </sheetData>
      <sheetData sheetId="237">
        <row r="3">
          <cell r="C3">
            <v>100</v>
          </cell>
        </row>
      </sheetData>
      <sheetData sheetId="238">
        <row r="3">
          <cell r="C3">
            <v>100</v>
          </cell>
        </row>
      </sheetData>
      <sheetData sheetId="239">
        <row r="3">
          <cell r="C3">
            <v>100</v>
          </cell>
        </row>
      </sheetData>
      <sheetData sheetId="240">
        <row r="3">
          <cell r="C3">
            <v>100</v>
          </cell>
        </row>
      </sheetData>
      <sheetData sheetId="241">
        <row r="3">
          <cell r="C3">
            <v>100</v>
          </cell>
        </row>
      </sheetData>
      <sheetData sheetId="242">
        <row r="3">
          <cell r="C3">
            <v>100</v>
          </cell>
        </row>
      </sheetData>
      <sheetData sheetId="243">
        <row r="3">
          <cell r="C3">
            <v>100</v>
          </cell>
        </row>
      </sheetData>
      <sheetData sheetId="244">
        <row r="3">
          <cell r="C3">
            <v>100</v>
          </cell>
        </row>
      </sheetData>
      <sheetData sheetId="245">
        <row r="3">
          <cell r="C3">
            <v>100</v>
          </cell>
        </row>
      </sheetData>
      <sheetData sheetId="246">
        <row r="3">
          <cell r="C3">
            <v>100</v>
          </cell>
        </row>
      </sheetData>
      <sheetData sheetId="247">
        <row r="3">
          <cell r="C3">
            <v>100</v>
          </cell>
        </row>
      </sheetData>
      <sheetData sheetId="248">
        <row r="3">
          <cell r="C3">
            <v>100</v>
          </cell>
        </row>
      </sheetData>
      <sheetData sheetId="249">
        <row r="3">
          <cell r="C3">
            <v>100</v>
          </cell>
        </row>
      </sheetData>
      <sheetData sheetId="250">
        <row r="3">
          <cell r="C3">
            <v>100</v>
          </cell>
        </row>
      </sheetData>
      <sheetData sheetId="251">
        <row r="3">
          <cell r="C3">
            <v>100</v>
          </cell>
        </row>
      </sheetData>
      <sheetData sheetId="252">
        <row r="3">
          <cell r="C3">
            <v>100</v>
          </cell>
        </row>
      </sheetData>
      <sheetData sheetId="253">
        <row r="3">
          <cell r="C3">
            <v>100</v>
          </cell>
        </row>
      </sheetData>
      <sheetData sheetId="254">
        <row r="3">
          <cell r="C3">
            <v>100</v>
          </cell>
        </row>
      </sheetData>
      <sheetData sheetId="255">
        <row r="3">
          <cell r="C3">
            <v>100</v>
          </cell>
        </row>
      </sheetData>
      <sheetData sheetId="256">
        <row r="3">
          <cell r="C3">
            <v>100</v>
          </cell>
        </row>
      </sheetData>
      <sheetData sheetId="257">
        <row r="3">
          <cell r="C3">
            <v>100</v>
          </cell>
        </row>
      </sheetData>
      <sheetData sheetId="258">
        <row r="3">
          <cell r="C3">
            <v>100</v>
          </cell>
        </row>
      </sheetData>
      <sheetData sheetId="259">
        <row r="3">
          <cell r="C3">
            <v>100</v>
          </cell>
        </row>
      </sheetData>
      <sheetData sheetId="260">
        <row r="3">
          <cell r="C3">
            <v>100</v>
          </cell>
        </row>
      </sheetData>
      <sheetData sheetId="261">
        <row r="3">
          <cell r="C3">
            <v>100</v>
          </cell>
        </row>
      </sheetData>
      <sheetData sheetId="262">
        <row r="3">
          <cell r="C3">
            <v>100</v>
          </cell>
        </row>
      </sheetData>
      <sheetData sheetId="263">
        <row r="3">
          <cell r="C3">
            <v>100</v>
          </cell>
        </row>
      </sheetData>
      <sheetData sheetId="264">
        <row r="3">
          <cell r="C3">
            <v>100</v>
          </cell>
        </row>
      </sheetData>
      <sheetData sheetId="265">
        <row r="3">
          <cell r="C3">
            <v>100</v>
          </cell>
        </row>
      </sheetData>
      <sheetData sheetId="266">
        <row r="3">
          <cell r="C3">
            <v>100</v>
          </cell>
        </row>
      </sheetData>
      <sheetData sheetId="267">
        <row r="3">
          <cell r="C3">
            <v>100</v>
          </cell>
        </row>
      </sheetData>
      <sheetData sheetId="268">
        <row r="3">
          <cell r="C3">
            <v>100</v>
          </cell>
        </row>
      </sheetData>
      <sheetData sheetId="269">
        <row r="3">
          <cell r="C3">
            <v>100</v>
          </cell>
        </row>
      </sheetData>
      <sheetData sheetId="270">
        <row r="3">
          <cell r="C3">
            <v>100</v>
          </cell>
        </row>
      </sheetData>
      <sheetData sheetId="271">
        <row r="3">
          <cell r="C3">
            <v>100</v>
          </cell>
        </row>
      </sheetData>
      <sheetData sheetId="272">
        <row r="3">
          <cell r="C3">
            <v>100</v>
          </cell>
        </row>
      </sheetData>
      <sheetData sheetId="273">
        <row r="3">
          <cell r="C3">
            <v>100</v>
          </cell>
        </row>
      </sheetData>
      <sheetData sheetId="274">
        <row r="3">
          <cell r="C3">
            <v>100</v>
          </cell>
        </row>
      </sheetData>
      <sheetData sheetId="275">
        <row r="3">
          <cell r="C3">
            <v>100</v>
          </cell>
        </row>
      </sheetData>
      <sheetData sheetId="276">
        <row r="3">
          <cell r="C3">
            <v>100</v>
          </cell>
        </row>
      </sheetData>
      <sheetData sheetId="277">
        <row r="3">
          <cell r="C3">
            <v>100</v>
          </cell>
        </row>
      </sheetData>
      <sheetData sheetId="278">
        <row r="3">
          <cell r="C3">
            <v>100</v>
          </cell>
        </row>
      </sheetData>
      <sheetData sheetId="279">
        <row r="3">
          <cell r="C3">
            <v>100</v>
          </cell>
        </row>
      </sheetData>
      <sheetData sheetId="280">
        <row r="3">
          <cell r="C3">
            <v>100</v>
          </cell>
        </row>
      </sheetData>
      <sheetData sheetId="281">
        <row r="3">
          <cell r="C3">
            <v>100</v>
          </cell>
        </row>
      </sheetData>
      <sheetData sheetId="282">
        <row r="3">
          <cell r="C3">
            <v>100</v>
          </cell>
        </row>
      </sheetData>
      <sheetData sheetId="283" refreshError="1"/>
      <sheetData sheetId="284" refreshError="1"/>
      <sheetData sheetId="285" refreshError="1"/>
      <sheetData sheetId="286">
        <row r="3">
          <cell r="C3">
            <v>100</v>
          </cell>
        </row>
      </sheetData>
      <sheetData sheetId="287">
        <row r="3">
          <cell r="C3">
            <v>100</v>
          </cell>
        </row>
      </sheetData>
      <sheetData sheetId="288">
        <row r="3">
          <cell r="C3">
            <v>100</v>
          </cell>
        </row>
      </sheetData>
      <sheetData sheetId="289">
        <row r="3">
          <cell r="C3">
            <v>100</v>
          </cell>
        </row>
      </sheetData>
      <sheetData sheetId="290">
        <row r="3">
          <cell r="C3">
            <v>100</v>
          </cell>
        </row>
      </sheetData>
      <sheetData sheetId="291">
        <row r="3">
          <cell r="C3">
            <v>100</v>
          </cell>
        </row>
      </sheetData>
      <sheetData sheetId="292">
        <row r="3">
          <cell r="C3">
            <v>100</v>
          </cell>
        </row>
      </sheetData>
      <sheetData sheetId="293">
        <row r="3">
          <cell r="C3">
            <v>100</v>
          </cell>
        </row>
      </sheetData>
      <sheetData sheetId="294">
        <row r="3">
          <cell r="C3">
            <v>100</v>
          </cell>
        </row>
      </sheetData>
      <sheetData sheetId="295">
        <row r="3">
          <cell r="C3">
            <v>100</v>
          </cell>
        </row>
      </sheetData>
      <sheetData sheetId="296">
        <row r="3">
          <cell r="C3">
            <v>100</v>
          </cell>
        </row>
      </sheetData>
      <sheetData sheetId="297">
        <row r="3">
          <cell r="C3">
            <v>100</v>
          </cell>
        </row>
      </sheetData>
      <sheetData sheetId="298">
        <row r="3">
          <cell r="C3">
            <v>100</v>
          </cell>
        </row>
      </sheetData>
      <sheetData sheetId="299">
        <row r="3">
          <cell r="C3">
            <v>100</v>
          </cell>
        </row>
      </sheetData>
      <sheetData sheetId="300">
        <row r="3">
          <cell r="C3">
            <v>100</v>
          </cell>
        </row>
      </sheetData>
      <sheetData sheetId="301">
        <row r="3">
          <cell r="C3">
            <v>100</v>
          </cell>
        </row>
      </sheetData>
      <sheetData sheetId="302">
        <row r="3">
          <cell r="C3">
            <v>100</v>
          </cell>
        </row>
      </sheetData>
      <sheetData sheetId="303">
        <row r="3">
          <cell r="C3">
            <v>100</v>
          </cell>
        </row>
      </sheetData>
      <sheetData sheetId="304">
        <row r="3">
          <cell r="C3">
            <v>100</v>
          </cell>
        </row>
      </sheetData>
      <sheetData sheetId="305">
        <row r="3">
          <cell r="C3">
            <v>100</v>
          </cell>
        </row>
      </sheetData>
      <sheetData sheetId="306"/>
      <sheetData sheetId="307">
        <row r="3">
          <cell r="C3">
            <v>100</v>
          </cell>
        </row>
      </sheetData>
      <sheetData sheetId="308">
        <row r="3">
          <cell r="C3">
            <v>100</v>
          </cell>
        </row>
      </sheetData>
      <sheetData sheetId="309">
        <row r="3">
          <cell r="C3">
            <v>100</v>
          </cell>
        </row>
      </sheetData>
      <sheetData sheetId="310">
        <row r="3">
          <cell r="C3">
            <v>100</v>
          </cell>
        </row>
      </sheetData>
      <sheetData sheetId="311">
        <row r="3">
          <cell r="C3">
            <v>100</v>
          </cell>
        </row>
      </sheetData>
      <sheetData sheetId="312">
        <row r="3">
          <cell r="C3">
            <v>100</v>
          </cell>
        </row>
      </sheetData>
      <sheetData sheetId="313">
        <row r="3">
          <cell r="C3">
            <v>100</v>
          </cell>
        </row>
      </sheetData>
      <sheetData sheetId="314">
        <row r="3">
          <cell r="C3">
            <v>100</v>
          </cell>
        </row>
      </sheetData>
      <sheetData sheetId="315">
        <row r="3">
          <cell r="C3">
            <v>100</v>
          </cell>
        </row>
      </sheetData>
      <sheetData sheetId="316">
        <row r="3">
          <cell r="C3">
            <v>100</v>
          </cell>
        </row>
      </sheetData>
      <sheetData sheetId="317">
        <row r="3">
          <cell r="C3">
            <v>100</v>
          </cell>
        </row>
      </sheetData>
      <sheetData sheetId="318">
        <row r="3">
          <cell r="C3">
            <v>100</v>
          </cell>
        </row>
      </sheetData>
      <sheetData sheetId="319"/>
      <sheetData sheetId="320"/>
      <sheetData sheetId="321"/>
      <sheetData sheetId="322"/>
      <sheetData sheetId="323"/>
      <sheetData sheetId="324">
        <row r="3">
          <cell r="C3">
            <v>100</v>
          </cell>
        </row>
      </sheetData>
      <sheetData sheetId="325">
        <row r="3">
          <cell r="C3">
            <v>100</v>
          </cell>
        </row>
      </sheetData>
      <sheetData sheetId="326">
        <row r="3">
          <cell r="C3">
            <v>100</v>
          </cell>
        </row>
      </sheetData>
      <sheetData sheetId="327">
        <row r="3">
          <cell r="C3">
            <v>100</v>
          </cell>
        </row>
      </sheetData>
      <sheetData sheetId="328">
        <row r="3">
          <cell r="C3">
            <v>100</v>
          </cell>
        </row>
      </sheetData>
      <sheetData sheetId="329">
        <row r="3">
          <cell r="C3">
            <v>100</v>
          </cell>
        </row>
      </sheetData>
      <sheetData sheetId="330">
        <row r="3">
          <cell r="C3">
            <v>100</v>
          </cell>
        </row>
      </sheetData>
      <sheetData sheetId="331"/>
      <sheetData sheetId="332">
        <row r="3">
          <cell r="C3">
            <v>100</v>
          </cell>
        </row>
      </sheetData>
      <sheetData sheetId="333"/>
      <sheetData sheetId="334">
        <row r="3">
          <cell r="C3">
            <v>100</v>
          </cell>
        </row>
      </sheetData>
      <sheetData sheetId="335">
        <row r="3">
          <cell r="C3">
            <v>100</v>
          </cell>
        </row>
      </sheetData>
      <sheetData sheetId="336">
        <row r="3">
          <cell r="C3">
            <v>100</v>
          </cell>
        </row>
      </sheetData>
      <sheetData sheetId="337"/>
      <sheetData sheetId="338">
        <row r="3">
          <cell r="C3">
            <v>100</v>
          </cell>
        </row>
      </sheetData>
      <sheetData sheetId="339">
        <row r="3">
          <cell r="C3">
            <v>100</v>
          </cell>
        </row>
      </sheetData>
      <sheetData sheetId="340">
        <row r="3">
          <cell r="C3">
            <v>100</v>
          </cell>
        </row>
      </sheetData>
      <sheetData sheetId="341">
        <row r="3">
          <cell r="C3">
            <v>100</v>
          </cell>
        </row>
      </sheetData>
      <sheetData sheetId="342">
        <row r="3">
          <cell r="C3">
            <v>100</v>
          </cell>
        </row>
      </sheetData>
      <sheetData sheetId="343"/>
      <sheetData sheetId="344">
        <row r="3">
          <cell r="C3">
            <v>100</v>
          </cell>
        </row>
      </sheetData>
      <sheetData sheetId="345"/>
      <sheetData sheetId="346"/>
      <sheetData sheetId="347"/>
      <sheetData sheetId="348">
        <row r="3">
          <cell r="C3">
            <v>100</v>
          </cell>
        </row>
      </sheetData>
      <sheetData sheetId="349"/>
      <sheetData sheetId="350"/>
      <sheetData sheetId="351">
        <row r="3">
          <cell r="C3">
            <v>100</v>
          </cell>
        </row>
      </sheetData>
      <sheetData sheetId="352">
        <row r="3">
          <cell r="C3">
            <v>100</v>
          </cell>
        </row>
      </sheetData>
      <sheetData sheetId="353">
        <row r="3">
          <cell r="C3">
            <v>100</v>
          </cell>
        </row>
      </sheetData>
      <sheetData sheetId="354">
        <row r="3">
          <cell r="C3">
            <v>100</v>
          </cell>
        </row>
      </sheetData>
      <sheetData sheetId="355"/>
      <sheetData sheetId="356">
        <row r="3">
          <cell r="C3">
            <v>100</v>
          </cell>
        </row>
      </sheetData>
      <sheetData sheetId="357"/>
      <sheetData sheetId="358">
        <row r="3">
          <cell r="C3">
            <v>100</v>
          </cell>
        </row>
      </sheetData>
      <sheetData sheetId="359"/>
      <sheetData sheetId="360"/>
      <sheetData sheetId="361"/>
      <sheetData sheetId="362">
        <row r="3">
          <cell r="C3">
            <v>100</v>
          </cell>
        </row>
      </sheetData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ré"/>
      <sheetName val="AN1"/>
      <sheetName val="AN2"/>
      <sheetName val="AN3"/>
      <sheetName val="AN5"/>
      <sheetName val="situ"/>
    </sheetNames>
    <sheetDataSet>
      <sheetData sheetId="0"/>
      <sheetData sheetId="1"/>
      <sheetData sheetId="2"/>
      <sheetData sheetId="3">
        <row r="6">
          <cell r="H6">
            <v>0.1</v>
          </cell>
        </row>
      </sheetData>
      <sheetData sheetId="4"/>
      <sheetData sheetId="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Generale"/>
      <sheetName val="Lot N°01 GROS OEUVRE"/>
      <sheetName val="Lot N°02 ETANCHEITE"/>
    </sheetNames>
    <sheetDataSet>
      <sheetData sheetId="0">
        <row r="12">
          <cell r="D12">
            <v>20</v>
          </cell>
        </row>
      </sheetData>
      <sheetData sheetId="1"/>
      <sheetData sheetId="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ap Generale"/>
      <sheetName val="Lot N°01 GROS OEUVRE"/>
      <sheetName val="Lot N°02 AMENAGEMENT EXTERIEUR"/>
      <sheetName val="Lot N°03 ETANCHEITE"/>
      <sheetName val="Lot N°04 REVETEMENT"/>
      <sheetName val="Lot N°05 FAUX PLAFOND"/>
      <sheetName val="Lot N°06 MENUISERIE ALUMINIUM"/>
      <sheetName val="Lot N°07 MENUISERIE BOIS"/>
      <sheetName val="Lot N°08 MENUISERIE METALLIQUE"/>
      <sheetName val="Lot N°09 PEINTURE"/>
      <sheetName val="Lot N° 10 FLUIDES"/>
      <sheetName val="Lot N° 11 ELECTRICITE "/>
    </sheetNames>
    <sheetDataSet>
      <sheetData sheetId="0" refreshError="1">
        <row r="12">
          <cell r="D12">
            <v>20</v>
          </cell>
        </row>
        <row r="14">
          <cell r="D14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3217-6694-4ADB-958B-E37DDD5C56F3}">
  <dimension ref="A1:F23"/>
  <sheetViews>
    <sheetView showGridLines="0" tabSelected="1" view="pageBreakPreview" zoomScale="70" zoomScaleNormal="70" zoomScaleSheetLayoutView="70" workbookViewId="0">
      <selection activeCell="B8" sqref="B8"/>
    </sheetView>
  </sheetViews>
  <sheetFormatPr baseColWidth="10" defaultColWidth="10.6640625" defaultRowHeight="14.4" x14ac:dyDescent="0.3"/>
  <cols>
    <col min="1" max="1" width="2.88671875" style="1" customWidth="1"/>
    <col min="2" max="2" width="59.44140625" style="1" customWidth="1"/>
    <col min="3" max="3" width="21" style="1" customWidth="1"/>
    <col min="4" max="4" width="11" style="1" customWidth="1"/>
    <col min="5" max="5" width="22.33203125" style="1" customWidth="1"/>
    <col min="6" max="6" width="20.88671875" style="1" customWidth="1"/>
    <col min="7" max="8" width="10.6640625" style="1" customWidth="1"/>
    <col min="9" max="16384" width="10.6640625" style="1"/>
  </cols>
  <sheetData>
    <row r="1" spans="1:6" x14ac:dyDescent="0.3">
      <c r="B1" s="46"/>
    </row>
    <row r="2" spans="1:6" x14ac:dyDescent="0.3">
      <c r="B2" s="46"/>
    </row>
    <row r="4" spans="1:6" x14ac:dyDescent="0.3">
      <c r="B4" s="46" t="s">
        <v>69</v>
      </c>
    </row>
    <row r="5" spans="1:6" x14ac:dyDescent="0.3">
      <c r="B5" s="517" t="s">
        <v>765</v>
      </c>
      <c r="C5" s="517"/>
      <c r="D5" s="517"/>
      <c r="E5" s="98"/>
      <c r="F5" s="98"/>
    </row>
    <row r="6" spans="1:6" x14ac:dyDescent="0.3">
      <c r="B6" s="46"/>
    </row>
    <row r="7" spans="1:6" ht="28.8" x14ac:dyDescent="0.3">
      <c r="B7" s="46" t="s">
        <v>766</v>
      </c>
    </row>
    <row r="8" spans="1:6" x14ac:dyDescent="0.3">
      <c r="B8" s="46"/>
    </row>
    <row r="9" spans="1:6" ht="28.8" x14ac:dyDescent="0.3">
      <c r="B9" s="46" t="s">
        <v>767</v>
      </c>
    </row>
    <row r="10" spans="1:6" ht="15" thickBot="1" x14ac:dyDescent="0.35">
      <c r="B10" s="152"/>
      <c r="C10" s="152"/>
      <c r="D10" s="152"/>
      <c r="E10" s="152"/>
      <c r="F10" s="152"/>
    </row>
    <row r="11" spans="1:6" ht="53.25" customHeight="1" thickBot="1" x14ac:dyDescent="0.35">
      <c r="A11" s="152"/>
      <c r="B11" s="153" t="s">
        <v>70</v>
      </c>
      <c r="C11" s="434" t="s">
        <v>507</v>
      </c>
      <c r="D11" s="434" t="s">
        <v>68</v>
      </c>
      <c r="E11" s="434" t="s">
        <v>508</v>
      </c>
      <c r="F11" s="435" t="s">
        <v>509</v>
      </c>
    </row>
    <row r="12" spans="1:6" ht="35.1" customHeight="1" x14ac:dyDescent="0.3">
      <c r="A12" s="152"/>
      <c r="B12" s="440" t="s">
        <v>510</v>
      </c>
      <c r="C12" s="442">
        <f>+'Lot N°01 GROS OEUVRE '!G127</f>
        <v>0</v>
      </c>
      <c r="D12" s="443">
        <v>0.2</v>
      </c>
      <c r="E12" s="442">
        <f>+C12*20%</f>
        <v>0</v>
      </c>
      <c r="F12" s="441">
        <f>+C12+E12</f>
        <v>0</v>
      </c>
    </row>
    <row r="13" spans="1:6" ht="35.1" customHeight="1" x14ac:dyDescent="0.3">
      <c r="A13" s="152"/>
      <c r="B13" s="440" t="s">
        <v>511</v>
      </c>
      <c r="C13" s="444">
        <f>+'Lot N°02 ETANCHEITE'!G16</f>
        <v>0</v>
      </c>
      <c r="D13" s="445">
        <v>0.2</v>
      </c>
      <c r="E13" s="444">
        <f t="shared" ref="E13:E22" si="0">+C13*20%</f>
        <v>0</v>
      </c>
      <c r="F13" s="441">
        <f t="shared" ref="F13:F22" si="1">+C13+E13</f>
        <v>0</v>
      </c>
    </row>
    <row r="14" spans="1:6" ht="35.1" customHeight="1" x14ac:dyDescent="0.3">
      <c r="A14" s="152"/>
      <c r="B14" s="440" t="s">
        <v>512</v>
      </c>
      <c r="C14" s="444">
        <f>+'Lot N03 CHARPENTE METALLIQUE '!G24</f>
        <v>0</v>
      </c>
      <c r="D14" s="445">
        <v>0.2</v>
      </c>
      <c r="E14" s="444">
        <f t="shared" si="0"/>
        <v>0</v>
      </c>
      <c r="F14" s="441">
        <f t="shared" si="1"/>
        <v>0</v>
      </c>
    </row>
    <row r="15" spans="1:6" ht="35.1" customHeight="1" x14ac:dyDescent="0.3">
      <c r="A15" s="152"/>
      <c r="B15" s="440" t="s">
        <v>513</v>
      </c>
      <c r="C15" s="510">
        <f>+'Lot N°04 FLUIDES'!G344</f>
        <v>0</v>
      </c>
      <c r="D15" s="511">
        <v>0.2</v>
      </c>
      <c r="E15" s="510">
        <f t="shared" si="0"/>
        <v>0</v>
      </c>
      <c r="F15" s="512">
        <f t="shared" si="1"/>
        <v>0</v>
      </c>
    </row>
    <row r="16" spans="1:6" ht="35.1" customHeight="1" x14ac:dyDescent="0.3">
      <c r="A16" s="152"/>
      <c r="B16" s="440" t="s">
        <v>514</v>
      </c>
      <c r="C16" s="444">
        <f>+'Lot N° 05 ELECTRICITE'!G253</f>
        <v>0</v>
      </c>
      <c r="D16" s="445">
        <v>0.2</v>
      </c>
      <c r="E16" s="444">
        <f t="shared" si="0"/>
        <v>0</v>
      </c>
      <c r="F16" s="441">
        <f t="shared" si="1"/>
        <v>0</v>
      </c>
    </row>
    <row r="17" spans="1:6" ht="35.1" customHeight="1" x14ac:dyDescent="0.3">
      <c r="A17" s="152"/>
      <c r="B17" s="440" t="s">
        <v>515</v>
      </c>
      <c r="C17" s="444">
        <f>+'Lot N° 06 REVETEMENT'!G31</f>
        <v>0</v>
      </c>
      <c r="D17" s="445">
        <v>0.2</v>
      </c>
      <c r="E17" s="444">
        <f t="shared" si="0"/>
        <v>0</v>
      </c>
      <c r="F17" s="441">
        <f t="shared" si="1"/>
        <v>0</v>
      </c>
    </row>
    <row r="18" spans="1:6" ht="35.1" customHeight="1" x14ac:dyDescent="0.3">
      <c r="A18" s="152"/>
      <c r="B18" s="440" t="s">
        <v>516</v>
      </c>
      <c r="C18" s="444">
        <f>+'Lot N° 07 MENUISERIE BOIS'!G16</f>
        <v>0</v>
      </c>
      <c r="D18" s="445">
        <v>0.2</v>
      </c>
      <c r="E18" s="444">
        <f t="shared" si="0"/>
        <v>0</v>
      </c>
      <c r="F18" s="441">
        <f t="shared" si="1"/>
        <v>0</v>
      </c>
    </row>
    <row r="19" spans="1:6" ht="35.1" customHeight="1" x14ac:dyDescent="0.3">
      <c r="A19" s="152"/>
      <c r="B19" s="440" t="s">
        <v>517</v>
      </c>
      <c r="C19" s="444">
        <f>+'Lot N° 08 MENUISERIE ALUM'!G19</f>
        <v>0</v>
      </c>
      <c r="D19" s="445">
        <v>0.2</v>
      </c>
      <c r="E19" s="444">
        <f t="shared" si="0"/>
        <v>0</v>
      </c>
      <c r="F19" s="441">
        <f t="shared" si="1"/>
        <v>0</v>
      </c>
    </row>
    <row r="20" spans="1:6" ht="35.1" customHeight="1" x14ac:dyDescent="0.3">
      <c r="A20" s="152"/>
      <c r="B20" s="440" t="s">
        <v>518</v>
      </c>
      <c r="C20" s="444">
        <f>+'Lot N° 09 MENUISERIE METAL'!G51</f>
        <v>0</v>
      </c>
      <c r="D20" s="445">
        <v>0.2</v>
      </c>
      <c r="E20" s="444">
        <f t="shared" si="0"/>
        <v>0</v>
      </c>
      <c r="F20" s="441">
        <f t="shared" si="1"/>
        <v>0</v>
      </c>
    </row>
    <row r="21" spans="1:6" ht="35.1" customHeight="1" x14ac:dyDescent="0.3">
      <c r="A21" s="152"/>
      <c r="B21" s="440" t="s">
        <v>519</v>
      </c>
      <c r="C21" s="444">
        <f>+'Lot N°10 FAUX PLAFOND'!G13</f>
        <v>0</v>
      </c>
      <c r="D21" s="445">
        <v>0.2</v>
      </c>
      <c r="E21" s="444">
        <f t="shared" si="0"/>
        <v>0</v>
      </c>
      <c r="F21" s="441">
        <f t="shared" si="1"/>
        <v>0</v>
      </c>
    </row>
    <row r="22" spans="1:6" ht="35.1" customHeight="1" thickBot="1" x14ac:dyDescent="0.35">
      <c r="A22" s="152"/>
      <c r="B22" s="440" t="s">
        <v>520</v>
      </c>
      <c r="C22" s="446">
        <f>+'Lot N°11 PEINTURE'!G21</f>
        <v>0</v>
      </c>
      <c r="D22" s="447">
        <v>0.2</v>
      </c>
      <c r="E22" s="446">
        <f t="shared" si="0"/>
        <v>0</v>
      </c>
      <c r="F22" s="441">
        <f t="shared" si="1"/>
        <v>0</v>
      </c>
    </row>
    <row r="23" spans="1:6" ht="34.5" customHeight="1" thickBot="1" x14ac:dyDescent="0.35">
      <c r="A23" s="152"/>
      <c r="B23" s="436" t="s">
        <v>521</v>
      </c>
      <c r="C23" s="437">
        <f>SUM(C12:C22)</f>
        <v>0</v>
      </c>
      <c r="D23" s="438"/>
      <c r="E23" s="437">
        <f>SUM(E12:E22)</f>
        <v>0</v>
      </c>
      <c r="F23" s="439">
        <f>SUM(F12:F22)</f>
        <v>0</v>
      </c>
    </row>
  </sheetData>
  <mergeCells count="1">
    <mergeCell ref="B5:D5"/>
  </mergeCells>
  <printOptions horizontalCentered="1"/>
  <pageMargins left="0" right="0" top="0.39370078740157483" bottom="0.39370078740157483" header="0.74803149606299213" footer="0.74803149606299213"/>
  <pageSetup paperSize="9" scale="70" firstPageNumber="218" fitToWidth="3" orientation="portrait" useFirstPageNumber="1" horizontalDpi="300" verticalDpi="300" r:id="rId1"/>
  <headerFooter>
    <oddFooter>&amp;LB.E.T.B&amp;RPage -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9088-FFE6-4ACF-B3E2-9A8A28977740}">
  <dimension ref="A1:ZQ132"/>
  <sheetViews>
    <sheetView showGridLines="0" view="pageBreakPreview" zoomScale="78" zoomScaleNormal="90" zoomScaleSheetLayoutView="78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E16" sqref="E6:E16"/>
    </sheetView>
  </sheetViews>
  <sheetFormatPr baseColWidth="10" defaultColWidth="10.6640625" defaultRowHeight="14.4" x14ac:dyDescent="0.3"/>
  <cols>
    <col min="1" max="1" width="9.6640625" style="1" customWidth="1"/>
    <col min="2" max="2" width="56.6640625" style="1" customWidth="1"/>
    <col min="3" max="3" width="4.6640625" style="48" customWidth="1"/>
    <col min="4" max="4" width="11.5546875" style="162" customWidth="1"/>
    <col min="5" max="5" width="13" style="47" bestFit="1" customWidth="1"/>
    <col min="6" max="6" width="12.109375" style="1" customWidth="1"/>
    <col min="7" max="7" width="16.88671875" style="171" bestFit="1" customWidth="1"/>
    <col min="8" max="689" width="10.6640625" style="1"/>
    <col min="690" max="692" width="10.6640625" style="1" customWidth="1"/>
    <col min="693" max="16384" width="10.6640625" style="1"/>
  </cols>
  <sheetData>
    <row r="1" spans="1:691" s="60" customFormat="1" ht="66.599999999999994" customHeight="1" x14ac:dyDescent="0.3">
      <c r="A1" s="518"/>
      <c r="B1" s="519"/>
      <c r="C1" s="519"/>
      <c r="D1" s="519"/>
      <c r="E1" s="519"/>
      <c r="F1" s="519"/>
      <c r="G1" s="520"/>
    </row>
    <row r="2" spans="1:691" ht="43.2" x14ac:dyDescent="0.3">
      <c r="A2" s="2"/>
      <c r="B2" s="3" t="s">
        <v>7</v>
      </c>
      <c r="C2" s="4" t="s">
        <v>0</v>
      </c>
      <c r="D2" s="154" t="s">
        <v>162</v>
      </c>
      <c r="E2" s="6" t="s">
        <v>8</v>
      </c>
      <c r="F2" s="7" t="s">
        <v>173</v>
      </c>
      <c r="G2" s="163" t="s">
        <v>163</v>
      </c>
    </row>
    <row r="3" spans="1:691" x14ac:dyDescent="0.3">
      <c r="A3" s="8"/>
      <c r="B3" s="9"/>
      <c r="C3" s="10"/>
      <c r="D3" s="155"/>
      <c r="E3" s="11"/>
      <c r="F3" s="12"/>
      <c r="G3" s="164"/>
    </row>
    <row r="4" spans="1:691" ht="15.6" x14ac:dyDescent="0.3">
      <c r="A4" s="13"/>
      <c r="B4" s="14" t="s">
        <v>10</v>
      </c>
      <c r="C4" s="15"/>
      <c r="D4" s="156"/>
      <c r="E4" s="73"/>
      <c r="F4" s="18"/>
      <c r="G4" s="165"/>
      <c r="ZO4" s="19"/>
    </row>
    <row r="5" spans="1:691" x14ac:dyDescent="0.3">
      <c r="A5" s="20" t="s">
        <v>11</v>
      </c>
      <c r="B5" s="21" t="s">
        <v>5</v>
      </c>
      <c r="C5" s="15"/>
      <c r="D5" s="156"/>
      <c r="E5" s="73"/>
      <c r="F5" s="18"/>
      <c r="G5" s="166"/>
      <c r="ZO5" s="19"/>
    </row>
    <row r="6" spans="1:691" s="55" customFormat="1" ht="10.5" customHeight="1" x14ac:dyDescent="0.3">
      <c r="A6" s="51"/>
      <c r="B6" s="52"/>
      <c r="C6" s="53"/>
      <c r="D6" s="156"/>
      <c r="E6" s="73"/>
      <c r="F6" s="18"/>
      <c r="G6" s="166"/>
      <c r="ZO6" s="56"/>
    </row>
    <row r="7" spans="1:691" s="104" customFormat="1" x14ac:dyDescent="0.3">
      <c r="A7" s="93" t="s">
        <v>12</v>
      </c>
      <c r="B7" s="102" t="s">
        <v>131</v>
      </c>
      <c r="C7" s="103"/>
      <c r="D7" s="157"/>
      <c r="E7" s="73"/>
      <c r="F7" s="18"/>
      <c r="G7" s="166"/>
      <c r="ZL7" s="104" t="s">
        <v>80</v>
      </c>
      <c r="ZM7" s="105"/>
    </row>
    <row r="8" spans="1:691" s="104" customFormat="1" x14ac:dyDescent="0.3">
      <c r="A8" s="93"/>
      <c r="B8" s="29" t="s">
        <v>75</v>
      </c>
      <c r="C8" s="103" t="s">
        <v>134</v>
      </c>
      <c r="D8" s="157">
        <v>4185</v>
      </c>
      <c r="E8" s="74"/>
      <c r="F8" s="18"/>
      <c r="G8" s="167">
        <f t="shared" ref="G8:G14" si="0">D8*E8</f>
        <v>0</v>
      </c>
      <c r="ZM8" s="105"/>
    </row>
    <row r="9" spans="1:691" ht="24" customHeight="1" x14ac:dyDescent="0.3">
      <c r="A9" s="22" t="s">
        <v>77</v>
      </c>
      <c r="B9" s="23" t="s">
        <v>16</v>
      </c>
      <c r="C9" s="15"/>
      <c r="D9" s="159"/>
      <c r="E9" s="74"/>
      <c r="F9" s="18"/>
      <c r="G9" s="167"/>
      <c r="ZO9" s="19"/>
    </row>
    <row r="10" spans="1:691" x14ac:dyDescent="0.3">
      <c r="A10" s="24"/>
      <c r="B10" s="25" t="s">
        <v>86</v>
      </c>
      <c r="C10" s="26" t="s">
        <v>14</v>
      </c>
      <c r="D10" s="158">
        <v>650</v>
      </c>
      <c r="E10" s="74"/>
      <c r="F10" s="27"/>
      <c r="G10" s="167">
        <f t="shared" si="0"/>
        <v>0</v>
      </c>
      <c r="ZO10" s="19"/>
    </row>
    <row r="11" spans="1:691" x14ac:dyDescent="0.3">
      <c r="A11" s="28"/>
      <c r="B11" s="29" t="s">
        <v>72</v>
      </c>
      <c r="C11" s="15"/>
      <c r="D11" s="156"/>
      <c r="E11" s="74"/>
      <c r="F11" s="18"/>
      <c r="G11" s="167"/>
    </row>
    <row r="12" spans="1:691" x14ac:dyDescent="0.3">
      <c r="A12" s="24"/>
      <c r="B12" s="25" t="s">
        <v>128</v>
      </c>
      <c r="C12" s="26" t="s">
        <v>14</v>
      </c>
      <c r="D12" s="159">
        <v>66</v>
      </c>
      <c r="E12" s="74"/>
      <c r="F12" s="27"/>
      <c r="G12" s="167">
        <f t="shared" si="0"/>
        <v>0</v>
      </c>
      <c r="ZO12" s="19"/>
    </row>
    <row r="13" spans="1:691" x14ac:dyDescent="0.3">
      <c r="A13" s="28"/>
      <c r="B13" s="29" t="s">
        <v>72</v>
      </c>
      <c r="C13" s="15"/>
      <c r="D13" s="156"/>
      <c r="E13" s="74"/>
      <c r="F13" s="18"/>
      <c r="G13" s="167"/>
    </row>
    <row r="14" spans="1:691" x14ac:dyDescent="0.3">
      <c r="A14" s="22" t="s">
        <v>123</v>
      </c>
      <c r="B14" s="23" t="s">
        <v>1</v>
      </c>
      <c r="C14" s="15" t="s">
        <v>14</v>
      </c>
      <c r="D14" s="156">
        <f>+D12+D10</f>
        <v>716</v>
      </c>
      <c r="E14" s="74"/>
      <c r="F14" s="18"/>
      <c r="G14" s="167">
        <f t="shared" si="0"/>
        <v>0</v>
      </c>
      <c r="ZO14" s="19"/>
    </row>
    <row r="15" spans="1:691" x14ac:dyDescent="0.3">
      <c r="A15" s="28"/>
      <c r="B15" s="29" t="s">
        <v>15</v>
      </c>
      <c r="C15" s="15"/>
      <c r="D15" s="156"/>
      <c r="E15" s="74"/>
      <c r="F15" s="18"/>
      <c r="G15" s="167"/>
    </row>
    <row r="16" spans="1:691" x14ac:dyDescent="0.3">
      <c r="A16" s="28"/>
      <c r="B16" s="30"/>
      <c r="C16" s="15"/>
      <c r="D16" s="156"/>
      <c r="E16" s="74"/>
      <c r="F16" s="18"/>
      <c r="G16" s="167"/>
    </row>
    <row r="17" spans="1:691" x14ac:dyDescent="0.3">
      <c r="A17" s="68"/>
      <c r="B17" s="31" t="s">
        <v>108</v>
      </c>
      <c r="C17" s="32"/>
      <c r="D17" s="156"/>
      <c r="E17" s="74"/>
      <c r="F17" s="18"/>
      <c r="G17" s="168">
        <f>SUM(G5:G15)</f>
        <v>0</v>
      </c>
    </row>
    <row r="18" spans="1:691" x14ac:dyDescent="0.3">
      <c r="A18" s="33"/>
      <c r="B18" s="34"/>
      <c r="C18" s="15"/>
      <c r="D18" s="156"/>
      <c r="E18" s="74"/>
      <c r="F18" s="18"/>
      <c r="G18" s="164"/>
    </row>
    <row r="19" spans="1:691" x14ac:dyDescent="0.3">
      <c r="A19" s="20" t="s">
        <v>18</v>
      </c>
      <c r="B19" s="21" t="s">
        <v>2</v>
      </c>
      <c r="C19" s="15"/>
      <c r="D19" s="156"/>
      <c r="E19" s="74"/>
      <c r="F19" s="18"/>
      <c r="G19" s="167"/>
      <c r="ZO19" s="19"/>
    </row>
    <row r="20" spans="1:691" x14ac:dyDescent="0.3">
      <c r="A20" s="22" t="s">
        <v>19</v>
      </c>
      <c r="B20" s="23" t="s">
        <v>20</v>
      </c>
      <c r="C20" s="15"/>
      <c r="D20" s="156"/>
      <c r="E20" s="74"/>
      <c r="F20" s="18"/>
      <c r="G20" s="167"/>
      <c r="ZO20" s="19"/>
    </row>
    <row r="21" spans="1:691" x14ac:dyDescent="0.3">
      <c r="A21" s="24"/>
      <c r="B21" s="29" t="s">
        <v>15</v>
      </c>
      <c r="C21" s="26" t="s">
        <v>14</v>
      </c>
      <c r="D21" s="156">
        <v>100</v>
      </c>
      <c r="E21" s="74"/>
      <c r="F21" s="27"/>
      <c r="G21" s="167">
        <f>D21*E21</f>
        <v>0</v>
      </c>
      <c r="ZO21" s="19"/>
    </row>
    <row r="22" spans="1:691" x14ac:dyDescent="0.3">
      <c r="A22" s="28"/>
      <c r="B22" s="30"/>
      <c r="C22" s="15"/>
      <c r="D22" s="156"/>
      <c r="E22" s="74"/>
      <c r="F22" s="49"/>
      <c r="G22" s="165"/>
    </row>
    <row r="23" spans="1:691" x14ac:dyDescent="0.3">
      <c r="A23" s="68"/>
      <c r="B23" s="31" t="s">
        <v>17</v>
      </c>
      <c r="C23" s="32"/>
      <c r="D23" s="156"/>
      <c r="E23" s="74"/>
      <c r="F23" s="18"/>
      <c r="G23" s="168">
        <f>SUM(G19:G21)</f>
        <v>0</v>
      </c>
    </row>
    <row r="24" spans="1:691" x14ac:dyDescent="0.3">
      <c r="A24" s="33"/>
      <c r="B24" s="34"/>
      <c r="C24" s="15"/>
      <c r="D24" s="156"/>
      <c r="E24" s="74"/>
      <c r="F24" s="18"/>
      <c r="G24" s="164"/>
    </row>
    <row r="25" spans="1:691" x14ac:dyDescent="0.3">
      <c r="A25" s="20" t="s">
        <v>22</v>
      </c>
      <c r="B25" s="21" t="s">
        <v>3</v>
      </c>
      <c r="C25" s="15"/>
      <c r="D25" s="156"/>
      <c r="E25" s="74"/>
      <c r="F25" s="18"/>
      <c r="G25" s="165"/>
      <c r="ZO25" s="19"/>
    </row>
    <row r="26" spans="1:691" x14ac:dyDescent="0.3">
      <c r="A26" s="22" t="s">
        <v>23</v>
      </c>
      <c r="B26" s="23" t="s">
        <v>24</v>
      </c>
      <c r="C26" s="15"/>
      <c r="D26" s="156"/>
      <c r="E26" s="74"/>
      <c r="F26" s="18"/>
      <c r="G26" s="167"/>
      <c r="ZO26" s="19"/>
    </row>
    <row r="27" spans="1:691" x14ac:dyDescent="0.3">
      <c r="A27" s="24"/>
      <c r="B27" s="25" t="s">
        <v>164</v>
      </c>
      <c r="C27" s="26" t="s">
        <v>14</v>
      </c>
      <c r="D27" s="156">
        <v>380</v>
      </c>
      <c r="E27" s="74"/>
      <c r="F27" s="27"/>
      <c r="G27" s="167">
        <f t="shared" ref="G27:G34" si="1">D27*E27</f>
        <v>0</v>
      </c>
      <c r="ZO27" s="19"/>
    </row>
    <row r="28" spans="1:691" x14ac:dyDescent="0.3">
      <c r="A28" s="28"/>
      <c r="B28" s="29" t="s">
        <v>72</v>
      </c>
      <c r="C28" s="15"/>
      <c r="D28" s="156"/>
      <c r="E28" s="74"/>
      <c r="F28" s="18"/>
      <c r="G28" s="167"/>
    </row>
    <row r="29" spans="1:691" x14ac:dyDescent="0.3">
      <c r="A29" s="24"/>
      <c r="B29" s="25" t="s">
        <v>94</v>
      </c>
      <c r="C29" s="26" t="s">
        <v>14</v>
      </c>
      <c r="D29" s="159">
        <v>28</v>
      </c>
      <c r="E29" s="74"/>
      <c r="F29" s="27"/>
      <c r="G29" s="167">
        <f t="shared" si="1"/>
        <v>0</v>
      </c>
      <c r="ZO29" s="19"/>
    </row>
    <row r="30" spans="1:691" x14ac:dyDescent="0.3">
      <c r="A30" s="28"/>
      <c r="B30" s="29" t="s">
        <v>72</v>
      </c>
      <c r="C30" s="15"/>
      <c r="D30" s="156"/>
      <c r="E30" s="74"/>
      <c r="F30" s="18"/>
      <c r="G30" s="167"/>
    </row>
    <row r="31" spans="1:691" x14ac:dyDescent="0.3">
      <c r="A31" s="24"/>
      <c r="B31" s="25" t="s">
        <v>95</v>
      </c>
      <c r="C31" s="26" t="s">
        <v>14</v>
      </c>
      <c r="D31" s="159">
        <v>75</v>
      </c>
      <c r="E31" s="74"/>
      <c r="F31" s="27"/>
      <c r="G31" s="167">
        <f t="shared" si="1"/>
        <v>0</v>
      </c>
      <c r="ZO31" s="19"/>
    </row>
    <row r="32" spans="1:691" x14ac:dyDescent="0.3">
      <c r="A32" s="28"/>
      <c r="B32" s="29" t="s">
        <v>72</v>
      </c>
      <c r="C32" s="15"/>
      <c r="D32" s="156"/>
      <c r="E32" s="74"/>
      <c r="F32" s="18"/>
      <c r="G32" s="167"/>
    </row>
    <row r="33" spans="1:691" x14ac:dyDescent="0.3">
      <c r="A33" s="22" t="s">
        <v>25</v>
      </c>
      <c r="B33" s="23" t="s">
        <v>4</v>
      </c>
      <c r="C33" s="15"/>
      <c r="D33" s="159"/>
      <c r="E33" s="74"/>
      <c r="F33" s="18"/>
      <c r="G33" s="167"/>
      <c r="ZO33" s="19"/>
    </row>
    <row r="34" spans="1:691" x14ac:dyDescent="0.3">
      <c r="A34" s="24"/>
      <c r="B34" s="29" t="s">
        <v>49</v>
      </c>
      <c r="C34" s="26" t="s">
        <v>26</v>
      </c>
      <c r="D34" s="159">
        <v>36405</v>
      </c>
      <c r="E34" s="74"/>
      <c r="F34" s="27"/>
      <c r="G34" s="167">
        <f t="shared" si="1"/>
        <v>0</v>
      </c>
      <c r="ZO34" s="19"/>
    </row>
    <row r="35" spans="1:691" x14ac:dyDescent="0.3">
      <c r="A35" s="24"/>
      <c r="B35" s="69"/>
      <c r="C35" s="26"/>
      <c r="D35" s="156"/>
      <c r="E35" s="74"/>
      <c r="F35" s="27"/>
      <c r="G35" s="167"/>
      <c r="ZO35" s="19"/>
    </row>
    <row r="36" spans="1:691" x14ac:dyDescent="0.3">
      <c r="A36" s="68"/>
      <c r="B36" s="31" t="s">
        <v>27</v>
      </c>
      <c r="C36" s="32"/>
      <c r="D36" s="156"/>
      <c r="E36" s="74"/>
      <c r="F36" s="18"/>
      <c r="G36" s="168">
        <f>SUM(G25:G35)</f>
        <v>0</v>
      </c>
    </row>
    <row r="37" spans="1:691" x14ac:dyDescent="0.3">
      <c r="A37" s="33"/>
      <c r="B37" s="34"/>
      <c r="C37" s="15"/>
      <c r="D37" s="156"/>
      <c r="E37" s="74"/>
      <c r="F37" s="18"/>
      <c r="G37" s="164"/>
    </row>
    <row r="38" spans="1:691" ht="23.25" customHeight="1" x14ac:dyDescent="0.3">
      <c r="A38" s="20" t="s">
        <v>28</v>
      </c>
      <c r="B38" s="21" t="s">
        <v>29</v>
      </c>
      <c r="C38" s="15"/>
      <c r="D38" s="156"/>
      <c r="E38" s="74"/>
      <c r="F38" s="18"/>
      <c r="G38" s="167"/>
      <c r="ZO38" s="19"/>
    </row>
    <row r="39" spans="1:691" x14ac:dyDescent="0.3">
      <c r="A39" s="22" t="s">
        <v>30</v>
      </c>
      <c r="B39" s="23" t="s">
        <v>31</v>
      </c>
      <c r="C39" s="15"/>
      <c r="D39" s="156"/>
      <c r="E39" s="74"/>
      <c r="F39" s="18"/>
      <c r="G39" s="167"/>
      <c r="ZO39" s="19"/>
    </row>
    <row r="40" spans="1:691" x14ac:dyDescent="0.3">
      <c r="A40" s="24"/>
      <c r="B40" s="25" t="s">
        <v>87</v>
      </c>
      <c r="C40" s="26" t="s">
        <v>21</v>
      </c>
      <c r="D40" s="159">
        <v>300</v>
      </c>
      <c r="E40" s="74"/>
      <c r="F40" s="27"/>
      <c r="G40" s="167">
        <f t="shared" ref="G40:G54" si="2">D40*E40</f>
        <v>0</v>
      </c>
      <c r="ZO40" s="19"/>
    </row>
    <row r="41" spans="1:691" x14ac:dyDescent="0.3">
      <c r="A41" s="28"/>
      <c r="B41" s="29" t="s">
        <v>73</v>
      </c>
      <c r="C41" s="15"/>
      <c r="D41" s="156"/>
      <c r="E41" s="74"/>
      <c r="F41" s="18"/>
      <c r="G41" s="167"/>
    </row>
    <row r="42" spans="1:691" x14ac:dyDescent="0.3">
      <c r="A42" s="28"/>
      <c r="B42" s="58" t="s">
        <v>88</v>
      </c>
      <c r="C42" s="26" t="s">
        <v>21</v>
      </c>
      <c r="D42" s="159">
        <v>250</v>
      </c>
      <c r="E42" s="74"/>
      <c r="F42" s="27"/>
      <c r="G42" s="167">
        <f>D42*E42</f>
        <v>0</v>
      </c>
    </row>
    <row r="43" spans="1:691" x14ac:dyDescent="0.3">
      <c r="A43" s="28"/>
      <c r="B43" s="29" t="s">
        <v>73</v>
      </c>
      <c r="C43" s="15"/>
      <c r="D43" s="156"/>
      <c r="E43" s="74"/>
      <c r="F43" s="18"/>
      <c r="G43" s="167"/>
    </row>
    <row r="44" spans="1:691" x14ac:dyDescent="0.3">
      <c r="A44" s="22" t="s">
        <v>33</v>
      </c>
      <c r="B44" s="23" t="s">
        <v>34</v>
      </c>
      <c r="C44" s="15"/>
      <c r="D44" s="156"/>
      <c r="E44" s="74"/>
      <c r="F44" s="18"/>
      <c r="G44" s="167"/>
      <c r="ZO44" s="19"/>
    </row>
    <row r="45" spans="1:691" x14ac:dyDescent="0.3">
      <c r="A45" s="24"/>
      <c r="B45" s="25" t="s">
        <v>137</v>
      </c>
      <c r="C45" s="26" t="s">
        <v>35</v>
      </c>
      <c r="D45" s="159">
        <v>10</v>
      </c>
      <c r="E45" s="74"/>
      <c r="F45" s="27"/>
      <c r="G45" s="167">
        <f>D45*E45</f>
        <v>0</v>
      </c>
      <c r="ZO45" s="19"/>
    </row>
    <row r="46" spans="1:691" x14ac:dyDescent="0.3">
      <c r="A46" s="28"/>
      <c r="B46" s="29" t="s">
        <v>74</v>
      </c>
      <c r="C46" s="15"/>
      <c r="D46" s="156"/>
      <c r="E46" s="16"/>
      <c r="F46" s="18"/>
      <c r="G46" s="167"/>
    </row>
    <row r="47" spans="1:691" x14ac:dyDescent="0.3">
      <c r="A47" s="24"/>
      <c r="B47" s="25" t="s">
        <v>136</v>
      </c>
      <c r="C47" s="26" t="s">
        <v>35</v>
      </c>
      <c r="D47" s="159">
        <v>5</v>
      </c>
      <c r="E47" s="74"/>
      <c r="F47" s="27"/>
      <c r="G47" s="167">
        <f t="shared" si="2"/>
        <v>0</v>
      </c>
      <c r="ZO47" s="19"/>
    </row>
    <row r="48" spans="1:691" x14ac:dyDescent="0.3">
      <c r="A48" s="28"/>
      <c r="B48" s="29" t="s">
        <v>74</v>
      </c>
      <c r="C48" s="15"/>
      <c r="D48" s="156"/>
      <c r="E48" s="16"/>
      <c r="F48" s="18"/>
      <c r="G48" s="167"/>
    </row>
    <row r="49" spans="1:691" x14ac:dyDescent="0.3">
      <c r="A49" s="22" t="s">
        <v>37</v>
      </c>
      <c r="B49" s="23" t="s">
        <v>38</v>
      </c>
      <c r="C49" s="15"/>
      <c r="D49" s="156"/>
      <c r="E49" s="74"/>
      <c r="F49" s="18"/>
      <c r="G49" s="167"/>
      <c r="ZO49" s="19"/>
    </row>
    <row r="50" spans="1:691" x14ac:dyDescent="0.3">
      <c r="A50" s="24"/>
      <c r="B50" s="25" t="s">
        <v>89</v>
      </c>
      <c r="C50" s="26" t="s">
        <v>21</v>
      </c>
      <c r="D50" s="159">
        <v>600</v>
      </c>
      <c r="E50" s="74"/>
      <c r="F50" s="27"/>
      <c r="G50" s="167">
        <f t="shared" si="2"/>
        <v>0</v>
      </c>
      <c r="ZO50" s="19"/>
    </row>
    <row r="51" spans="1:691" x14ac:dyDescent="0.3">
      <c r="A51" s="28"/>
      <c r="B51" s="29" t="s">
        <v>73</v>
      </c>
      <c r="C51" s="15"/>
      <c r="D51" s="156"/>
      <c r="E51" s="74"/>
      <c r="F51" s="18"/>
      <c r="G51" s="167"/>
    </row>
    <row r="52" spans="1:691" x14ac:dyDescent="0.3">
      <c r="A52" s="22" t="s">
        <v>39</v>
      </c>
      <c r="B52" s="23" t="s">
        <v>161</v>
      </c>
      <c r="C52" s="26" t="s">
        <v>35</v>
      </c>
      <c r="D52" s="159">
        <v>1</v>
      </c>
      <c r="E52" s="74"/>
      <c r="F52" s="27"/>
      <c r="G52" s="167">
        <f t="shared" si="2"/>
        <v>0</v>
      </c>
      <c r="ZO52" s="19"/>
    </row>
    <row r="53" spans="1:691" x14ac:dyDescent="0.3">
      <c r="A53" s="24"/>
      <c r="B53" s="29" t="s">
        <v>36</v>
      </c>
      <c r="C53" s="26"/>
      <c r="D53" s="159"/>
      <c r="E53" s="74"/>
      <c r="F53" s="27"/>
      <c r="G53" s="167"/>
      <c r="ZO53" s="19"/>
    </row>
    <row r="54" spans="1:691" x14ac:dyDescent="0.3">
      <c r="A54" s="22" t="s">
        <v>160</v>
      </c>
      <c r="B54" s="23" t="s">
        <v>40</v>
      </c>
      <c r="C54" s="26" t="s">
        <v>13</v>
      </c>
      <c r="D54" s="159">
        <v>1</v>
      </c>
      <c r="E54" s="74"/>
      <c r="F54" s="27"/>
      <c r="G54" s="167">
        <f t="shared" si="2"/>
        <v>0</v>
      </c>
      <c r="ZO54" s="19"/>
    </row>
    <row r="55" spans="1:691" x14ac:dyDescent="0.3">
      <c r="A55" s="24"/>
      <c r="B55" s="29" t="s">
        <v>90</v>
      </c>
      <c r="C55" s="26"/>
      <c r="D55" s="159"/>
      <c r="E55" s="74"/>
      <c r="F55" s="27"/>
      <c r="G55" s="167"/>
      <c r="ZO55" s="19"/>
    </row>
    <row r="56" spans="1:691" x14ac:dyDescent="0.3">
      <c r="A56" s="35"/>
      <c r="B56" s="36"/>
      <c r="C56" s="15"/>
      <c r="D56" s="156"/>
      <c r="E56" s="74"/>
      <c r="F56" s="18"/>
      <c r="G56" s="167"/>
    </row>
    <row r="57" spans="1:691" x14ac:dyDescent="0.3">
      <c r="A57" s="448"/>
      <c r="B57" s="449" t="s">
        <v>41</v>
      </c>
      <c r="C57" s="32"/>
      <c r="D57" s="156"/>
      <c r="E57" s="74"/>
      <c r="F57" s="18"/>
      <c r="G57" s="450">
        <f>SUM(G38:G55)</f>
        <v>0</v>
      </c>
    </row>
    <row r="58" spans="1:691" x14ac:dyDescent="0.3">
      <c r="A58" s="451"/>
      <c r="B58" s="452"/>
      <c r="C58" s="453"/>
      <c r="D58" s="155"/>
      <c r="E58" s="454"/>
      <c r="F58" s="455"/>
      <c r="G58" s="164"/>
    </row>
    <row r="59" spans="1:691" x14ac:dyDescent="0.3">
      <c r="A59" s="20" t="s">
        <v>42</v>
      </c>
      <c r="B59" s="21" t="s">
        <v>43</v>
      </c>
      <c r="C59" s="15"/>
      <c r="D59" s="156"/>
      <c r="E59" s="74"/>
      <c r="F59" s="18"/>
      <c r="G59" s="165"/>
      <c r="ZO59" s="19"/>
    </row>
    <row r="60" spans="1:691" x14ac:dyDescent="0.3">
      <c r="A60" s="22" t="s">
        <v>44</v>
      </c>
      <c r="B60" s="23" t="s">
        <v>522</v>
      </c>
      <c r="C60" s="26" t="s">
        <v>45</v>
      </c>
      <c r="D60" s="159">
        <v>2850</v>
      </c>
      <c r="E60" s="74"/>
      <c r="F60" s="27"/>
      <c r="G60" s="167">
        <f t="shared" ref="G60:G69" si="3">D60*E60</f>
        <v>0</v>
      </c>
      <c r="ZO60" s="19"/>
    </row>
    <row r="61" spans="1:691" x14ac:dyDescent="0.3">
      <c r="A61" s="28"/>
      <c r="B61" s="29" t="s">
        <v>46</v>
      </c>
      <c r="C61" s="15"/>
      <c r="D61" s="156"/>
      <c r="E61" s="74"/>
      <c r="F61" s="18"/>
      <c r="G61" s="167"/>
    </row>
    <row r="62" spans="1:691" x14ac:dyDescent="0.3">
      <c r="A62" s="22" t="s">
        <v>47</v>
      </c>
      <c r="B62" s="23" t="s">
        <v>76</v>
      </c>
      <c r="C62" s="15"/>
      <c r="D62" s="159"/>
      <c r="E62" s="74"/>
      <c r="F62" s="18"/>
      <c r="G62" s="167"/>
      <c r="ZO62" s="19"/>
    </row>
    <row r="63" spans="1:691" x14ac:dyDescent="0.3">
      <c r="A63" s="22"/>
      <c r="B63" s="25" t="s">
        <v>170</v>
      </c>
      <c r="C63" s="26" t="s">
        <v>45</v>
      </c>
      <c r="D63" s="159">
        <v>430</v>
      </c>
      <c r="E63" s="74"/>
      <c r="F63" s="27"/>
      <c r="G63" s="167">
        <f t="shared" si="3"/>
        <v>0</v>
      </c>
      <c r="ZO63" s="19"/>
    </row>
    <row r="64" spans="1:691" x14ac:dyDescent="0.3">
      <c r="A64" s="28"/>
      <c r="B64" s="29" t="s">
        <v>75</v>
      </c>
      <c r="C64" s="26"/>
      <c r="D64" s="159"/>
      <c r="E64" s="74"/>
      <c r="F64" s="27"/>
      <c r="G64" s="167"/>
    </row>
    <row r="65" spans="1:693" x14ac:dyDescent="0.3">
      <c r="A65" s="22"/>
      <c r="B65" s="25" t="s">
        <v>172</v>
      </c>
      <c r="C65" s="26" t="s">
        <v>45</v>
      </c>
      <c r="D65" s="159">
        <v>545</v>
      </c>
      <c r="E65" s="74"/>
      <c r="F65" s="27"/>
      <c r="G65" s="167">
        <f t="shared" ref="G65" si="4">D65*E65</f>
        <v>0</v>
      </c>
      <c r="ZO65" s="19"/>
    </row>
    <row r="66" spans="1:693" x14ac:dyDescent="0.3">
      <c r="A66" s="28"/>
      <c r="B66" s="29" t="s">
        <v>75</v>
      </c>
      <c r="C66" s="26"/>
      <c r="D66" s="159"/>
      <c r="E66" s="74"/>
      <c r="F66" s="27"/>
      <c r="G66" s="167"/>
    </row>
    <row r="67" spans="1:693" x14ac:dyDescent="0.3">
      <c r="A67" s="22"/>
      <c r="B67" s="25" t="s">
        <v>165</v>
      </c>
      <c r="C67" s="26" t="s">
        <v>45</v>
      </c>
      <c r="D67" s="159">
        <v>2850</v>
      </c>
      <c r="E67" s="74"/>
      <c r="F67" s="27"/>
      <c r="G67" s="167">
        <f t="shared" si="3"/>
        <v>0</v>
      </c>
      <c r="ZO67" s="19"/>
    </row>
    <row r="68" spans="1:693" x14ac:dyDescent="0.3">
      <c r="A68" s="28"/>
      <c r="B68" s="29" t="s">
        <v>75</v>
      </c>
      <c r="C68" s="26"/>
      <c r="D68" s="159"/>
      <c r="E68" s="74"/>
      <c r="F68" s="27"/>
      <c r="G68" s="167"/>
    </row>
    <row r="69" spans="1:693" x14ac:dyDescent="0.3">
      <c r="A69" s="22" t="s">
        <v>96</v>
      </c>
      <c r="B69" s="65" t="s">
        <v>48</v>
      </c>
      <c r="C69" s="26" t="s">
        <v>26</v>
      </c>
      <c r="D69" s="159">
        <v>50305</v>
      </c>
      <c r="E69" s="74"/>
      <c r="F69" s="27"/>
      <c r="G69" s="167">
        <f t="shared" si="3"/>
        <v>0</v>
      </c>
      <c r="ZO69" s="19"/>
    </row>
    <row r="70" spans="1:693" x14ac:dyDescent="0.3">
      <c r="A70" s="28"/>
      <c r="B70" s="29" t="s">
        <v>49</v>
      </c>
      <c r="C70" s="15"/>
      <c r="D70" s="156"/>
      <c r="E70" s="74"/>
      <c r="F70" s="18"/>
      <c r="G70" s="167"/>
    </row>
    <row r="71" spans="1:693" x14ac:dyDescent="0.3">
      <c r="A71" s="35"/>
      <c r="B71" s="36"/>
      <c r="C71" s="15"/>
      <c r="D71" s="156"/>
      <c r="E71" s="74"/>
      <c r="F71" s="18"/>
      <c r="G71" s="167"/>
    </row>
    <row r="72" spans="1:693" x14ac:dyDescent="0.3">
      <c r="A72" s="68"/>
      <c r="B72" s="31" t="s">
        <v>50</v>
      </c>
      <c r="C72" s="32"/>
      <c r="D72" s="156"/>
      <c r="E72" s="74"/>
      <c r="F72" s="18"/>
      <c r="G72" s="168">
        <f>SUM(G59:G71)</f>
        <v>0</v>
      </c>
    </row>
    <row r="73" spans="1:693" x14ac:dyDescent="0.3">
      <c r="A73" s="33"/>
      <c r="B73" s="34"/>
      <c r="C73" s="15"/>
      <c r="D73" s="156"/>
      <c r="E73" s="74"/>
      <c r="F73" s="18"/>
      <c r="G73" s="165"/>
    </row>
    <row r="74" spans="1:693" x14ac:dyDescent="0.3">
      <c r="A74" s="20" t="s">
        <v>99</v>
      </c>
      <c r="B74" s="21" t="s">
        <v>100</v>
      </c>
      <c r="C74" s="15"/>
      <c r="D74" s="156"/>
      <c r="E74" s="74"/>
      <c r="F74" s="17"/>
      <c r="G74" s="167"/>
      <c r="ZQ74" s="19"/>
    </row>
    <row r="75" spans="1:693" x14ac:dyDescent="0.3">
      <c r="A75" s="22" t="s">
        <v>101</v>
      </c>
      <c r="B75" s="23" t="s">
        <v>102</v>
      </c>
      <c r="C75" s="15"/>
      <c r="D75" s="156"/>
      <c r="E75" s="74"/>
      <c r="F75" s="17"/>
      <c r="G75" s="167"/>
      <c r="ZQ75" s="19"/>
    </row>
    <row r="76" spans="1:693" x14ac:dyDescent="0.3">
      <c r="A76" s="24"/>
      <c r="B76" s="25" t="s">
        <v>107</v>
      </c>
      <c r="C76" s="15"/>
      <c r="D76" s="156"/>
      <c r="E76" s="74"/>
      <c r="F76" s="17"/>
      <c r="G76" s="167"/>
      <c r="ZQ76" s="19"/>
    </row>
    <row r="77" spans="1:693" x14ac:dyDescent="0.3">
      <c r="A77" s="28"/>
      <c r="B77" s="29" t="s">
        <v>15</v>
      </c>
      <c r="C77" s="26" t="s">
        <v>14</v>
      </c>
      <c r="D77" s="159">
        <v>16</v>
      </c>
      <c r="E77" s="74"/>
      <c r="F77" s="59"/>
      <c r="G77" s="167">
        <f t="shared" ref="G77:G81" si="5">D77*E77</f>
        <v>0</v>
      </c>
    </row>
    <row r="78" spans="1:693" x14ac:dyDescent="0.3">
      <c r="A78" s="24"/>
      <c r="B78" s="25" t="s">
        <v>127</v>
      </c>
      <c r="C78" s="15"/>
      <c r="D78" s="156"/>
      <c r="E78" s="74"/>
      <c r="F78" s="17"/>
      <c r="G78" s="167"/>
      <c r="ZQ78" s="19"/>
    </row>
    <row r="79" spans="1:693" x14ac:dyDescent="0.3">
      <c r="A79" s="28"/>
      <c r="B79" s="29" t="s">
        <v>15</v>
      </c>
      <c r="C79" s="26" t="s">
        <v>14</v>
      </c>
      <c r="D79" s="159">
        <v>26</v>
      </c>
      <c r="E79" s="74"/>
      <c r="F79" s="59"/>
      <c r="G79" s="167">
        <f t="shared" si="5"/>
        <v>0</v>
      </c>
    </row>
    <row r="80" spans="1:693" x14ac:dyDescent="0.3">
      <c r="A80" s="22" t="s">
        <v>103</v>
      </c>
      <c r="B80" s="65" t="s">
        <v>104</v>
      </c>
      <c r="C80" s="15"/>
      <c r="D80" s="156"/>
      <c r="E80" s="74"/>
      <c r="F80" s="17"/>
      <c r="G80" s="167"/>
      <c r="ZQ80" s="19"/>
    </row>
    <row r="81" spans="1:693" x14ac:dyDescent="0.3">
      <c r="A81" s="28"/>
      <c r="B81" s="29" t="s">
        <v>49</v>
      </c>
      <c r="C81" s="15" t="s">
        <v>105</v>
      </c>
      <c r="D81" s="159">
        <v>15500</v>
      </c>
      <c r="E81" s="74"/>
      <c r="F81" s="17"/>
      <c r="G81" s="167">
        <f t="shared" si="5"/>
        <v>0</v>
      </c>
    </row>
    <row r="82" spans="1:693" ht="27.6" x14ac:dyDescent="0.3">
      <c r="A82" s="22" t="s">
        <v>177</v>
      </c>
      <c r="B82" s="50" t="s">
        <v>130</v>
      </c>
      <c r="C82" s="15"/>
      <c r="D82" s="156"/>
      <c r="E82" s="74"/>
      <c r="F82" s="17"/>
      <c r="G82" s="167"/>
      <c r="ZQ82" s="19"/>
    </row>
    <row r="83" spans="1:693" x14ac:dyDescent="0.3">
      <c r="A83" s="24"/>
      <c r="B83" s="66" t="s">
        <v>129</v>
      </c>
      <c r="C83" s="64" t="s">
        <v>82</v>
      </c>
      <c r="D83" s="157">
        <v>370</v>
      </c>
      <c r="E83" s="74"/>
      <c r="F83" s="17"/>
      <c r="G83" s="167">
        <f>D83*E83</f>
        <v>0</v>
      </c>
      <c r="ZQ83" s="19"/>
    </row>
    <row r="84" spans="1:693" x14ac:dyDescent="0.3">
      <c r="A84" s="28"/>
      <c r="B84" s="67" t="s">
        <v>46</v>
      </c>
      <c r="C84" s="64"/>
      <c r="D84" s="157"/>
      <c r="E84" s="74"/>
      <c r="F84" s="61"/>
      <c r="G84" s="167"/>
    </row>
    <row r="85" spans="1:693" x14ac:dyDescent="0.3">
      <c r="A85" s="28"/>
      <c r="B85" s="70"/>
      <c r="C85" s="64"/>
      <c r="D85" s="157"/>
      <c r="E85" s="74"/>
      <c r="F85" s="61"/>
      <c r="G85" s="167"/>
    </row>
    <row r="86" spans="1:693" x14ac:dyDescent="0.3">
      <c r="A86" s="68"/>
      <c r="B86" s="31" t="s">
        <v>106</v>
      </c>
      <c r="C86" s="32"/>
      <c r="D86" s="156"/>
      <c r="E86" s="74"/>
      <c r="F86" s="17"/>
      <c r="G86" s="168">
        <f>SUM(G75:G85)</f>
        <v>0</v>
      </c>
    </row>
    <row r="87" spans="1:693" x14ac:dyDescent="0.3">
      <c r="A87" s="71"/>
      <c r="B87" s="72"/>
      <c r="C87" s="32"/>
      <c r="D87" s="156"/>
      <c r="E87" s="74"/>
      <c r="F87" s="17"/>
      <c r="G87" s="165"/>
    </row>
    <row r="88" spans="1:693" x14ac:dyDescent="0.3">
      <c r="A88" s="20" t="s">
        <v>51</v>
      </c>
      <c r="B88" s="21" t="s">
        <v>52</v>
      </c>
      <c r="C88" s="15"/>
      <c r="D88" s="156"/>
      <c r="E88" s="74"/>
      <c r="F88" s="18"/>
      <c r="G88" s="167"/>
      <c r="ZO88" s="19"/>
    </row>
    <row r="89" spans="1:693" x14ac:dyDescent="0.3">
      <c r="A89" s="22" t="s">
        <v>174</v>
      </c>
      <c r="B89" s="23" t="s">
        <v>158</v>
      </c>
      <c r="C89" s="15"/>
      <c r="D89" s="156"/>
      <c r="E89" s="74"/>
      <c r="F89" s="18"/>
      <c r="G89" s="167"/>
      <c r="ZO89" s="19"/>
    </row>
    <row r="90" spans="1:693" x14ac:dyDescent="0.3">
      <c r="A90" s="24"/>
      <c r="B90" s="99" t="s">
        <v>126</v>
      </c>
      <c r="C90" s="26" t="s">
        <v>45</v>
      </c>
      <c r="D90" s="156">
        <v>2855</v>
      </c>
      <c r="E90" s="74"/>
      <c r="F90" s="18"/>
      <c r="G90" s="167">
        <f t="shared" ref="G90:G93" si="6">D90*E90</f>
        <v>0</v>
      </c>
      <c r="ZO90" s="19"/>
    </row>
    <row r="91" spans="1:693" x14ac:dyDescent="0.3">
      <c r="A91" s="28"/>
      <c r="B91" s="29" t="s">
        <v>125</v>
      </c>
      <c r="C91" s="15"/>
      <c r="D91" s="156"/>
      <c r="E91" s="74"/>
      <c r="F91" s="18"/>
      <c r="G91" s="167"/>
    </row>
    <row r="92" spans="1:693" x14ac:dyDescent="0.3">
      <c r="A92" s="22" t="s">
        <v>109</v>
      </c>
      <c r="B92" s="65" t="s">
        <v>178</v>
      </c>
      <c r="C92" s="15"/>
      <c r="D92" s="156"/>
      <c r="E92" s="74"/>
      <c r="F92" s="18"/>
      <c r="G92" s="167"/>
      <c r="ZO92" s="19"/>
    </row>
    <row r="93" spans="1:693" x14ac:dyDescent="0.3">
      <c r="A93" s="24"/>
      <c r="B93" s="29" t="s">
        <v>46</v>
      </c>
      <c r="C93" s="26" t="s">
        <v>45</v>
      </c>
      <c r="D93" s="156">
        <v>390</v>
      </c>
      <c r="E93" s="74"/>
      <c r="F93" s="27"/>
      <c r="G93" s="167">
        <f t="shared" si="6"/>
        <v>0</v>
      </c>
      <c r="ZO93" s="19"/>
    </row>
    <row r="94" spans="1:693" x14ac:dyDescent="0.3">
      <c r="A94" s="35"/>
      <c r="B94" s="36"/>
      <c r="C94" s="15"/>
      <c r="D94" s="156"/>
      <c r="E94" s="74"/>
      <c r="F94" s="18"/>
      <c r="G94" s="167"/>
    </row>
    <row r="95" spans="1:693" x14ac:dyDescent="0.3">
      <c r="A95" s="68"/>
      <c r="B95" s="31" t="s">
        <v>53</v>
      </c>
      <c r="C95" s="32"/>
      <c r="D95" s="156"/>
      <c r="E95" s="18"/>
      <c r="F95" s="18"/>
      <c r="G95" s="168">
        <f>SUBTOTAL(109,G88:G94)</f>
        <v>0</v>
      </c>
    </row>
    <row r="96" spans="1:693" x14ac:dyDescent="0.3">
      <c r="A96" s="33"/>
      <c r="B96" s="34"/>
      <c r="C96" s="15"/>
      <c r="D96" s="156"/>
      <c r="E96" s="74"/>
      <c r="F96" s="18"/>
      <c r="G96" s="164"/>
    </row>
    <row r="97" spans="1:691" x14ac:dyDescent="0.3">
      <c r="A97" s="20" t="s">
        <v>54</v>
      </c>
      <c r="B97" s="21" t="s">
        <v>55</v>
      </c>
      <c r="C97" s="15"/>
      <c r="D97" s="156"/>
      <c r="E97" s="74"/>
      <c r="F97" s="18"/>
      <c r="G97" s="167"/>
      <c r="ZO97" s="19"/>
    </row>
    <row r="98" spans="1:691" s="41" customFormat="1" x14ac:dyDescent="0.3">
      <c r="A98" s="24" t="s">
        <v>56</v>
      </c>
      <c r="B98" s="50" t="s">
        <v>97</v>
      </c>
      <c r="C98" s="15"/>
      <c r="D98" s="156"/>
      <c r="E98" s="74"/>
      <c r="F98" s="18"/>
      <c r="G98" s="167"/>
      <c r="ZO98" s="19"/>
    </row>
    <row r="99" spans="1:691" s="41" customFormat="1" x14ac:dyDescent="0.3">
      <c r="A99" s="24"/>
      <c r="B99" s="29" t="s">
        <v>46</v>
      </c>
      <c r="C99" s="26" t="s">
        <v>45</v>
      </c>
      <c r="D99" s="159">
        <v>1375</v>
      </c>
      <c r="E99" s="74"/>
      <c r="F99" s="27"/>
      <c r="G99" s="167">
        <f t="shared" ref="G99:G101" si="7">D99*E99</f>
        <v>0</v>
      </c>
      <c r="ZO99" s="19"/>
    </row>
    <row r="100" spans="1:691" s="41" customFormat="1" x14ac:dyDescent="0.3">
      <c r="A100" s="24" t="s">
        <v>57</v>
      </c>
      <c r="B100" s="50" t="s">
        <v>98</v>
      </c>
      <c r="C100" s="15"/>
      <c r="D100" s="156"/>
      <c r="E100" s="74"/>
      <c r="F100" s="18"/>
      <c r="G100" s="167"/>
      <c r="ZO100" s="19"/>
    </row>
    <row r="101" spans="1:691" s="41" customFormat="1" x14ac:dyDescent="0.3">
      <c r="A101" s="24"/>
      <c r="B101" s="29" t="s">
        <v>46</v>
      </c>
      <c r="C101" s="26" t="s">
        <v>45</v>
      </c>
      <c r="D101" s="159">
        <v>4135</v>
      </c>
      <c r="E101" s="74"/>
      <c r="F101" s="27"/>
      <c r="G101" s="167">
        <f t="shared" si="7"/>
        <v>0</v>
      </c>
      <c r="ZO101" s="19"/>
    </row>
    <row r="102" spans="1:691" x14ac:dyDescent="0.3">
      <c r="A102" s="35"/>
      <c r="B102" s="36"/>
      <c r="C102" s="15"/>
      <c r="D102" s="156"/>
      <c r="E102" s="74"/>
      <c r="F102" s="18"/>
      <c r="G102" s="167"/>
    </row>
    <row r="103" spans="1:691" x14ac:dyDescent="0.3">
      <c r="A103" s="448"/>
      <c r="B103" s="449" t="s">
        <v>58</v>
      </c>
      <c r="C103" s="32"/>
      <c r="D103" s="156"/>
      <c r="E103" s="74"/>
      <c r="F103" s="18"/>
      <c r="G103" s="450">
        <f>SUBTOTAL(109,G99:G102)</f>
        <v>0</v>
      </c>
    </row>
    <row r="104" spans="1:691" x14ac:dyDescent="0.3">
      <c r="A104" s="451"/>
      <c r="B104" s="452"/>
      <c r="C104" s="453"/>
      <c r="D104" s="155"/>
      <c r="E104" s="456"/>
      <c r="F104" s="455"/>
      <c r="G104" s="450"/>
    </row>
    <row r="105" spans="1:691" x14ac:dyDescent="0.3">
      <c r="A105" s="20" t="s">
        <v>59</v>
      </c>
      <c r="B105" s="21" t="s">
        <v>6</v>
      </c>
      <c r="C105" s="15"/>
      <c r="D105" s="156"/>
      <c r="E105" s="57"/>
      <c r="F105" s="18"/>
      <c r="G105" s="167"/>
      <c r="ZO105" s="19"/>
    </row>
    <row r="106" spans="1:691" x14ac:dyDescent="0.3">
      <c r="A106" s="24" t="s">
        <v>60</v>
      </c>
      <c r="B106" s="100" t="s">
        <v>179</v>
      </c>
      <c r="C106" s="15"/>
      <c r="D106" s="156"/>
      <c r="E106" s="74"/>
      <c r="F106" s="18"/>
      <c r="G106" s="167"/>
      <c r="ZO106" s="19"/>
    </row>
    <row r="107" spans="1:691" x14ac:dyDescent="0.3">
      <c r="A107" s="24"/>
      <c r="B107" s="29" t="s">
        <v>36</v>
      </c>
      <c r="C107" s="26" t="s">
        <v>35</v>
      </c>
      <c r="D107" s="159">
        <v>14</v>
      </c>
      <c r="E107" s="74"/>
      <c r="F107" s="27"/>
      <c r="G107" s="167">
        <f t="shared" ref="G107:G121" si="8">D107*E107</f>
        <v>0</v>
      </c>
      <c r="ZO107" s="19"/>
    </row>
    <row r="108" spans="1:691" x14ac:dyDescent="0.3">
      <c r="A108" s="24" t="s">
        <v>61</v>
      </c>
      <c r="B108" s="23" t="s">
        <v>180</v>
      </c>
      <c r="C108" s="15"/>
      <c r="D108" s="156"/>
      <c r="E108" s="74"/>
      <c r="F108" s="18"/>
      <c r="G108" s="167"/>
      <c r="ZO108" s="19"/>
    </row>
    <row r="109" spans="1:691" x14ac:dyDescent="0.3">
      <c r="A109" s="24"/>
      <c r="B109" s="29" t="s">
        <v>36</v>
      </c>
      <c r="C109" s="26" t="s">
        <v>35</v>
      </c>
      <c r="D109" s="159">
        <v>115</v>
      </c>
      <c r="E109" s="74"/>
      <c r="F109" s="27"/>
      <c r="G109" s="167">
        <f t="shared" si="8"/>
        <v>0</v>
      </c>
      <c r="ZO109" s="19"/>
    </row>
    <row r="110" spans="1:691" ht="26.25" customHeight="1" x14ac:dyDescent="0.3">
      <c r="A110" s="24" t="s">
        <v>71</v>
      </c>
      <c r="B110" s="100" t="s">
        <v>181</v>
      </c>
      <c r="C110" s="15"/>
      <c r="D110" s="156"/>
      <c r="E110" s="74"/>
      <c r="F110" s="18"/>
      <c r="G110" s="167"/>
      <c r="ZO110" s="19"/>
    </row>
    <row r="111" spans="1:691" x14ac:dyDescent="0.3">
      <c r="A111" s="24"/>
      <c r="B111" s="29" t="s">
        <v>36</v>
      </c>
      <c r="C111" s="26" t="s">
        <v>35</v>
      </c>
      <c r="D111" s="159">
        <v>20</v>
      </c>
      <c r="E111" s="74"/>
      <c r="F111" s="27"/>
      <c r="G111" s="167">
        <f t="shared" si="8"/>
        <v>0</v>
      </c>
      <c r="ZO111" s="19"/>
    </row>
    <row r="112" spans="1:691" x14ac:dyDescent="0.3">
      <c r="A112" s="24" t="s">
        <v>62</v>
      </c>
      <c r="B112" s="65" t="s">
        <v>63</v>
      </c>
      <c r="C112" s="15"/>
      <c r="D112" s="156"/>
      <c r="E112" s="74"/>
      <c r="F112" s="18"/>
      <c r="G112" s="167"/>
      <c r="ZO112" s="19"/>
    </row>
    <row r="113" spans="1:691" x14ac:dyDescent="0.3">
      <c r="A113" s="24"/>
      <c r="B113" s="29" t="s">
        <v>36</v>
      </c>
      <c r="C113" s="26" t="s">
        <v>35</v>
      </c>
      <c r="D113" s="159">
        <v>15</v>
      </c>
      <c r="E113" s="74"/>
      <c r="F113" s="27"/>
      <c r="G113" s="167">
        <f t="shared" si="8"/>
        <v>0</v>
      </c>
      <c r="ZO113" s="19"/>
    </row>
    <row r="114" spans="1:691" s="55" customFormat="1" x14ac:dyDescent="0.3">
      <c r="A114" s="51" t="s">
        <v>78</v>
      </c>
      <c r="B114" s="65" t="s">
        <v>135</v>
      </c>
      <c r="C114" s="53"/>
      <c r="D114" s="156"/>
      <c r="E114" s="106"/>
      <c r="F114" s="54"/>
      <c r="G114" s="167"/>
      <c r="ZO114" s="56"/>
    </row>
    <row r="115" spans="1:691" s="55" customFormat="1" x14ac:dyDescent="0.3">
      <c r="A115" s="51"/>
      <c r="B115" s="107" t="s">
        <v>46</v>
      </c>
      <c r="C115" s="108" t="s">
        <v>45</v>
      </c>
      <c r="D115" s="159">
        <v>30</v>
      </c>
      <c r="E115" s="106"/>
      <c r="F115" s="109"/>
      <c r="G115" s="167">
        <f t="shared" si="8"/>
        <v>0</v>
      </c>
      <c r="ZO115" s="56"/>
    </row>
    <row r="116" spans="1:691" x14ac:dyDescent="0.3">
      <c r="A116" s="24" t="s">
        <v>132</v>
      </c>
      <c r="B116" s="23" t="s">
        <v>64</v>
      </c>
      <c r="C116" s="15"/>
      <c r="D116" s="156"/>
      <c r="E116" s="74"/>
      <c r="F116" s="18"/>
      <c r="G116" s="167"/>
      <c r="ZO116" s="19"/>
    </row>
    <row r="117" spans="1:691" x14ac:dyDescent="0.3">
      <c r="A117" s="24"/>
      <c r="B117" s="25" t="s">
        <v>91</v>
      </c>
      <c r="C117" s="26" t="s">
        <v>35</v>
      </c>
      <c r="D117" s="159">
        <v>1</v>
      </c>
      <c r="E117" s="74"/>
      <c r="F117" s="27"/>
      <c r="G117" s="167">
        <f t="shared" si="8"/>
        <v>0</v>
      </c>
      <c r="ZO117" s="19"/>
    </row>
    <row r="118" spans="1:691" x14ac:dyDescent="0.3">
      <c r="A118" s="28"/>
      <c r="B118" s="29" t="s">
        <v>523</v>
      </c>
      <c r="C118" s="15"/>
      <c r="D118" s="156"/>
      <c r="E118" s="74"/>
      <c r="F118" s="18"/>
      <c r="G118" s="167"/>
    </row>
    <row r="119" spans="1:691" x14ac:dyDescent="0.3">
      <c r="A119" s="24"/>
      <c r="B119" s="25" t="s">
        <v>92</v>
      </c>
      <c r="C119" s="26" t="s">
        <v>35</v>
      </c>
      <c r="D119" s="159">
        <v>1</v>
      </c>
      <c r="E119" s="74"/>
      <c r="F119" s="27"/>
      <c r="G119" s="167">
        <f t="shared" si="8"/>
        <v>0</v>
      </c>
      <c r="ZO119" s="19"/>
    </row>
    <row r="120" spans="1:691" x14ac:dyDescent="0.3">
      <c r="A120" s="28"/>
      <c r="B120" s="29" t="s">
        <v>523</v>
      </c>
      <c r="C120" s="15"/>
      <c r="D120" s="156"/>
      <c r="E120" s="74"/>
      <c r="F120" s="18"/>
      <c r="G120" s="167"/>
    </row>
    <row r="121" spans="1:691" x14ac:dyDescent="0.3">
      <c r="A121" s="28"/>
      <c r="B121" s="25" t="s">
        <v>93</v>
      </c>
      <c r="C121" s="26" t="s">
        <v>35</v>
      </c>
      <c r="D121" s="159">
        <v>1</v>
      </c>
      <c r="E121" s="74"/>
      <c r="F121" s="27"/>
      <c r="G121" s="167">
        <f t="shared" si="8"/>
        <v>0</v>
      </c>
    </row>
    <row r="122" spans="1:691" x14ac:dyDescent="0.3">
      <c r="A122" s="28"/>
      <c r="B122" s="29" t="s">
        <v>524</v>
      </c>
      <c r="C122" s="15"/>
      <c r="D122" s="156"/>
      <c r="E122" s="74"/>
      <c r="F122" s="18"/>
      <c r="G122" s="167"/>
    </row>
    <row r="123" spans="1:691" s="41" customFormat="1" x14ac:dyDescent="0.3">
      <c r="A123" s="35"/>
      <c r="B123" s="30"/>
      <c r="C123" s="15"/>
      <c r="D123" s="156"/>
      <c r="E123" s="57"/>
      <c r="F123" s="18"/>
      <c r="G123" s="167"/>
    </row>
    <row r="124" spans="1:691" x14ac:dyDescent="0.3">
      <c r="A124" s="68"/>
      <c r="B124" s="31" t="s">
        <v>65</v>
      </c>
      <c r="C124" s="32"/>
      <c r="D124" s="156"/>
      <c r="E124" s="57"/>
      <c r="F124" s="18"/>
      <c r="G124" s="168">
        <f>SUM(G105:G123)</f>
        <v>0</v>
      </c>
    </row>
    <row r="125" spans="1:691" x14ac:dyDescent="0.3">
      <c r="A125" s="37"/>
      <c r="B125" s="42"/>
      <c r="C125" s="38"/>
      <c r="D125" s="160"/>
      <c r="E125" s="39"/>
      <c r="F125" s="40"/>
      <c r="G125" s="169"/>
    </row>
    <row r="126" spans="1:691" x14ac:dyDescent="0.3">
      <c r="A126" s="43"/>
      <c r="B126" s="43"/>
      <c r="C126" s="44"/>
      <c r="D126" s="161"/>
      <c r="E126" s="45"/>
      <c r="F126" s="43"/>
      <c r="G126" s="170"/>
    </row>
    <row r="127" spans="1:691" x14ac:dyDescent="0.3">
      <c r="B127" s="521" t="s">
        <v>66</v>
      </c>
      <c r="C127" s="521"/>
      <c r="D127" s="521"/>
      <c r="E127" s="521"/>
      <c r="F127" s="521"/>
      <c r="G127" s="181">
        <f>G124+G103+G95+G86+G72+G57+G36+G23+G17</f>
        <v>0</v>
      </c>
    </row>
    <row r="128" spans="1:691" x14ac:dyDescent="0.3">
      <c r="B128" s="521" t="str">
        <f>CONCATENATE("TVA (",'[45]Recap Generale'!D12,"%)")</f>
        <v>TVA (20%)</v>
      </c>
      <c r="C128" s="521"/>
      <c r="D128" s="521"/>
      <c r="E128" s="521"/>
      <c r="F128" s="521"/>
      <c r="G128" s="181">
        <f>+G127*20%</f>
        <v>0</v>
      </c>
    </row>
    <row r="129" spans="1:693" x14ac:dyDescent="0.3">
      <c r="B129" s="521" t="s">
        <v>67</v>
      </c>
      <c r="C129" s="521"/>
      <c r="D129" s="521"/>
      <c r="E129" s="521"/>
      <c r="F129" s="521"/>
      <c r="G129" s="181">
        <f>+G128+G127</f>
        <v>0</v>
      </c>
    </row>
    <row r="132" spans="1:693" customFormat="1" x14ac:dyDescent="0.3">
      <c r="A132" s="1"/>
      <c r="B132" s="1"/>
      <c r="C132" s="48"/>
      <c r="D132" s="162"/>
      <c r="E132" s="47"/>
      <c r="F132" s="1"/>
      <c r="G132" s="17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</row>
  </sheetData>
  <mergeCells count="4">
    <mergeCell ref="A1:G1"/>
    <mergeCell ref="B127:F127"/>
    <mergeCell ref="B128:F128"/>
    <mergeCell ref="B129:F129"/>
  </mergeCells>
  <printOptions horizontalCentered="1"/>
  <pageMargins left="0" right="0" top="0.35433070866141736" bottom="0.47244094488188981" header="0.74803149606299213" footer="0.74803149606299213"/>
  <pageSetup paperSize="9" scale="79" firstPageNumber="219" fitToWidth="3" fitToHeight="0" orientation="portrait" useFirstPageNumber="1" verticalDpi="300" r:id="rId1"/>
  <headerFooter>
    <oddFooter xml:space="preserve">&amp;LB.E.T.B.&amp;R&amp;P- Page </oddFooter>
  </headerFooter>
  <rowBreaks count="2" manualBreakCount="2">
    <brk id="57" max="6" man="1"/>
    <brk id="10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4121-2DB8-4D4E-8885-8496AB83DD15}">
  <dimension ref="A1:ZM164"/>
  <sheetViews>
    <sheetView showGridLines="0" zoomScale="84" zoomScaleNormal="84" zoomScaleSheetLayoutView="85" workbookViewId="0">
      <selection activeCell="B7" sqref="B7"/>
    </sheetView>
  </sheetViews>
  <sheetFormatPr baseColWidth="10" defaultColWidth="10.6640625" defaultRowHeight="14.4" x14ac:dyDescent="0.3"/>
  <cols>
    <col min="1" max="1" width="9.6640625" style="62" customWidth="1"/>
    <col min="2" max="2" width="36.33203125" style="62" customWidth="1"/>
    <col min="3" max="3" width="4.6640625" style="97" customWidth="1"/>
    <col min="4" max="4" width="10.6640625" style="172" customWidth="1"/>
    <col min="5" max="5" width="14.44140625" style="62" customWidth="1"/>
    <col min="6" max="6" width="12.6640625" style="1" customWidth="1"/>
    <col min="7" max="7" width="15.109375" style="174" customWidth="1"/>
    <col min="8" max="687" width="10.6640625" style="62"/>
    <col min="688" max="690" width="10.6640625" style="62" customWidth="1"/>
    <col min="691" max="16384" width="10.6640625" style="62"/>
  </cols>
  <sheetData>
    <row r="1" spans="1:689" ht="66.599999999999994" customHeight="1" x14ac:dyDescent="0.3">
      <c r="A1" s="522"/>
      <c r="B1" s="523"/>
      <c r="C1" s="523"/>
      <c r="D1" s="523"/>
      <c r="E1" s="523"/>
      <c r="F1" s="523"/>
      <c r="G1" s="523"/>
    </row>
    <row r="2" spans="1:689" s="60" customFormat="1" ht="51.6" customHeight="1" x14ac:dyDescent="0.3">
      <c r="A2" s="75"/>
      <c r="B2" s="76" t="s">
        <v>7</v>
      </c>
      <c r="C2" s="63" t="s">
        <v>0</v>
      </c>
      <c r="D2" s="154" t="s">
        <v>168</v>
      </c>
      <c r="E2" s="7" t="s">
        <v>8</v>
      </c>
      <c r="F2" s="7" t="s">
        <v>9</v>
      </c>
      <c r="G2" s="431" t="s">
        <v>163</v>
      </c>
    </row>
    <row r="3" spans="1:689" x14ac:dyDescent="0.3">
      <c r="A3" s="77"/>
      <c r="B3" s="78"/>
      <c r="C3" s="79"/>
      <c r="D3" s="155"/>
      <c r="E3" s="80"/>
      <c r="F3" s="12"/>
      <c r="G3" s="393"/>
    </row>
    <row r="4" spans="1:689" ht="15.6" x14ac:dyDescent="0.3">
      <c r="A4" s="81"/>
      <c r="B4" s="82" t="s">
        <v>110</v>
      </c>
      <c r="C4" s="83"/>
      <c r="D4" s="156"/>
      <c r="E4" s="84"/>
      <c r="F4" s="18"/>
      <c r="G4" s="166"/>
      <c r="ZL4" s="62" t="s">
        <v>111</v>
      </c>
      <c r="ZM4" s="85" t="s">
        <v>112</v>
      </c>
    </row>
    <row r="5" spans="1:689" x14ac:dyDescent="0.3">
      <c r="A5" s="86" t="s">
        <v>113</v>
      </c>
      <c r="B5" s="87" t="s">
        <v>114</v>
      </c>
      <c r="C5" s="83"/>
      <c r="D5" s="156"/>
      <c r="E5" s="84"/>
      <c r="F5" s="18"/>
      <c r="G5" s="166"/>
      <c r="ZL5" s="62" t="s">
        <v>79</v>
      </c>
      <c r="ZM5" s="85"/>
    </row>
    <row r="6" spans="1:689" s="104" customFormat="1" x14ac:dyDescent="0.3">
      <c r="A6" s="93"/>
      <c r="B6" s="185"/>
      <c r="C6" s="186"/>
      <c r="D6" s="156"/>
      <c r="E6" s="187"/>
      <c r="F6" s="54"/>
      <c r="G6" s="166"/>
      <c r="ZM6" s="105"/>
    </row>
    <row r="7" spans="1:689" x14ac:dyDescent="0.3">
      <c r="A7" s="88" t="s">
        <v>525</v>
      </c>
      <c r="B7" s="50" t="s">
        <v>157</v>
      </c>
      <c r="C7" s="89" t="s">
        <v>45</v>
      </c>
      <c r="D7" s="156">
        <v>140</v>
      </c>
      <c r="E7" s="90"/>
      <c r="F7" s="18"/>
      <c r="G7" s="166">
        <f>+E7*D7</f>
        <v>0</v>
      </c>
      <c r="ZL7" s="62" t="s">
        <v>81</v>
      </c>
      <c r="ZM7" s="85" t="s">
        <v>118</v>
      </c>
    </row>
    <row r="8" spans="1:689" x14ac:dyDescent="0.3">
      <c r="A8" s="91"/>
      <c r="B8" s="92" t="s">
        <v>46</v>
      </c>
      <c r="C8" s="83"/>
      <c r="D8" s="156"/>
      <c r="E8" s="84"/>
      <c r="F8" s="27"/>
      <c r="G8" s="166"/>
    </row>
    <row r="9" spans="1:689" x14ac:dyDescent="0.3">
      <c r="A9" s="91"/>
      <c r="B9" s="92"/>
      <c r="C9" s="83"/>
      <c r="D9" s="156"/>
      <c r="E9" s="84"/>
      <c r="F9" s="27"/>
      <c r="G9" s="166"/>
    </row>
    <row r="10" spans="1:689" x14ac:dyDescent="0.3">
      <c r="A10" s="86" t="s">
        <v>119</v>
      </c>
      <c r="B10" s="87" t="s">
        <v>6</v>
      </c>
      <c r="C10" s="83"/>
      <c r="D10" s="158"/>
      <c r="E10" s="84"/>
      <c r="F10" s="18"/>
      <c r="G10" s="166"/>
    </row>
    <row r="11" spans="1:689" x14ac:dyDescent="0.3">
      <c r="A11" s="93" t="s">
        <v>120</v>
      </c>
      <c r="B11" s="101" t="s">
        <v>124</v>
      </c>
      <c r="C11" s="83" t="s">
        <v>0</v>
      </c>
      <c r="D11" s="157">
        <v>10</v>
      </c>
      <c r="E11" s="90"/>
      <c r="F11" s="18"/>
      <c r="G11" s="166">
        <f>+E11*D11</f>
        <v>0</v>
      </c>
    </row>
    <row r="12" spans="1:689" x14ac:dyDescent="0.3">
      <c r="A12" s="91"/>
      <c r="B12" s="92" t="s">
        <v>36</v>
      </c>
      <c r="C12" s="62"/>
      <c r="D12" s="156"/>
      <c r="F12" s="18"/>
      <c r="G12" s="166"/>
    </row>
    <row r="13" spans="1:689" x14ac:dyDescent="0.3">
      <c r="A13" s="94"/>
      <c r="B13" s="188"/>
      <c r="C13" s="95"/>
      <c r="D13" s="156"/>
      <c r="E13" s="96"/>
      <c r="F13" s="18"/>
      <c r="G13" s="166"/>
    </row>
    <row r="14" spans="1:689" ht="15" customHeight="1" x14ac:dyDescent="0.3">
      <c r="A14" s="432"/>
      <c r="B14" s="524" t="s">
        <v>121</v>
      </c>
      <c r="C14" s="525"/>
      <c r="D14" s="525"/>
      <c r="E14" s="525"/>
      <c r="F14" s="526"/>
      <c r="G14" s="433">
        <f>SUM(G4:G12)</f>
        <v>0</v>
      </c>
      <c r="ZL14" s="62" t="s">
        <v>83</v>
      </c>
    </row>
    <row r="15" spans="1:689" x14ac:dyDescent="0.3">
      <c r="A15" s="430"/>
      <c r="B15" s="97"/>
      <c r="F15" s="62"/>
    </row>
    <row r="16" spans="1:689" x14ac:dyDescent="0.3">
      <c r="B16" s="527" t="s">
        <v>122</v>
      </c>
      <c r="C16" s="527"/>
      <c r="D16" s="527"/>
      <c r="E16" s="527"/>
      <c r="F16" s="527"/>
      <c r="G16" s="189">
        <f>+G14</f>
        <v>0</v>
      </c>
      <c r="ZL16" s="62" t="s">
        <v>84</v>
      </c>
    </row>
    <row r="17" spans="2:688" x14ac:dyDescent="0.3">
      <c r="B17" s="527" t="str">
        <f>CONCATENATE("TVA (",'[46]Recap Generale'!D14,"%)")</f>
        <v>TVA (20%)</v>
      </c>
      <c r="C17" s="527"/>
      <c r="D17" s="527"/>
      <c r="E17" s="527"/>
      <c r="F17" s="527"/>
      <c r="G17" s="189">
        <f>+G16*20%</f>
        <v>0</v>
      </c>
      <c r="ZL17" s="62" t="s">
        <v>68</v>
      </c>
    </row>
    <row r="18" spans="2:688" x14ac:dyDescent="0.3">
      <c r="B18" s="527" t="s">
        <v>67</v>
      </c>
      <c r="C18" s="527"/>
      <c r="D18" s="527"/>
      <c r="E18" s="527"/>
      <c r="F18" s="527"/>
      <c r="G18" s="189">
        <f>+G17+G16</f>
        <v>0</v>
      </c>
      <c r="ZL18" s="62" t="s">
        <v>85</v>
      </c>
    </row>
    <row r="19" spans="2:688" x14ac:dyDescent="0.3">
      <c r="B19" s="97"/>
      <c r="F19" s="62"/>
    </row>
    <row r="20" spans="2:688" x14ac:dyDescent="0.3">
      <c r="B20" s="97"/>
      <c r="F20" s="62"/>
    </row>
    <row r="21" spans="2:688" x14ac:dyDescent="0.3">
      <c r="B21" s="97"/>
      <c r="F21" s="62"/>
    </row>
    <row r="22" spans="2:688" x14ac:dyDescent="0.3">
      <c r="B22" s="97"/>
      <c r="F22" s="62"/>
    </row>
    <row r="23" spans="2:688" x14ac:dyDescent="0.3">
      <c r="B23" s="97"/>
      <c r="F23" s="62"/>
    </row>
    <row r="24" spans="2:688" x14ac:dyDescent="0.3">
      <c r="B24" s="97"/>
      <c r="F24" s="62"/>
    </row>
    <row r="25" spans="2:688" x14ac:dyDescent="0.3">
      <c r="B25" s="97"/>
      <c r="F25" s="62"/>
    </row>
    <row r="26" spans="2:688" x14ac:dyDescent="0.3">
      <c r="B26" s="97"/>
      <c r="F26" s="62"/>
    </row>
    <row r="27" spans="2:688" x14ac:dyDescent="0.3">
      <c r="B27" s="97"/>
      <c r="F27" s="62"/>
    </row>
    <row r="28" spans="2:688" x14ac:dyDescent="0.3">
      <c r="B28" s="97"/>
      <c r="F28" s="62"/>
    </row>
    <row r="29" spans="2:688" x14ac:dyDescent="0.3">
      <c r="B29" s="97"/>
      <c r="F29" s="62"/>
    </row>
    <row r="30" spans="2:688" x14ac:dyDescent="0.3">
      <c r="F30" s="62"/>
    </row>
    <row r="31" spans="2:688" x14ac:dyDescent="0.3">
      <c r="F31" s="62"/>
    </row>
    <row r="32" spans="2:688" x14ac:dyDescent="0.3">
      <c r="F32" s="62"/>
    </row>
    <row r="33" spans="6:6" x14ac:dyDescent="0.3">
      <c r="F33" s="62"/>
    </row>
    <row r="34" spans="6:6" x14ac:dyDescent="0.3">
      <c r="F34" s="62"/>
    </row>
    <row r="35" spans="6:6" x14ac:dyDescent="0.3">
      <c r="F35" s="62"/>
    </row>
    <row r="36" spans="6:6" x14ac:dyDescent="0.3">
      <c r="F36" s="62"/>
    </row>
    <row r="37" spans="6:6" x14ac:dyDescent="0.3">
      <c r="F37" s="62"/>
    </row>
    <row r="38" spans="6:6" x14ac:dyDescent="0.3">
      <c r="F38" s="62"/>
    </row>
    <row r="39" spans="6:6" x14ac:dyDescent="0.3">
      <c r="F39" s="62"/>
    </row>
    <row r="40" spans="6:6" x14ac:dyDescent="0.3">
      <c r="F40" s="62"/>
    </row>
    <row r="41" spans="6:6" x14ac:dyDescent="0.3">
      <c r="F41" s="62"/>
    </row>
    <row r="42" spans="6:6" x14ac:dyDescent="0.3">
      <c r="F42" s="62"/>
    </row>
    <row r="43" spans="6:6" x14ac:dyDescent="0.3">
      <c r="F43" s="62"/>
    </row>
    <row r="44" spans="6:6" x14ac:dyDescent="0.3">
      <c r="F44" s="62"/>
    </row>
    <row r="45" spans="6:6" x14ac:dyDescent="0.3">
      <c r="F45" s="62"/>
    </row>
    <row r="46" spans="6:6" x14ac:dyDescent="0.3">
      <c r="F46" s="62"/>
    </row>
    <row r="47" spans="6:6" x14ac:dyDescent="0.3">
      <c r="F47" s="62"/>
    </row>
    <row r="48" spans="6:6" x14ac:dyDescent="0.3">
      <c r="F48" s="62"/>
    </row>
    <row r="49" spans="6:6" x14ac:dyDescent="0.3">
      <c r="F49" s="62"/>
    </row>
    <row r="50" spans="6:6" x14ac:dyDescent="0.3">
      <c r="F50" s="62"/>
    </row>
    <row r="51" spans="6:6" x14ac:dyDescent="0.3">
      <c r="F51" s="62"/>
    </row>
    <row r="52" spans="6:6" x14ac:dyDescent="0.3">
      <c r="F52" s="62"/>
    </row>
    <row r="53" spans="6:6" x14ac:dyDescent="0.3">
      <c r="F53" s="62"/>
    </row>
    <row r="54" spans="6:6" x14ac:dyDescent="0.3">
      <c r="F54" s="62"/>
    </row>
    <row r="55" spans="6:6" x14ac:dyDescent="0.3">
      <c r="F55" s="62"/>
    </row>
    <row r="56" spans="6:6" x14ac:dyDescent="0.3">
      <c r="F56" s="62"/>
    </row>
    <row r="57" spans="6:6" x14ac:dyDescent="0.3">
      <c r="F57" s="62"/>
    </row>
    <row r="58" spans="6:6" x14ac:dyDescent="0.3">
      <c r="F58" s="62"/>
    </row>
    <row r="59" spans="6:6" x14ac:dyDescent="0.3">
      <c r="F59" s="62"/>
    </row>
    <row r="60" spans="6:6" x14ac:dyDescent="0.3">
      <c r="F60" s="62"/>
    </row>
    <row r="61" spans="6:6" x14ac:dyDescent="0.3">
      <c r="F61" s="62"/>
    </row>
    <row r="62" spans="6:6" x14ac:dyDescent="0.3">
      <c r="F62" s="62"/>
    </row>
    <row r="63" spans="6:6" x14ac:dyDescent="0.3">
      <c r="F63" s="62"/>
    </row>
    <row r="64" spans="6:6" x14ac:dyDescent="0.3">
      <c r="F64" s="62"/>
    </row>
    <row r="65" spans="6:6" x14ac:dyDescent="0.3">
      <c r="F65" s="62"/>
    </row>
    <row r="66" spans="6:6" x14ac:dyDescent="0.3">
      <c r="F66" s="62"/>
    </row>
    <row r="67" spans="6:6" x14ac:dyDescent="0.3">
      <c r="F67" s="62"/>
    </row>
    <row r="68" spans="6:6" x14ac:dyDescent="0.3">
      <c r="F68" s="62"/>
    </row>
    <row r="69" spans="6:6" x14ac:dyDescent="0.3">
      <c r="F69" s="62"/>
    </row>
    <row r="70" spans="6:6" x14ac:dyDescent="0.3">
      <c r="F70" s="62"/>
    </row>
    <row r="71" spans="6:6" x14ac:dyDescent="0.3">
      <c r="F71" s="62"/>
    </row>
    <row r="72" spans="6:6" x14ac:dyDescent="0.3">
      <c r="F72" s="62"/>
    </row>
    <row r="73" spans="6:6" x14ac:dyDescent="0.3">
      <c r="F73" s="62"/>
    </row>
    <row r="74" spans="6:6" x14ac:dyDescent="0.3">
      <c r="F74" s="62"/>
    </row>
    <row r="75" spans="6:6" x14ac:dyDescent="0.3">
      <c r="F75" s="62"/>
    </row>
    <row r="76" spans="6:6" x14ac:dyDescent="0.3">
      <c r="F76" s="62"/>
    </row>
    <row r="77" spans="6:6" x14ac:dyDescent="0.3">
      <c r="F77" s="62"/>
    </row>
    <row r="78" spans="6:6" x14ac:dyDescent="0.3">
      <c r="F78" s="62"/>
    </row>
    <row r="79" spans="6:6" x14ac:dyDescent="0.3">
      <c r="F79" s="62"/>
    </row>
    <row r="80" spans="6:6" x14ac:dyDescent="0.3">
      <c r="F80" s="62"/>
    </row>
    <row r="81" spans="6:6" x14ac:dyDescent="0.3">
      <c r="F81" s="62"/>
    </row>
    <row r="82" spans="6:6" x14ac:dyDescent="0.3">
      <c r="F82" s="62"/>
    </row>
    <row r="83" spans="6:6" x14ac:dyDescent="0.3">
      <c r="F83" s="62"/>
    </row>
    <row r="84" spans="6:6" x14ac:dyDescent="0.3">
      <c r="F84" s="62"/>
    </row>
    <row r="85" spans="6:6" x14ac:dyDescent="0.3">
      <c r="F85" s="62"/>
    </row>
    <row r="86" spans="6:6" x14ac:dyDescent="0.3">
      <c r="F86" s="62"/>
    </row>
    <row r="87" spans="6:6" x14ac:dyDescent="0.3">
      <c r="F87" s="62"/>
    </row>
    <row r="88" spans="6:6" x14ac:dyDescent="0.3">
      <c r="F88" s="62"/>
    </row>
    <row r="89" spans="6:6" x14ac:dyDescent="0.3">
      <c r="F89" s="62"/>
    </row>
    <row r="90" spans="6:6" x14ac:dyDescent="0.3">
      <c r="F90" s="62"/>
    </row>
    <row r="91" spans="6:6" x14ac:dyDescent="0.3">
      <c r="F91" s="62"/>
    </row>
    <row r="92" spans="6:6" x14ac:dyDescent="0.3">
      <c r="F92" s="62"/>
    </row>
    <row r="93" spans="6:6" x14ac:dyDescent="0.3">
      <c r="F93" s="62"/>
    </row>
    <row r="94" spans="6:6" x14ac:dyDescent="0.3">
      <c r="F94" s="62"/>
    </row>
    <row r="95" spans="6:6" x14ac:dyDescent="0.3">
      <c r="F95" s="62"/>
    </row>
    <row r="96" spans="6:6" x14ac:dyDescent="0.3">
      <c r="F96" s="62"/>
    </row>
    <row r="97" spans="6:6" x14ac:dyDescent="0.3">
      <c r="F97" s="62"/>
    </row>
    <row r="98" spans="6:6" x14ac:dyDescent="0.3">
      <c r="F98" s="62"/>
    </row>
    <row r="99" spans="6:6" x14ac:dyDescent="0.3">
      <c r="F99" s="62"/>
    </row>
    <row r="100" spans="6:6" x14ac:dyDescent="0.3">
      <c r="F100" s="62"/>
    </row>
    <row r="101" spans="6:6" x14ac:dyDescent="0.3">
      <c r="F101" s="62"/>
    </row>
    <row r="102" spans="6:6" x14ac:dyDescent="0.3">
      <c r="F102" s="62"/>
    </row>
    <row r="103" spans="6:6" x14ac:dyDescent="0.3">
      <c r="F103" s="62"/>
    </row>
    <row r="104" spans="6:6" x14ac:dyDescent="0.3">
      <c r="F104" s="62"/>
    </row>
    <row r="105" spans="6:6" x14ac:dyDescent="0.3">
      <c r="F105" s="62"/>
    </row>
    <row r="106" spans="6:6" x14ac:dyDescent="0.3">
      <c r="F106" s="62"/>
    </row>
    <row r="107" spans="6:6" x14ac:dyDescent="0.3">
      <c r="F107" s="62"/>
    </row>
    <row r="108" spans="6:6" x14ac:dyDescent="0.3">
      <c r="F108" s="62"/>
    </row>
    <row r="109" spans="6:6" x14ac:dyDescent="0.3">
      <c r="F109" s="62"/>
    </row>
    <row r="110" spans="6:6" x14ac:dyDescent="0.3">
      <c r="F110" s="62"/>
    </row>
    <row r="111" spans="6:6" x14ac:dyDescent="0.3">
      <c r="F111" s="62"/>
    </row>
    <row r="112" spans="6:6" x14ac:dyDescent="0.3">
      <c r="F112" s="62"/>
    </row>
    <row r="113" spans="6:6" x14ac:dyDescent="0.3">
      <c r="F113" s="62"/>
    </row>
    <row r="114" spans="6:6" x14ac:dyDescent="0.3">
      <c r="F114" s="62"/>
    </row>
    <row r="115" spans="6:6" x14ac:dyDescent="0.3">
      <c r="F115" s="62"/>
    </row>
    <row r="116" spans="6:6" x14ac:dyDescent="0.3">
      <c r="F116" s="62"/>
    </row>
    <row r="117" spans="6:6" x14ac:dyDescent="0.3">
      <c r="F117" s="62"/>
    </row>
    <row r="118" spans="6:6" x14ac:dyDescent="0.3">
      <c r="F118" s="62"/>
    </row>
    <row r="119" spans="6:6" x14ac:dyDescent="0.3">
      <c r="F119" s="62"/>
    </row>
    <row r="120" spans="6:6" x14ac:dyDescent="0.3">
      <c r="F120" s="62"/>
    </row>
    <row r="121" spans="6:6" x14ac:dyDescent="0.3">
      <c r="F121" s="62"/>
    </row>
    <row r="122" spans="6:6" x14ac:dyDescent="0.3">
      <c r="F122" s="62"/>
    </row>
    <row r="123" spans="6:6" x14ac:dyDescent="0.3">
      <c r="F123" s="62"/>
    </row>
    <row r="124" spans="6:6" x14ac:dyDescent="0.3">
      <c r="F124" s="62"/>
    </row>
    <row r="125" spans="6:6" x14ac:dyDescent="0.3">
      <c r="F125" s="62"/>
    </row>
    <row r="126" spans="6:6" x14ac:dyDescent="0.3">
      <c r="F126" s="62"/>
    </row>
    <row r="127" spans="6:6" x14ac:dyDescent="0.3">
      <c r="F127" s="62"/>
    </row>
    <row r="128" spans="6:6" x14ac:dyDescent="0.3">
      <c r="F128" s="62"/>
    </row>
    <row r="129" spans="6:6" x14ac:dyDescent="0.3">
      <c r="F129" s="62"/>
    </row>
    <row r="130" spans="6:6" x14ac:dyDescent="0.3">
      <c r="F130" s="62"/>
    </row>
    <row r="131" spans="6:6" x14ac:dyDescent="0.3">
      <c r="F131" s="62"/>
    </row>
    <row r="132" spans="6:6" x14ac:dyDescent="0.3">
      <c r="F132" s="62"/>
    </row>
    <row r="133" spans="6:6" x14ac:dyDescent="0.3">
      <c r="F133" s="62"/>
    </row>
    <row r="134" spans="6:6" x14ac:dyDescent="0.3">
      <c r="F134" s="62"/>
    </row>
    <row r="135" spans="6:6" x14ac:dyDescent="0.3">
      <c r="F135" s="62"/>
    </row>
    <row r="136" spans="6:6" x14ac:dyDescent="0.3">
      <c r="F136" s="62"/>
    </row>
    <row r="137" spans="6:6" x14ac:dyDescent="0.3">
      <c r="F137" s="62"/>
    </row>
    <row r="138" spans="6:6" x14ac:dyDescent="0.3">
      <c r="F138" s="62"/>
    </row>
    <row r="139" spans="6:6" x14ac:dyDescent="0.3">
      <c r="F139" s="62"/>
    </row>
    <row r="140" spans="6:6" x14ac:dyDescent="0.3">
      <c r="F140" s="62"/>
    </row>
    <row r="141" spans="6:6" x14ac:dyDescent="0.3">
      <c r="F141" s="62"/>
    </row>
    <row r="142" spans="6:6" x14ac:dyDescent="0.3">
      <c r="F142" s="62"/>
    </row>
    <row r="143" spans="6:6" x14ac:dyDescent="0.3">
      <c r="F143" s="62"/>
    </row>
    <row r="144" spans="6:6" x14ac:dyDescent="0.3">
      <c r="F144" s="62"/>
    </row>
    <row r="145" spans="6:6" x14ac:dyDescent="0.3">
      <c r="F145" s="62"/>
    </row>
    <row r="146" spans="6:6" x14ac:dyDescent="0.3">
      <c r="F146" s="62"/>
    </row>
    <row r="147" spans="6:6" x14ac:dyDescent="0.3">
      <c r="F147" s="62"/>
    </row>
    <row r="148" spans="6:6" x14ac:dyDescent="0.3">
      <c r="F148" s="62"/>
    </row>
    <row r="149" spans="6:6" x14ac:dyDescent="0.3">
      <c r="F149" s="62"/>
    </row>
    <row r="150" spans="6:6" x14ac:dyDescent="0.3">
      <c r="F150" s="62"/>
    </row>
    <row r="151" spans="6:6" x14ac:dyDescent="0.3">
      <c r="F151" s="62"/>
    </row>
    <row r="152" spans="6:6" x14ac:dyDescent="0.3">
      <c r="F152" s="62"/>
    </row>
    <row r="153" spans="6:6" x14ac:dyDescent="0.3">
      <c r="F153" s="62"/>
    </row>
    <row r="154" spans="6:6" x14ac:dyDescent="0.3">
      <c r="F154" s="62"/>
    </row>
    <row r="155" spans="6:6" x14ac:dyDescent="0.3">
      <c r="F155" s="62"/>
    </row>
    <row r="156" spans="6:6" x14ac:dyDescent="0.3">
      <c r="F156" s="62"/>
    </row>
    <row r="157" spans="6:6" x14ac:dyDescent="0.3">
      <c r="F157" s="62"/>
    </row>
    <row r="158" spans="6:6" x14ac:dyDescent="0.3">
      <c r="F158" s="62"/>
    </row>
    <row r="159" spans="6:6" x14ac:dyDescent="0.3">
      <c r="F159" s="62"/>
    </row>
    <row r="160" spans="6:6" x14ac:dyDescent="0.3">
      <c r="F160" s="62"/>
    </row>
    <row r="161" spans="6:6" x14ac:dyDescent="0.3">
      <c r="F161" s="62"/>
    </row>
    <row r="162" spans="6:6" x14ac:dyDescent="0.3">
      <c r="F162" s="62"/>
    </row>
    <row r="163" spans="6:6" x14ac:dyDescent="0.3">
      <c r="F163" s="62"/>
    </row>
    <row r="164" spans="6:6" x14ac:dyDescent="0.3">
      <c r="F164" s="62"/>
    </row>
  </sheetData>
  <mergeCells count="5">
    <mergeCell ref="A1:G1"/>
    <mergeCell ref="B14:F14"/>
    <mergeCell ref="B16:F16"/>
    <mergeCell ref="B17:F17"/>
    <mergeCell ref="B18:F18"/>
  </mergeCells>
  <printOptions horizontalCentered="1"/>
  <pageMargins left="0" right="0" top="0.39370078740157483" bottom="0.39370078740157483" header="0.74803149606299213" footer="0.74803149606299213"/>
  <pageSetup paperSize="9" scale="95" firstPageNumber="222" fitToHeight="0" orientation="portrait" useFirstPageNumber="1" horizontalDpi="300" verticalDpi="300" r:id="rId1"/>
  <headerFooter>
    <oddFooter>&amp;LB.E.T.B&amp;RPage -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9E01-7ED5-479F-883F-E4A6800AEC72}">
  <dimension ref="A1:ZQ26"/>
  <sheetViews>
    <sheetView showGridLines="0" view="pageBreakPreview" topLeftCell="A4" zoomScale="86" zoomScaleNormal="86" zoomScaleSheetLayoutView="86" workbookViewId="0">
      <selection activeCell="E5" sqref="E5:E20"/>
    </sheetView>
  </sheetViews>
  <sheetFormatPr baseColWidth="10" defaultColWidth="10.6640625" defaultRowHeight="14.4" x14ac:dyDescent="0.3"/>
  <cols>
    <col min="1" max="1" width="9.6640625" style="110" customWidth="1"/>
    <col min="2" max="2" width="52.6640625" style="110" customWidth="1"/>
    <col min="3" max="3" width="6.6640625" style="151" customWidth="1"/>
    <col min="4" max="4" width="13.6640625" style="178" customWidth="1"/>
    <col min="5" max="5" width="14.109375" style="110" customWidth="1"/>
    <col min="6" max="6" width="15.109375" style="110" customWidth="1"/>
    <col min="7" max="7" width="18.109375" style="174" customWidth="1"/>
    <col min="8" max="691" width="10.6640625" style="110"/>
    <col min="692" max="694" width="10.6640625" style="110" customWidth="1"/>
    <col min="695" max="16384" width="10.6640625" style="110"/>
  </cols>
  <sheetData>
    <row r="1" spans="1:693" ht="64.5" customHeight="1" x14ac:dyDescent="0.3">
      <c r="A1" s="528"/>
      <c r="B1" s="528"/>
      <c r="C1" s="528"/>
      <c r="D1" s="528"/>
      <c r="E1" s="528"/>
      <c r="F1" s="528"/>
      <c r="G1" s="528"/>
    </row>
    <row r="2" spans="1:693" s="114" customFormat="1" ht="43.2" x14ac:dyDescent="0.3">
      <c r="A2" s="111"/>
      <c r="B2" s="112" t="s">
        <v>7</v>
      </c>
      <c r="C2" s="113" t="s">
        <v>0</v>
      </c>
      <c r="D2" s="175" t="s">
        <v>166</v>
      </c>
      <c r="E2" s="5" t="s">
        <v>8</v>
      </c>
      <c r="F2" s="7" t="s">
        <v>175</v>
      </c>
      <c r="G2" s="179" t="s">
        <v>167</v>
      </c>
    </row>
    <row r="3" spans="1:693" x14ac:dyDescent="0.3">
      <c r="A3" s="115"/>
      <c r="B3" s="116"/>
      <c r="C3" s="117"/>
      <c r="D3" s="176"/>
      <c r="E3" s="118"/>
      <c r="F3" s="119"/>
      <c r="G3" s="166"/>
    </row>
    <row r="4" spans="1:693" x14ac:dyDescent="0.3">
      <c r="A4" s="20" t="s">
        <v>138</v>
      </c>
      <c r="B4" s="120" t="s">
        <v>139</v>
      </c>
      <c r="C4" s="121"/>
      <c r="D4" s="176"/>
      <c r="E4" s="122"/>
      <c r="F4" s="123"/>
      <c r="G4" s="166"/>
      <c r="ZP4" s="110" t="s">
        <v>111</v>
      </c>
      <c r="ZQ4" s="124" t="s">
        <v>112</v>
      </c>
    </row>
    <row r="5" spans="1:693" ht="30.75" customHeight="1" x14ac:dyDescent="0.3">
      <c r="A5" s="125" t="s">
        <v>140</v>
      </c>
      <c r="B5" s="126" t="s">
        <v>141</v>
      </c>
      <c r="C5" s="127"/>
      <c r="D5" s="176"/>
      <c r="E5" s="128"/>
      <c r="F5" s="129"/>
      <c r="G5" s="166"/>
      <c r="ZP5" s="110" t="s">
        <v>80</v>
      </c>
      <c r="ZQ5" s="124"/>
    </row>
    <row r="6" spans="1:693" ht="20.100000000000001" customHeight="1" x14ac:dyDescent="0.3">
      <c r="A6" s="130"/>
      <c r="B6" s="131" t="s">
        <v>142</v>
      </c>
      <c r="C6" s="132" t="s">
        <v>143</v>
      </c>
      <c r="D6" s="177">
        <v>102040</v>
      </c>
      <c r="E6" s="128"/>
      <c r="F6" s="129"/>
      <c r="G6" s="167">
        <f>+D6*E6</f>
        <v>0</v>
      </c>
      <c r="ZP6" s="110" t="s">
        <v>81</v>
      </c>
      <c r="ZQ6" s="124" t="s">
        <v>115</v>
      </c>
    </row>
    <row r="7" spans="1:693" x14ac:dyDescent="0.3">
      <c r="A7" s="125" t="s">
        <v>144</v>
      </c>
      <c r="B7" s="133" t="s">
        <v>159</v>
      </c>
      <c r="C7" s="134"/>
      <c r="D7" s="177"/>
      <c r="E7" s="135"/>
      <c r="F7" s="136"/>
      <c r="G7" s="167"/>
    </row>
    <row r="8" spans="1:693" ht="20.100000000000001" customHeight="1" x14ac:dyDescent="0.3">
      <c r="A8" s="137"/>
      <c r="B8" s="138" t="s">
        <v>46</v>
      </c>
      <c r="C8" s="139" t="s">
        <v>134</v>
      </c>
      <c r="D8" s="177">
        <v>2560</v>
      </c>
      <c r="E8" s="140"/>
      <c r="F8" s="141"/>
      <c r="G8" s="167">
        <f>+D8*E8</f>
        <v>0</v>
      </c>
      <c r="ZP8" s="110" t="s">
        <v>80</v>
      </c>
      <c r="ZQ8" s="124"/>
    </row>
    <row r="9" spans="1:693" x14ac:dyDescent="0.3">
      <c r="A9" s="125" t="s">
        <v>145</v>
      </c>
      <c r="B9" s="133" t="s">
        <v>169</v>
      </c>
      <c r="C9" s="134"/>
      <c r="D9" s="177"/>
      <c r="E9" s="135"/>
      <c r="F9" s="136"/>
      <c r="G9" s="167"/>
    </row>
    <row r="10" spans="1:693" ht="20.100000000000001" customHeight="1" x14ac:dyDescent="0.3">
      <c r="A10" s="137"/>
      <c r="B10" s="138" t="s">
        <v>46</v>
      </c>
      <c r="C10" s="139" t="s">
        <v>134</v>
      </c>
      <c r="D10" s="177">
        <v>720</v>
      </c>
      <c r="E10" s="140"/>
      <c r="F10" s="141"/>
      <c r="G10" s="167">
        <f>+D10*E10</f>
        <v>0</v>
      </c>
      <c r="ZP10" s="110" t="s">
        <v>80</v>
      </c>
      <c r="ZQ10" s="124"/>
    </row>
    <row r="11" spans="1:693" x14ac:dyDescent="0.3">
      <c r="A11" s="125" t="s">
        <v>148</v>
      </c>
      <c r="B11" s="126" t="s">
        <v>146</v>
      </c>
      <c r="C11" s="132"/>
      <c r="D11" s="177"/>
      <c r="E11" s="142"/>
      <c r="F11" s="143"/>
      <c r="G11" s="167"/>
      <c r="ZP11" s="110" t="s">
        <v>81</v>
      </c>
      <c r="ZQ11" s="124" t="s">
        <v>116</v>
      </c>
    </row>
    <row r="12" spans="1:693" ht="20.100000000000001" customHeight="1" x14ac:dyDescent="0.3">
      <c r="A12" s="130"/>
      <c r="B12" s="131" t="s">
        <v>147</v>
      </c>
      <c r="C12" s="132" t="s">
        <v>0</v>
      </c>
      <c r="D12" s="177">
        <v>84</v>
      </c>
      <c r="E12" s="128"/>
      <c r="F12" s="129"/>
      <c r="G12" s="167">
        <f>+D12*E12</f>
        <v>0</v>
      </c>
    </row>
    <row r="13" spans="1:693" x14ac:dyDescent="0.3">
      <c r="A13" s="125" t="s">
        <v>150</v>
      </c>
      <c r="B13" s="126" t="s">
        <v>154</v>
      </c>
      <c r="C13" s="132"/>
      <c r="D13" s="177"/>
      <c r="E13" s="142"/>
      <c r="F13" s="143"/>
      <c r="G13" s="167"/>
      <c r="ZP13" s="110" t="s">
        <v>80</v>
      </c>
      <c r="ZQ13" s="124"/>
    </row>
    <row r="14" spans="1:693" ht="20.100000000000001" customHeight="1" x14ac:dyDescent="0.3">
      <c r="A14" s="130"/>
      <c r="B14" s="138" t="s">
        <v>32</v>
      </c>
      <c r="C14" s="132" t="s">
        <v>133</v>
      </c>
      <c r="D14" s="177">
        <v>102</v>
      </c>
      <c r="E14" s="128"/>
      <c r="F14" s="129"/>
      <c r="G14" s="167">
        <f>+D14*E14</f>
        <v>0</v>
      </c>
      <c r="ZP14" s="110" t="s">
        <v>81</v>
      </c>
      <c r="ZQ14" s="124" t="s">
        <v>149</v>
      </c>
    </row>
    <row r="15" spans="1:693" x14ac:dyDescent="0.3">
      <c r="A15" s="125" t="s">
        <v>152</v>
      </c>
      <c r="B15" s="133" t="s">
        <v>151</v>
      </c>
      <c r="C15" s="139"/>
      <c r="D15" s="177"/>
      <c r="E15" s="135"/>
      <c r="F15" s="136"/>
      <c r="G15" s="167"/>
    </row>
    <row r="16" spans="1:693" ht="20.100000000000001" customHeight="1" x14ac:dyDescent="0.3">
      <c r="A16" s="137"/>
      <c r="B16" s="131" t="s">
        <v>147</v>
      </c>
      <c r="C16" s="139" t="s">
        <v>0</v>
      </c>
      <c r="D16" s="177">
        <v>15</v>
      </c>
      <c r="E16" s="140"/>
      <c r="F16" s="141"/>
      <c r="G16" s="167">
        <f>+D16*E16</f>
        <v>0</v>
      </c>
      <c r="ZP16" s="110" t="s">
        <v>80</v>
      </c>
      <c r="ZQ16" s="124"/>
    </row>
    <row r="17" spans="1:693" x14ac:dyDescent="0.3">
      <c r="A17" s="125" t="s">
        <v>153</v>
      </c>
      <c r="B17" s="133" t="s">
        <v>155</v>
      </c>
      <c r="C17" s="139"/>
      <c r="D17" s="177"/>
      <c r="E17" s="135"/>
      <c r="F17" s="136"/>
      <c r="G17" s="167"/>
      <c r="ZP17" s="110" t="s">
        <v>81</v>
      </c>
      <c r="ZQ17" s="124" t="s">
        <v>117</v>
      </c>
    </row>
    <row r="18" spans="1:693" ht="20.100000000000001" customHeight="1" x14ac:dyDescent="0.3">
      <c r="A18" s="137"/>
      <c r="B18" s="138" t="s">
        <v>32</v>
      </c>
      <c r="C18" s="139" t="s">
        <v>133</v>
      </c>
      <c r="D18" s="177">
        <v>205</v>
      </c>
      <c r="E18" s="140"/>
      <c r="F18" s="141"/>
      <c r="G18" s="167">
        <f>+D18*E18</f>
        <v>0</v>
      </c>
    </row>
    <row r="19" spans="1:693" x14ac:dyDescent="0.3">
      <c r="A19" s="125" t="s">
        <v>171</v>
      </c>
      <c r="B19" s="133" t="s">
        <v>156</v>
      </c>
      <c r="C19" s="132"/>
      <c r="D19" s="177"/>
      <c r="E19" s="142"/>
      <c r="F19" s="143"/>
      <c r="G19" s="167"/>
    </row>
    <row r="20" spans="1:693" ht="20.100000000000001" customHeight="1" x14ac:dyDescent="0.3">
      <c r="A20" s="130"/>
      <c r="B20" s="131" t="s">
        <v>46</v>
      </c>
      <c r="C20" s="132" t="s">
        <v>134</v>
      </c>
      <c r="D20" s="177">
        <v>3280</v>
      </c>
      <c r="E20" s="128"/>
      <c r="F20" s="129"/>
      <c r="G20" s="167">
        <f>+D20*E20</f>
        <v>0</v>
      </c>
      <c r="ZP20" s="110" t="s">
        <v>80</v>
      </c>
      <c r="ZQ20" s="124"/>
    </row>
    <row r="21" spans="1:693" x14ac:dyDescent="0.3">
      <c r="A21" s="144"/>
      <c r="B21" s="191"/>
      <c r="C21" s="145"/>
      <c r="D21" s="177"/>
      <c r="E21" s="146"/>
      <c r="F21" s="147"/>
      <c r="G21" s="167"/>
    </row>
    <row r="22" spans="1:693" ht="15" customHeight="1" x14ac:dyDescent="0.3">
      <c r="A22" s="148"/>
      <c r="B22" s="530" t="s">
        <v>506</v>
      </c>
      <c r="C22" s="531"/>
      <c r="D22" s="531"/>
      <c r="E22" s="531"/>
      <c r="F22" s="532"/>
      <c r="G22" s="180">
        <f>+SUM(G6:G21)</f>
        <v>0</v>
      </c>
      <c r="ZP22" s="110" t="s">
        <v>83</v>
      </c>
    </row>
    <row r="23" spans="1:693" x14ac:dyDescent="0.3">
      <c r="A23" s="149"/>
      <c r="B23" s="149"/>
      <c r="C23" s="150"/>
    </row>
    <row r="24" spans="1:693" x14ac:dyDescent="0.3">
      <c r="B24" s="529" t="s">
        <v>176</v>
      </c>
      <c r="C24" s="529"/>
      <c r="D24" s="529"/>
      <c r="E24" s="529"/>
      <c r="F24" s="529"/>
      <c r="G24" s="190">
        <f>+G22</f>
        <v>0</v>
      </c>
      <c r="ZP24" s="110" t="s">
        <v>84</v>
      </c>
    </row>
    <row r="25" spans="1:693" x14ac:dyDescent="0.3">
      <c r="B25" s="529" t="str">
        <f>CONCATENATE("TVA (",'[46]Recap Generale'!D14,"%)")</f>
        <v>TVA (20%)</v>
      </c>
      <c r="C25" s="529"/>
      <c r="D25" s="529"/>
      <c r="E25" s="529"/>
      <c r="F25" s="529"/>
      <c r="G25" s="190">
        <f>G24*20%</f>
        <v>0</v>
      </c>
      <c r="ZP25" s="110" t="s">
        <v>68</v>
      </c>
    </row>
    <row r="26" spans="1:693" x14ac:dyDescent="0.3">
      <c r="B26" s="529" t="s">
        <v>67</v>
      </c>
      <c r="C26" s="529"/>
      <c r="D26" s="529"/>
      <c r="E26" s="529"/>
      <c r="F26" s="529"/>
      <c r="G26" s="190">
        <f>+G25+G24</f>
        <v>0</v>
      </c>
      <c r="ZP26" s="110" t="s">
        <v>85</v>
      </c>
    </row>
  </sheetData>
  <mergeCells count="5">
    <mergeCell ref="A1:G1"/>
    <mergeCell ref="B24:F24"/>
    <mergeCell ref="B25:F25"/>
    <mergeCell ref="B26:F26"/>
    <mergeCell ref="B22:F22"/>
  </mergeCells>
  <printOptions horizontalCentered="1"/>
  <pageMargins left="0" right="0" top="0.39370078740157483" bottom="0.39370078740157483" header="0.74803149606299213" footer="0.74803149606299213"/>
  <pageSetup paperSize="8" firstPageNumber="223" fitToWidth="3" fitToHeight="0" orientation="portrait" useFirstPageNumber="1" horizontalDpi="300" verticalDpi="300" r:id="rId1"/>
  <headerFooter>
    <oddFooter>&amp;LB.E.T.B&amp;RPage -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6359-F66A-41DC-984A-B1C5C2C47C9E}">
  <dimension ref="A2:G351"/>
  <sheetViews>
    <sheetView topLeftCell="A308" zoomScaleNormal="100" workbookViewId="0">
      <selection activeCell="E309" sqref="E309:E322"/>
    </sheetView>
  </sheetViews>
  <sheetFormatPr baseColWidth="10" defaultColWidth="11.44140625" defaultRowHeight="9.6" x14ac:dyDescent="0.2"/>
  <cols>
    <col min="1" max="1" width="4.44140625" style="457" customWidth="1"/>
    <col min="2" max="2" width="55" style="458" customWidth="1"/>
    <col min="3" max="3" width="4.5546875" style="459" customWidth="1"/>
    <col min="4" max="4" width="10.5546875" style="458" customWidth="1"/>
    <col min="5" max="5" width="12" style="458" customWidth="1"/>
    <col min="6" max="6" width="11.44140625" style="458" customWidth="1"/>
    <col min="7" max="7" width="18.109375" style="458" customWidth="1"/>
    <col min="8" max="16384" width="11.44140625" style="458"/>
  </cols>
  <sheetData>
    <row r="2" spans="1:7" ht="43.2" customHeight="1" x14ac:dyDescent="0.2"/>
    <row r="3" spans="1:7" ht="10.5" customHeight="1" x14ac:dyDescent="0.2">
      <c r="A3" s="543" t="s">
        <v>530</v>
      </c>
      <c r="B3" s="544" t="s">
        <v>531</v>
      </c>
      <c r="C3" s="546" t="s">
        <v>0</v>
      </c>
      <c r="D3" s="535" t="s">
        <v>532</v>
      </c>
      <c r="E3" s="535" t="s">
        <v>533</v>
      </c>
      <c r="F3" s="535" t="s">
        <v>534</v>
      </c>
      <c r="G3" s="537" t="s">
        <v>535</v>
      </c>
    </row>
    <row r="4" spans="1:7" ht="38.4" customHeight="1" x14ac:dyDescent="0.2">
      <c r="A4" s="543"/>
      <c r="B4" s="545"/>
      <c r="C4" s="546"/>
      <c r="D4" s="536"/>
      <c r="E4" s="536"/>
      <c r="F4" s="536"/>
      <c r="G4" s="538"/>
    </row>
    <row r="5" spans="1:7" ht="10.5" customHeight="1" x14ac:dyDescent="0.2">
      <c r="A5" s="460" t="s">
        <v>536</v>
      </c>
      <c r="B5" s="461" t="s">
        <v>537</v>
      </c>
      <c r="C5" s="488"/>
      <c r="D5" s="493"/>
      <c r="E5" s="494"/>
      <c r="F5" s="494"/>
      <c r="G5" s="490"/>
    </row>
    <row r="6" spans="1:7" x14ac:dyDescent="0.2">
      <c r="A6" s="460"/>
      <c r="B6" s="461"/>
      <c r="C6" s="488"/>
      <c r="D6" s="493"/>
      <c r="E6" s="493"/>
      <c r="F6" s="493"/>
      <c r="G6" s="491"/>
    </row>
    <row r="7" spans="1:7" x14ac:dyDescent="0.2">
      <c r="A7" s="460"/>
      <c r="B7" s="463"/>
      <c r="C7" s="488"/>
      <c r="D7" s="493"/>
      <c r="E7" s="493"/>
      <c r="F7" s="493"/>
      <c r="G7" s="492"/>
    </row>
    <row r="8" spans="1:7" x14ac:dyDescent="0.2">
      <c r="A8" s="460" t="s">
        <v>538</v>
      </c>
      <c r="B8" s="464" t="s">
        <v>539</v>
      </c>
      <c r="C8" s="488"/>
      <c r="D8" s="493"/>
      <c r="E8" s="495"/>
      <c r="F8" s="495"/>
      <c r="G8" s="492"/>
    </row>
    <row r="9" spans="1:7" x14ac:dyDescent="0.2">
      <c r="A9" s="460"/>
      <c r="B9" s="463" t="s">
        <v>540</v>
      </c>
      <c r="C9" s="488" t="s">
        <v>541</v>
      </c>
      <c r="D9" s="493">
        <v>2</v>
      </c>
      <c r="E9" s="495"/>
      <c r="F9" s="495"/>
      <c r="G9" s="492">
        <f>+D9*E9</f>
        <v>0</v>
      </c>
    </row>
    <row r="10" spans="1:7" x14ac:dyDescent="0.2">
      <c r="A10" s="460"/>
      <c r="B10" s="463"/>
      <c r="C10" s="488"/>
      <c r="D10" s="493"/>
      <c r="E10" s="495"/>
      <c r="F10" s="495"/>
      <c r="G10" s="492"/>
    </row>
    <row r="11" spans="1:7" x14ac:dyDescent="0.2">
      <c r="A11" s="460" t="s">
        <v>542</v>
      </c>
      <c r="B11" s="464" t="s">
        <v>543</v>
      </c>
      <c r="C11" s="488"/>
      <c r="D11" s="493"/>
      <c r="E11" s="495"/>
      <c r="F11" s="495"/>
      <c r="G11" s="492"/>
    </row>
    <row r="12" spans="1:7" x14ac:dyDescent="0.2">
      <c r="A12" s="460"/>
      <c r="B12" s="463" t="s">
        <v>540</v>
      </c>
      <c r="C12" s="488" t="s">
        <v>541</v>
      </c>
      <c r="D12" s="493">
        <v>1</v>
      </c>
      <c r="E12" s="495"/>
      <c r="F12" s="495"/>
      <c r="G12" s="492">
        <f t="shared" ref="G12:G50" si="0">+D12*E12</f>
        <v>0</v>
      </c>
    </row>
    <row r="13" spans="1:7" x14ac:dyDescent="0.2">
      <c r="A13" s="460"/>
      <c r="B13" s="463"/>
      <c r="C13" s="488"/>
      <c r="D13" s="493"/>
      <c r="E13" s="493"/>
      <c r="F13" s="493"/>
      <c r="G13" s="492"/>
    </row>
    <row r="14" spans="1:7" x14ac:dyDescent="0.2">
      <c r="A14" s="460" t="s">
        <v>544</v>
      </c>
      <c r="B14" s="464" t="s">
        <v>545</v>
      </c>
      <c r="C14" s="488"/>
      <c r="D14" s="493"/>
      <c r="E14" s="495"/>
      <c r="F14" s="495"/>
      <c r="G14" s="492"/>
    </row>
    <row r="15" spans="1:7" x14ac:dyDescent="0.2">
      <c r="A15" s="460" t="s">
        <v>209</v>
      </c>
      <c r="B15" s="463" t="s">
        <v>546</v>
      </c>
      <c r="C15" s="488"/>
      <c r="D15" s="493"/>
      <c r="E15" s="495"/>
      <c r="F15" s="495"/>
      <c r="G15" s="492"/>
    </row>
    <row r="16" spans="1:7" x14ac:dyDescent="0.2">
      <c r="A16" s="460"/>
      <c r="B16" s="463" t="s">
        <v>540</v>
      </c>
      <c r="C16" s="488" t="s">
        <v>541</v>
      </c>
      <c r="D16" s="493">
        <v>1</v>
      </c>
      <c r="E16" s="495"/>
      <c r="F16" s="495"/>
      <c r="G16" s="492">
        <f t="shared" si="0"/>
        <v>0</v>
      </c>
    </row>
    <row r="17" spans="1:7" x14ac:dyDescent="0.2">
      <c r="A17" s="460"/>
      <c r="B17" s="463"/>
      <c r="C17" s="488"/>
      <c r="D17" s="493"/>
      <c r="E17" s="495"/>
      <c r="F17" s="495"/>
      <c r="G17" s="492"/>
    </row>
    <row r="18" spans="1:7" x14ac:dyDescent="0.2">
      <c r="A18" s="460" t="s">
        <v>547</v>
      </c>
      <c r="B18" s="464" t="s">
        <v>548</v>
      </c>
      <c r="C18" s="488"/>
      <c r="D18" s="493"/>
      <c r="E18" s="495"/>
      <c r="F18" s="495"/>
      <c r="G18" s="492"/>
    </row>
    <row r="19" spans="1:7" x14ac:dyDescent="0.2">
      <c r="A19" s="460"/>
      <c r="B19" s="463" t="s">
        <v>540</v>
      </c>
      <c r="C19" s="488" t="s">
        <v>541</v>
      </c>
      <c r="D19" s="493">
        <v>6</v>
      </c>
      <c r="E19" s="495"/>
      <c r="F19" s="495"/>
      <c r="G19" s="492">
        <f t="shared" si="0"/>
        <v>0</v>
      </c>
    </row>
    <row r="20" spans="1:7" x14ac:dyDescent="0.2">
      <c r="A20" s="460"/>
      <c r="B20" s="463"/>
      <c r="C20" s="488"/>
      <c r="D20" s="493"/>
      <c r="E20" s="495"/>
      <c r="F20" s="495"/>
      <c r="G20" s="492"/>
    </row>
    <row r="21" spans="1:7" x14ac:dyDescent="0.2">
      <c r="A21" s="460" t="s">
        <v>549</v>
      </c>
      <c r="B21" s="464" t="s">
        <v>550</v>
      </c>
      <c r="C21" s="488"/>
      <c r="D21" s="493"/>
      <c r="E21" s="495"/>
      <c r="F21" s="495"/>
      <c r="G21" s="492"/>
    </row>
    <row r="22" spans="1:7" x14ac:dyDescent="0.2">
      <c r="A22" s="460" t="s">
        <v>209</v>
      </c>
      <c r="B22" s="463" t="s">
        <v>551</v>
      </c>
      <c r="C22" s="488"/>
      <c r="D22" s="493"/>
      <c r="E22" s="495"/>
      <c r="F22" s="495"/>
      <c r="G22" s="492"/>
    </row>
    <row r="23" spans="1:7" x14ac:dyDescent="0.2">
      <c r="A23" s="460"/>
      <c r="B23" s="463" t="s">
        <v>552</v>
      </c>
      <c r="C23" s="488" t="s">
        <v>133</v>
      </c>
      <c r="D23" s="493">
        <v>480</v>
      </c>
      <c r="E23" s="495"/>
      <c r="F23" s="495"/>
      <c r="G23" s="492">
        <f t="shared" si="0"/>
        <v>0</v>
      </c>
    </row>
    <row r="24" spans="1:7" x14ac:dyDescent="0.2">
      <c r="A24" s="460" t="s">
        <v>212</v>
      </c>
      <c r="B24" s="463" t="s">
        <v>553</v>
      </c>
      <c r="C24" s="488"/>
      <c r="D24" s="493"/>
      <c r="E24" s="495"/>
      <c r="F24" s="495"/>
      <c r="G24" s="492"/>
    </row>
    <row r="25" spans="1:7" x14ac:dyDescent="0.2">
      <c r="A25" s="460"/>
      <c r="B25" s="463" t="s">
        <v>552</v>
      </c>
      <c r="C25" s="488" t="s">
        <v>133</v>
      </c>
      <c r="D25" s="493">
        <v>350</v>
      </c>
      <c r="E25" s="495"/>
      <c r="F25" s="495"/>
      <c r="G25" s="492">
        <f t="shared" si="0"/>
        <v>0</v>
      </c>
    </row>
    <row r="26" spans="1:7" x14ac:dyDescent="0.2">
      <c r="A26" s="460" t="s">
        <v>225</v>
      </c>
      <c r="B26" s="463" t="s">
        <v>554</v>
      </c>
      <c r="C26" s="488"/>
      <c r="D26" s="493"/>
      <c r="E26" s="495"/>
      <c r="F26" s="495"/>
      <c r="G26" s="492"/>
    </row>
    <row r="27" spans="1:7" x14ac:dyDescent="0.2">
      <c r="A27" s="460"/>
      <c r="B27" s="463" t="s">
        <v>552</v>
      </c>
      <c r="C27" s="488" t="s">
        <v>133</v>
      </c>
      <c r="D27" s="493">
        <v>100</v>
      </c>
      <c r="E27" s="495"/>
      <c r="F27" s="495"/>
      <c r="G27" s="492">
        <f t="shared" si="0"/>
        <v>0</v>
      </c>
    </row>
    <row r="28" spans="1:7" x14ac:dyDescent="0.2">
      <c r="A28" s="460" t="s">
        <v>227</v>
      </c>
      <c r="B28" s="463" t="s">
        <v>555</v>
      </c>
      <c r="C28" s="488"/>
      <c r="D28" s="493"/>
      <c r="E28" s="495"/>
      <c r="F28" s="495"/>
      <c r="G28" s="492"/>
    </row>
    <row r="29" spans="1:7" x14ac:dyDescent="0.2">
      <c r="A29" s="460"/>
      <c r="B29" s="463" t="s">
        <v>552</v>
      </c>
      <c r="C29" s="488" t="s">
        <v>133</v>
      </c>
      <c r="D29" s="493" t="s">
        <v>556</v>
      </c>
      <c r="E29" s="495"/>
      <c r="F29" s="495"/>
      <c r="G29" s="492" t="s">
        <v>556</v>
      </c>
    </row>
    <row r="30" spans="1:7" x14ac:dyDescent="0.2">
      <c r="A30" s="460"/>
      <c r="B30" s="463"/>
      <c r="C30" s="488"/>
      <c r="D30" s="493"/>
      <c r="E30" s="495"/>
      <c r="F30" s="495"/>
      <c r="G30" s="492"/>
    </row>
    <row r="31" spans="1:7" x14ac:dyDescent="0.2">
      <c r="A31" s="460" t="s">
        <v>557</v>
      </c>
      <c r="B31" s="464" t="s">
        <v>558</v>
      </c>
      <c r="C31" s="488"/>
      <c r="D31" s="493"/>
      <c r="E31" s="495"/>
      <c r="F31" s="495"/>
      <c r="G31" s="492"/>
    </row>
    <row r="32" spans="1:7" x14ac:dyDescent="0.2">
      <c r="A32" s="460"/>
      <c r="B32" s="463" t="s">
        <v>552</v>
      </c>
      <c r="C32" s="488" t="s">
        <v>133</v>
      </c>
      <c r="D32" s="493">
        <v>100</v>
      </c>
      <c r="E32" s="495"/>
      <c r="F32" s="495"/>
      <c r="G32" s="492">
        <f t="shared" si="0"/>
        <v>0</v>
      </c>
    </row>
    <row r="33" spans="1:7" x14ac:dyDescent="0.2">
      <c r="A33" s="460"/>
      <c r="B33" s="463"/>
      <c r="C33" s="488"/>
      <c r="D33" s="493"/>
      <c r="E33" s="495"/>
      <c r="F33" s="495"/>
      <c r="G33" s="492"/>
    </row>
    <row r="34" spans="1:7" s="465" customFormat="1" ht="12" customHeight="1" x14ac:dyDescent="0.3">
      <c r="A34" s="460" t="s">
        <v>559</v>
      </c>
      <c r="B34" s="464" t="s">
        <v>560</v>
      </c>
      <c r="C34" s="489"/>
      <c r="D34" s="493"/>
      <c r="E34" s="493"/>
      <c r="F34" s="493"/>
      <c r="G34" s="492"/>
    </row>
    <row r="35" spans="1:7" s="465" customFormat="1" ht="13.8" x14ac:dyDescent="0.3">
      <c r="A35" s="460" t="s">
        <v>209</v>
      </c>
      <c r="B35" s="463" t="s">
        <v>561</v>
      </c>
      <c r="C35" s="488"/>
      <c r="D35" s="493"/>
      <c r="E35" s="495"/>
      <c r="F35" s="495"/>
      <c r="G35" s="492"/>
    </row>
    <row r="36" spans="1:7" s="465" customFormat="1" ht="13.8" x14ac:dyDescent="0.3">
      <c r="A36" s="460"/>
      <c r="B36" s="463" t="s">
        <v>562</v>
      </c>
      <c r="C36" s="488" t="s">
        <v>0</v>
      </c>
      <c r="D36" s="493" t="s">
        <v>556</v>
      </c>
      <c r="E36" s="495"/>
      <c r="F36" s="495"/>
      <c r="G36" s="492" t="s">
        <v>556</v>
      </c>
    </row>
    <row r="37" spans="1:7" s="465" customFormat="1" ht="13.8" x14ac:dyDescent="0.3">
      <c r="A37" s="460" t="s">
        <v>212</v>
      </c>
      <c r="B37" s="463" t="s">
        <v>563</v>
      </c>
      <c r="C37" s="488"/>
      <c r="D37" s="493"/>
      <c r="E37" s="495"/>
      <c r="F37" s="495"/>
      <c r="G37" s="492"/>
    </row>
    <row r="38" spans="1:7" s="465" customFormat="1" ht="13.8" x14ac:dyDescent="0.3">
      <c r="A38" s="460"/>
      <c r="B38" s="463" t="s">
        <v>562</v>
      </c>
      <c r="C38" s="488" t="s">
        <v>0</v>
      </c>
      <c r="D38" s="493" t="s">
        <v>556</v>
      </c>
      <c r="E38" s="495"/>
      <c r="F38" s="495"/>
      <c r="G38" s="492" t="s">
        <v>556</v>
      </c>
    </row>
    <row r="39" spans="1:7" x14ac:dyDescent="0.2">
      <c r="A39" s="460" t="s">
        <v>564</v>
      </c>
      <c r="B39" s="464" t="s">
        <v>565</v>
      </c>
      <c r="C39" s="488"/>
      <c r="D39" s="493"/>
      <c r="E39" s="495"/>
      <c r="F39" s="495"/>
      <c r="G39" s="492"/>
    </row>
    <row r="40" spans="1:7" x14ac:dyDescent="0.2">
      <c r="A40" s="460"/>
      <c r="B40" s="463" t="s">
        <v>566</v>
      </c>
      <c r="C40" s="488" t="s">
        <v>0</v>
      </c>
      <c r="D40" s="493">
        <v>2</v>
      </c>
      <c r="E40" s="495"/>
      <c r="F40" s="495"/>
      <c r="G40" s="492">
        <f t="shared" si="0"/>
        <v>0</v>
      </c>
    </row>
    <row r="41" spans="1:7" x14ac:dyDescent="0.2">
      <c r="A41" s="460"/>
      <c r="B41" s="463"/>
      <c r="C41" s="488"/>
      <c r="D41" s="493"/>
      <c r="E41" s="495"/>
      <c r="F41" s="495"/>
      <c r="G41" s="492"/>
    </row>
    <row r="42" spans="1:7" x14ac:dyDescent="0.2">
      <c r="A42" s="460" t="s">
        <v>567</v>
      </c>
      <c r="B42" s="464" t="s">
        <v>568</v>
      </c>
      <c r="C42" s="488"/>
      <c r="D42" s="493"/>
      <c r="E42" s="495"/>
      <c r="F42" s="495"/>
      <c r="G42" s="492"/>
    </row>
    <row r="43" spans="1:7" x14ac:dyDescent="0.2">
      <c r="A43" s="460"/>
      <c r="B43" s="463" t="s">
        <v>566</v>
      </c>
      <c r="C43" s="488" t="s">
        <v>0</v>
      </c>
      <c r="D43" s="493">
        <v>4</v>
      </c>
      <c r="E43" s="495"/>
      <c r="F43" s="495"/>
      <c r="G43" s="492">
        <f t="shared" si="0"/>
        <v>0</v>
      </c>
    </row>
    <row r="44" spans="1:7" x14ac:dyDescent="0.2">
      <c r="A44" s="460"/>
      <c r="B44" s="463"/>
      <c r="C44" s="488"/>
      <c r="D44" s="493"/>
      <c r="E44" s="495"/>
      <c r="F44" s="495"/>
      <c r="G44" s="492"/>
    </row>
    <row r="45" spans="1:7" x14ac:dyDescent="0.2">
      <c r="A45" s="460" t="s">
        <v>569</v>
      </c>
      <c r="B45" s="464" t="s">
        <v>570</v>
      </c>
      <c r="C45" s="488"/>
      <c r="D45" s="493"/>
      <c r="E45" s="495"/>
      <c r="F45" s="495"/>
      <c r="G45" s="492"/>
    </row>
    <row r="46" spans="1:7" x14ac:dyDescent="0.2">
      <c r="A46" s="460"/>
      <c r="B46" s="463" t="s">
        <v>540</v>
      </c>
      <c r="C46" s="488" t="s">
        <v>541</v>
      </c>
      <c r="D46" s="493" t="s">
        <v>556</v>
      </c>
      <c r="E46" s="495"/>
      <c r="F46" s="495"/>
      <c r="G46" s="492" t="s">
        <v>556</v>
      </c>
    </row>
    <row r="47" spans="1:7" x14ac:dyDescent="0.2">
      <c r="A47" s="460"/>
      <c r="B47" s="463"/>
      <c r="C47" s="488"/>
      <c r="D47" s="493"/>
      <c r="E47" s="495"/>
      <c r="F47" s="495"/>
      <c r="G47" s="492"/>
    </row>
    <row r="48" spans="1:7" x14ac:dyDescent="0.2">
      <c r="A48" s="460" t="s">
        <v>571</v>
      </c>
      <c r="B48" s="464" t="s">
        <v>572</v>
      </c>
      <c r="C48" s="488"/>
      <c r="D48" s="493"/>
      <c r="E48" s="495"/>
      <c r="F48" s="495"/>
      <c r="G48" s="492"/>
    </row>
    <row r="49" spans="1:7" x14ac:dyDescent="0.2">
      <c r="A49" s="460" t="s">
        <v>209</v>
      </c>
      <c r="B49" s="464" t="s">
        <v>573</v>
      </c>
      <c r="C49" s="488"/>
      <c r="D49" s="493"/>
      <c r="E49" s="495"/>
      <c r="F49" s="495"/>
      <c r="G49" s="492"/>
    </row>
    <row r="50" spans="1:7" x14ac:dyDescent="0.2">
      <c r="A50" s="460"/>
      <c r="B50" s="463" t="s">
        <v>566</v>
      </c>
      <c r="C50" s="488" t="s">
        <v>0</v>
      </c>
      <c r="D50" s="493">
        <v>4</v>
      </c>
      <c r="E50" s="495"/>
      <c r="F50" s="495"/>
      <c r="G50" s="492">
        <f t="shared" si="0"/>
        <v>0</v>
      </c>
    </row>
    <row r="51" spans="1:7" x14ac:dyDescent="0.2">
      <c r="A51" s="460"/>
      <c r="B51" s="463"/>
      <c r="C51" s="488"/>
      <c r="D51" s="496"/>
      <c r="E51" s="497"/>
      <c r="F51" s="497"/>
      <c r="G51" s="492"/>
    </row>
    <row r="52" spans="1:7" x14ac:dyDescent="0.2">
      <c r="A52" s="466"/>
      <c r="B52" s="540" t="s">
        <v>574</v>
      </c>
      <c r="C52" s="541"/>
      <c r="D52" s="541"/>
      <c r="E52" s="542"/>
      <c r="F52" s="467"/>
      <c r="G52" s="468">
        <f>SUM(G7:G51)</f>
        <v>0</v>
      </c>
    </row>
    <row r="53" spans="1:7" x14ac:dyDescent="0.2">
      <c r="A53" s="460"/>
      <c r="B53" s="461"/>
      <c r="C53" s="488"/>
      <c r="D53" s="498"/>
      <c r="E53" s="499"/>
      <c r="F53" s="499"/>
      <c r="G53" s="492"/>
    </row>
    <row r="54" spans="1:7" x14ac:dyDescent="0.2">
      <c r="A54" s="460" t="s">
        <v>575</v>
      </c>
      <c r="B54" s="461" t="s">
        <v>576</v>
      </c>
      <c r="C54" s="488"/>
      <c r="D54" s="493"/>
      <c r="E54" s="495"/>
      <c r="F54" s="495"/>
      <c r="G54" s="492"/>
    </row>
    <row r="55" spans="1:7" x14ac:dyDescent="0.2">
      <c r="A55" s="460"/>
      <c r="B55" s="461" t="s">
        <v>577</v>
      </c>
      <c r="C55" s="488"/>
      <c r="D55" s="493"/>
      <c r="E55" s="495"/>
      <c r="F55" s="495"/>
      <c r="G55" s="492"/>
    </row>
    <row r="56" spans="1:7" x14ac:dyDescent="0.2">
      <c r="A56" s="460"/>
      <c r="B56" s="463"/>
      <c r="C56" s="488"/>
      <c r="D56" s="493"/>
      <c r="E56" s="495"/>
      <c r="F56" s="495"/>
      <c r="G56" s="492"/>
    </row>
    <row r="57" spans="1:7" x14ac:dyDescent="0.2">
      <c r="A57" s="460" t="s">
        <v>578</v>
      </c>
      <c r="B57" s="464" t="s">
        <v>579</v>
      </c>
      <c r="C57" s="488"/>
      <c r="D57" s="493"/>
      <c r="E57" s="495"/>
      <c r="F57" s="495"/>
      <c r="G57" s="492"/>
    </row>
    <row r="58" spans="1:7" x14ac:dyDescent="0.2">
      <c r="A58" s="460" t="s">
        <v>209</v>
      </c>
      <c r="B58" s="463" t="s">
        <v>580</v>
      </c>
      <c r="C58" s="488"/>
      <c r="D58" s="493"/>
      <c r="E58" s="495"/>
      <c r="F58" s="495"/>
      <c r="G58" s="492"/>
    </row>
    <row r="59" spans="1:7" x14ac:dyDescent="0.2">
      <c r="A59" s="460"/>
      <c r="B59" s="463" t="s">
        <v>552</v>
      </c>
      <c r="C59" s="488" t="s">
        <v>133</v>
      </c>
      <c r="D59" s="493">
        <v>45</v>
      </c>
      <c r="E59" s="495"/>
      <c r="F59" s="495"/>
      <c r="G59" s="492">
        <f>+D59*E59</f>
        <v>0</v>
      </c>
    </row>
    <row r="60" spans="1:7" x14ac:dyDescent="0.2">
      <c r="A60" s="460" t="s">
        <v>212</v>
      </c>
      <c r="B60" s="463" t="s">
        <v>581</v>
      </c>
      <c r="C60" s="488"/>
      <c r="D60" s="493"/>
      <c r="E60" s="495"/>
      <c r="F60" s="495"/>
      <c r="G60" s="492"/>
    </row>
    <row r="61" spans="1:7" x14ac:dyDescent="0.2">
      <c r="A61" s="460"/>
      <c r="B61" s="463" t="s">
        <v>552</v>
      </c>
      <c r="C61" s="488" t="s">
        <v>133</v>
      </c>
      <c r="D61" s="493">
        <v>25</v>
      </c>
      <c r="E61" s="495"/>
      <c r="F61" s="495"/>
      <c r="G61" s="492">
        <f t="shared" ref="G61:G82" si="1">+D61*E61</f>
        <v>0</v>
      </c>
    </row>
    <row r="62" spans="1:7" x14ac:dyDescent="0.2">
      <c r="A62" s="460" t="s">
        <v>225</v>
      </c>
      <c r="B62" s="463" t="s">
        <v>582</v>
      </c>
      <c r="C62" s="488"/>
      <c r="D62" s="493"/>
      <c r="E62" s="495"/>
      <c r="F62" s="495"/>
      <c r="G62" s="492"/>
    </row>
    <row r="63" spans="1:7" x14ac:dyDescent="0.2">
      <c r="A63" s="460"/>
      <c r="B63" s="463" t="s">
        <v>552</v>
      </c>
      <c r="C63" s="488" t="s">
        <v>133</v>
      </c>
      <c r="D63" s="493">
        <v>350</v>
      </c>
      <c r="E63" s="495"/>
      <c r="F63" s="495"/>
      <c r="G63" s="492">
        <f t="shared" si="1"/>
        <v>0</v>
      </c>
    </row>
    <row r="64" spans="1:7" x14ac:dyDescent="0.2">
      <c r="A64" s="460"/>
      <c r="B64" s="463"/>
      <c r="C64" s="488"/>
      <c r="D64" s="493"/>
      <c r="E64" s="495"/>
      <c r="F64" s="495"/>
      <c r="G64" s="492"/>
    </row>
    <row r="65" spans="1:7" x14ac:dyDescent="0.2">
      <c r="A65" s="460" t="s">
        <v>583</v>
      </c>
      <c r="B65" s="464" t="s">
        <v>584</v>
      </c>
      <c r="C65" s="488"/>
      <c r="D65" s="493"/>
      <c r="E65" s="495"/>
      <c r="F65" s="495"/>
      <c r="G65" s="492"/>
    </row>
    <row r="66" spans="1:7" x14ac:dyDescent="0.2">
      <c r="A66" s="460" t="s">
        <v>209</v>
      </c>
      <c r="B66" s="463" t="s">
        <v>585</v>
      </c>
      <c r="C66" s="488"/>
      <c r="D66" s="493"/>
      <c r="E66" s="495"/>
      <c r="F66" s="495"/>
      <c r="G66" s="492"/>
    </row>
    <row r="67" spans="1:7" x14ac:dyDescent="0.2">
      <c r="A67" s="460"/>
      <c r="B67" s="463" t="s">
        <v>586</v>
      </c>
      <c r="C67" s="488" t="s">
        <v>0</v>
      </c>
      <c r="D67" s="493">
        <v>24</v>
      </c>
      <c r="E67" s="495"/>
      <c r="F67" s="495"/>
      <c r="G67" s="492">
        <f t="shared" si="1"/>
        <v>0</v>
      </c>
    </row>
    <row r="68" spans="1:7" x14ac:dyDescent="0.2">
      <c r="A68" s="460" t="s">
        <v>212</v>
      </c>
      <c r="B68" s="463" t="s">
        <v>587</v>
      </c>
      <c r="C68" s="488"/>
      <c r="D68" s="493"/>
      <c r="E68" s="495"/>
      <c r="F68" s="495"/>
      <c r="G68" s="492"/>
    </row>
    <row r="69" spans="1:7" x14ac:dyDescent="0.2">
      <c r="A69" s="463"/>
      <c r="B69" s="463" t="s">
        <v>586</v>
      </c>
      <c r="C69" s="488" t="s">
        <v>0</v>
      </c>
      <c r="D69" s="493">
        <v>4</v>
      </c>
      <c r="E69" s="495"/>
      <c r="F69" s="495"/>
      <c r="G69" s="492">
        <f t="shared" si="1"/>
        <v>0</v>
      </c>
    </row>
    <row r="70" spans="1:7" x14ac:dyDescent="0.2">
      <c r="A70" s="463"/>
      <c r="B70" s="463"/>
      <c r="C70" s="488"/>
      <c r="D70" s="493"/>
      <c r="E70" s="495"/>
      <c r="F70" s="495"/>
      <c r="G70" s="492"/>
    </row>
    <row r="71" spans="1:7" x14ac:dyDescent="0.2">
      <c r="A71" s="460" t="s">
        <v>588</v>
      </c>
      <c r="B71" s="464" t="s">
        <v>589</v>
      </c>
      <c r="C71" s="488"/>
      <c r="D71" s="493"/>
      <c r="E71" s="495"/>
      <c r="F71" s="495"/>
      <c r="G71" s="492"/>
    </row>
    <row r="72" spans="1:7" x14ac:dyDescent="0.2">
      <c r="A72" s="460" t="s">
        <v>209</v>
      </c>
      <c r="B72" s="463" t="s">
        <v>590</v>
      </c>
      <c r="C72" s="488"/>
      <c r="D72" s="493"/>
      <c r="E72" s="495"/>
      <c r="F72" s="495"/>
      <c r="G72" s="492"/>
    </row>
    <row r="73" spans="1:7" x14ac:dyDescent="0.2">
      <c r="A73" s="460"/>
      <c r="B73" s="463" t="s">
        <v>566</v>
      </c>
      <c r="C73" s="488" t="s">
        <v>0</v>
      </c>
      <c r="D73" s="493">
        <v>15</v>
      </c>
      <c r="E73" s="495"/>
      <c r="F73" s="495"/>
      <c r="G73" s="492">
        <f t="shared" si="1"/>
        <v>0</v>
      </c>
    </row>
    <row r="74" spans="1:7" x14ac:dyDescent="0.2">
      <c r="A74" s="460" t="s">
        <v>212</v>
      </c>
      <c r="B74" s="463" t="s">
        <v>591</v>
      </c>
      <c r="C74" s="488"/>
      <c r="D74" s="493"/>
      <c r="E74" s="495"/>
      <c r="F74" s="495"/>
      <c r="G74" s="492"/>
    </row>
    <row r="75" spans="1:7" x14ac:dyDescent="0.2">
      <c r="A75" s="460"/>
      <c r="B75" s="463" t="s">
        <v>566</v>
      </c>
      <c r="C75" s="488" t="s">
        <v>0</v>
      </c>
      <c r="D75" s="493">
        <v>5</v>
      </c>
      <c r="E75" s="495"/>
      <c r="F75" s="495"/>
      <c r="G75" s="492">
        <f t="shared" si="1"/>
        <v>0</v>
      </c>
    </row>
    <row r="76" spans="1:7" x14ac:dyDescent="0.2">
      <c r="A76" s="460" t="s">
        <v>225</v>
      </c>
      <c r="B76" s="463" t="s">
        <v>592</v>
      </c>
      <c r="C76" s="488"/>
      <c r="D76" s="493"/>
      <c r="E76" s="495"/>
      <c r="F76" s="495"/>
      <c r="G76" s="492"/>
    </row>
    <row r="77" spans="1:7" x14ac:dyDescent="0.2">
      <c r="A77" s="460"/>
      <c r="B77" s="463" t="s">
        <v>566</v>
      </c>
      <c r="C77" s="488" t="s">
        <v>0</v>
      </c>
      <c r="D77" s="493">
        <v>1</v>
      </c>
      <c r="E77" s="495"/>
      <c r="F77" s="495"/>
      <c r="G77" s="492">
        <f t="shared" si="1"/>
        <v>0</v>
      </c>
    </row>
    <row r="78" spans="1:7" x14ac:dyDescent="0.2">
      <c r="A78" s="460" t="s">
        <v>227</v>
      </c>
      <c r="B78" s="463" t="s">
        <v>593</v>
      </c>
      <c r="C78" s="488"/>
      <c r="D78" s="493"/>
      <c r="E78" s="495"/>
      <c r="F78" s="495"/>
      <c r="G78" s="492"/>
    </row>
    <row r="79" spans="1:7" x14ac:dyDescent="0.2">
      <c r="A79" s="460"/>
      <c r="B79" s="463" t="s">
        <v>566</v>
      </c>
      <c r="C79" s="488" t="s">
        <v>0</v>
      </c>
      <c r="D79" s="493" t="s">
        <v>556</v>
      </c>
      <c r="E79" s="495"/>
      <c r="F79" s="495"/>
      <c r="G79" s="492" t="s">
        <v>556</v>
      </c>
    </row>
    <row r="80" spans="1:7" x14ac:dyDescent="0.2">
      <c r="A80" s="460"/>
      <c r="B80" s="463"/>
      <c r="C80" s="488"/>
      <c r="D80" s="493"/>
      <c r="E80" s="495"/>
      <c r="F80" s="495"/>
      <c r="G80" s="492"/>
    </row>
    <row r="81" spans="1:7" x14ac:dyDescent="0.2">
      <c r="A81" s="460" t="s">
        <v>594</v>
      </c>
      <c r="B81" s="464" t="s">
        <v>595</v>
      </c>
      <c r="C81" s="488"/>
      <c r="D81" s="493"/>
      <c r="E81" s="495"/>
      <c r="F81" s="495"/>
      <c r="G81" s="492"/>
    </row>
    <row r="82" spans="1:7" x14ac:dyDescent="0.2">
      <c r="A82" s="460"/>
      <c r="B82" s="463" t="s">
        <v>566</v>
      </c>
      <c r="C82" s="488" t="s">
        <v>0</v>
      </c>
      <c r="D82" s="493">
        <v>20</v>
      </c>
      <c r="E82" s="495"/>
      <c r="F82" s="495"/>
      <c r="G82" s="492">
        <f t="shared" si="1"/>
        <v>0</v>
      </c>
    </row>
    <row r="83" spans="1:7" x14ac:dyDescent="0.2">
      <c r="A83" s="460"/>
      <c r="B83" s="463"/>
      <c r="C83" s="488"/>
      <c r="D83" s="493"/>
      <c r="E83" s="495"/>
      <c r="F83" s="495"/>
      <c r="G83" s="492"/>
    </row>
    <row r="84" spans="1:7" x14ac:dyDescent="0.2">
      <c r="A84" s="460" t="s">
        <v>596</v>
      </c>
      <c r="B84" s="464" t="s">
        <v>597</v>
      </c>
      <c r="C84" s="488"/>
      <c r="D84" s="493"/>
      <c r="E84" s="495"/>
      <c r="F84" s="495"/>
      <c r="G84" s="492"/>
    </row>
    <row r="85" spans="1:7" x14ac:dyDescent="0.2">
      <c r="A85" s="460" t="s">
        <v>209</v>
      </c>
      <c r="B85" s="463" t="s">
        <v>598</v>
      </c>
      <c r="C85" s="488"/>
      <c r="D85" s="493"/>
      <c r="E85" s="495"/>
      <c r="F85" s="495"/>
      <c r="G85" s="492"/>
    </row>
    <row r="86" spans="1:7" x14ac:dyDescent="0.2">
      <c r="A86" s="460"/>
      <c r="B86" s="463" t="s">
        <v>540</v>
      </c>
      <c r="C86" s="488" t="s">
        <v>541</v>
      </c>
      <c r="D86" s="493" t="s">
        <v>599</v>
      </c>
      <c r="E86" s="495"/>
      <c r="F86" s="495"/>
      <c r="G86" s="492" t="s">
        <v>556</v>
      </c>
    </row>
    <row r="87" spans="1:7" x14ac:dyDescent="0.2">
      <c r="A87" s="460" t="s">
        <v>212</v>
      </c>
      <c r="B87" s="463" t="s">
        <v>600</v>
      </c>
      <c r="C87" s="488"/>
      <c r="D87" s="493"/>
      <c r="E87" s="495"/>
      <c r="F87" s="495"/>
      <c r="G87" s="492"/>
    </row>
    <row r="88" spans="1:7" x14ac:dyDescent="0.2">
      <c r="A88" s="460"/>
      <c r="B88" s="463" t="s">
        <v>540</v>
      </c>
      <c r="C88" s="488" t="s">
        <v>541</v>
      </c>
      <c r="D88" s="493" t="s">
        <v>599</v>
      </c>
      <c r="E88" s="495"/>
      <c r="F88" s="495"/>
      <c r="G88" s="492" t="s">
        <v>556</v>
      </c>
    </row>
    <row r="89" spans="1:7" x14ac:dyDescent="0.2">
      <c r="A89" s="460"/>
      <c r="B89" s="463"/>
      <c r="C89" s="488"/>
      <c r="D89" s="496"/>
      <c r="E89" s="497"/>
      <c r="F89" s="497"/>
      <c r="G89" s="492"/>
    </row>
    <row r="90" spans="1:7" x14ac:dyDescent="0.2">
      <c r="A90" s="466"/>
      <c r="B90" s="540" t="s">
        <v>601</v>
      </c>
      <c r="C90" s="541"/>
      <c r="D90" s="541"/>
      <c r="E90" s="542"/>
      <c r="F90" s="467"/>
      <c r="G90" s="468">
        <f>SUM(G58:G89)</f>
        <v>0</v>
      </c>
    </row>
    <row r="91" spans="1:7" x14ac:dyDescent="0.2">
      <c r="A91" s="460"/>
      <c r="B91" s="461"/>
      <c r="C91" s="488"/>
      <c r="D91" s="498"/>
      <c r="E91" s="499"/>
      <c r="F91" s="499"/>
      <c r="G91" s="500"/>
    </row>
    <row r="92" spans="1:7" x14ac:dyDescent="0.2">
      <c r="A92" s="460" t="s">
        <v>602</v>
      </c>
      <c r="B92" s="461" t="s">
        <v>603</v>
      </c>
      <c r="C92" s="488"/>
      <c r="D92" s="493"/>
      <c r="E92" s="495"/>
      <c r="F92" s="495"/>
      <c r="G92" s="492"/>
    </row>
    <row r="93" spans="1:7" ht="27.75" customHeight="1" x14ac:dyDescent="0.2">
      <c r="A93" s="469" t="s">
        <v>604</v>
      </c>
      <c r="B93" s="470" t="s">
        <v>605</v>
      </c>
      <c r="C93" s="488"/>
      <c r="D93" s="493"/>
      <c r="E93" s="495"/>
      <c r="F93" s="495"/>
      <c r="G93" s="492"/>
    </row>
    <row r="94" spans="1:7" x14ac:dyDescent="0.2">
      <c r="A94" s="460" t="s">
        <v>209</v>
      </c>
      <c r="B94" s="463" t="s">
        <v>606</v>
      </c>
      <c r="C94" s="488"/>
      <c r="D94" s="493"/>
      <c r="E94" s="495"/>
      <c r="F94" s="495"/>
      <c r="G94" s="492"/>
    </row>
    <row r="95" spans="1:7" x14ac:dyDescent="0.2">
      <c r="A95" s="460"/>
      <c r="B95" s="463" t="s">
        <v>552</v>
      </c>
      <c r="C95" s="488" t="s">
        <v>133</v>
      </c>
      <c r="D95" s="493">
        <v>120</v>
      </c>
      <c r="E95" s="495"/>
      <c r="F95" s="495"/>
      <c r="G95" s="492">
        <f>+D95*E95</f>
        <v>0</v>
      </c>
    </row>
    <row r="96" spans="1:7" x14ac:dyDescent="0.2">
      <c r="A96" s="460" t="s">
        <v>212</v>
      </c>
      <c r="B96" s="463" t="s">
        <v>607</v>
      </c>
      <c r="C96" s="488"/>
      <c r="D96" s="493"/>
      <c r="E96" s="495"/>
      <c r="F96" s="495"/>
      <c r="G96" s="492"/>
    </row>
    <row r="97" spans="1:7" x14ac:dyDescent="0.2">
      <c r="A97" s="460"/>
      <c r="B97" s="463" t="s">
        <v>552</v>
      </c>
      <c r="C97" s="488" t="s">
        <v>133</v>
      </c>
      <c r="D97" s="493">
        <v>85</v>
      </c>
      <c r="E97" s="495"/>
      <c r="F97" s="495"/>
      <c r="G97" s="492">
        <f t="shared" ref="G97:G113" si="2">+D97*E97</f>
        <v>0</v>
      </c>
    </row>
    <row r="98" spans="1:7" x14ac:dyDescent="0.2">
      <c r="A98" s="460" t="s">
        <v>225</v>
      </c>
      <c r="B98" s="463" t="s">
        <v>608</v>
      </c>
      <c r="C98" s="488"/>
      <c r="D98" s="493"/>
      <c r="E98" s="495"/>
      <c r="F98" s="495"/>
      <c r="G98" s="492"/>
    </row>
    <row r="99" spans="1:7" x14ac:dyDescent="0.2">
      <c r="A99" s="460"/>
      <c r="B99" s="463" t="s">
        <v>552</v>
      </c>
      <c r="C99" s="488" t="s">
        <v>133</v>
      </c>
      <c r="D99" s="493">
        <v>250</v>
      </c>
      <c r="E99" s="495"/>
      <c r="F99" s="495"/>
      <c r="G99" s="492">
        <f t="shared" si="2"/>
        <v>0</v>
      </c>
    </row>
    <row r="100" spans="1:7" x14ac:dyDescent="0.2">
      <c r="A100" s="460"/>
      <c r="B100" s="463"/>
      <c r="C100" s="488"/>
      <c r="D100" s="493"/>
      <c r="E100" s="495"/>
      <c r="F100" s="495"/>
      <c r="G100" s="492"/>
    </row>
    <row r="101" spans="1:7" x14ac:dyDescent="0.2">
      <c r="A101" s="469" t="s">
        <v>609</v>
      </c>
      <c r="B101" s="464" t="s">
        <v>610</v>
      </c>
      <c r="C101" s="488"/>
      <c r="D101" s="493"/>
      <c r="E101" s="495"/>
      <c r="F101" s="495"/>
      <c r="G101" s="492"/>
    </row>
    <row r="102" spans="1:7" x14ac:dyDescent="0.2">
      <c r="A102" s="469" t="s">
        <v>209</v>
      </c>
      <c r="B102" s="464" t="s">
        <v>611</v>
      </c>
      <c r="C102" s="488"/>
      <c r="D102" s="493"/>
      <c r="E102" s="495"/>
      <c r="F102" s="495"/>
      <c r="G102" s="492"/>
    </row>
    <row r="103" spans="1:7" x14ac:dyDescent="0.2">
      <c r="A103" s="460"/>
      <c r="B103" s="463" t="s">
        <v>612</v>
      </c>
      <c r="C103" s="488" t="s">
        <v>0</v>
      </c>
      <c r="D103" s="493">
        <v>11</v>
      </c>
      <c r="E103" s="495"/>
      <c r="F103" s="495"/>
      <c r="G103" s="492">
        <f t="shared" si="2"/>
        <v>0</v>
      </c>
    </row>
    <row r="104" spans="1:7" x14ac:dyDescent="0.2">
      <c r="A104" s="469" t="s">
        <v>212</v>
      </c>
      <c r="B104" s="464" t="s">
        <v>613</v>
      </c>
      <c r="C104" s="488"/>
      <c r="D104" s="493"/>
      <c r="E104" s="495"/>
      <c r="F104" s="495"/>
      <c r="G104" s="492"/>
    </row>
    <row r="105" spans="1:7" x14ac:dyDescent="0.2">
      <c r="A105" s="460"/>
      <c r="B105" s="463" t="s">
        <v>612</v>
      </c>
      <c r="C105" s="488" t="s">
        <v>0</v>
      </c>
      <c r="D105" s="493" t="s">
        <v>556</v>
      </c>
      <c r="E105" s="495"/>
      <c r="F105" s="495"/>
      <c r="G105" s="492" t="s">
        <v>556</v>
      </c>
    </row>
    <row r="106" spans="1:7" x14ac:dyDescent="0.2">
      <c r="A106" s="460"/>
      <c r="B106" s="463"/>
      <c r="C106" s="488"/>
      <c r="D106" s="493"/>
      <c r="E106" s="495"/>
      <c r="F106" s="495"/>
      <c r="G106" s="492"/>
    </row>
    <row r="107" spans="1:7" x14ac:dyDescent="0.2">
      <c r="A107" s="469" t="s">
        <v>614</v>
      </c>
      <c r="B107" s="464" t="s">
        <v>615</v>
      </c>
      <c r="C107" s="488"/>
      <c r="D107" s="493"/>
      <c r="E107" s="495"/>
      <c r="F107" s="495"/>
      <c r="G107" s="492"/>
    </row>
    <row r="108" spans="1:7" x14ac:dyDescent="0.2">
      <c r="A108" s="460" t="s">
        <v>209</v>
      </c>
      <c r="B108" s="463" t="s">
        <v>616</v>
      </c>
      <c r="C108" s="488"/>
      <c r="D108" s="493"/>
      <c r="E108" s="495"/>
      <c r="F108" s="495"/>
      <c r="G108" s="492"/>
    </row>
    <row r="109" spans="1:7" x14ac:dyDescent="0.2">
      <c r="A109" s="460"/>
      <c r="B109" s="463" t="s">
        <v>566</v>
      </c>
      <c r="C109" s="488" t="s">
        <v>0</v>
      </c>
      <c r="D109" s="493">
        <v>21</v>
      </c>
      <c r="E109" s="495"/>
      <c r="F109" s="495"/>
      <c r="G109" s="492">
        <f t="shared" si="2"/>
        <v>0</v>
      </c>
    </row>
    <row r="110" spans="1:7" x14ac:dyDescent="0.2">
      <c r="A110" s="460" t="s">
        <v>212</v>
      </c>
      <c r="B110" s="463" t="s">
        <v>617</v>
      </c>
      <c r="C110" s="488"/>
      <c r="D110" s="493"/>
      <c r="E110" s="495"/>
      <c r="F110" s="495"/>
      <c r="G110" s="492"/>
    </row>
    <row r="111" spans="1:7" x14ac:dyDescent="0.2">
      <c r="A111" s="460"/>
      <c r="B111" s="463" t="s">
        <v>566</v>
      </c>
      <c r="C111" s="488" t="s">
        <v>0</v>
      </c>
      <c r="D111" s="493">
        <v>10</v>
      </c>
      <c r="E111" s="495"/>
      <c r="F111" s="495"/>
      <c r="G111" s="492">
        <f t="shared" si="2"/>
        <v>0</v>
      </c>
    </row>
    <row r="112" spans="1:7" x14ac:dyDescent="0.2">
      <c r="A112" s="460" t="s">
        <v>225</v>
      </c>
      <c r="B112" s="463" t="s">
        <v>618</v>
      </c>
      <c r="C112" s="488"/>
      <c r="D112" s="493"/>
      <c r="E112" s="495"/>
      <c r="F112" s="495"/>
      <c r="G112" s="492"/>
    </row>
    <row r="113" spans="1:7" x14ac:dyDescent="0.2">
      <c r="A113" s="460" t="s">
        <v>619</v>
      </c>
      <c r="B113" s="463" t="s">
        <v>566</v>
      </c>
      <c r="C113" s="488" t="s">
        <v>0</v>
      </c>
      <c r="D113" s="493">
        <v>10</v>
      </c>
      <c r="E113" s="495"/>
      <c r="F113" s="495"/>
      <c r="G113" s="492">
        <f t="shared" si="2"/>
        <v>0</v>
      </c>
    </row>
    <row r="114" spans="1:7" x14ac:dyDescent="0.2">
      <c r="A114" s="460"/>
      <c r="B114" s="463"/>
      <c r="C114" s="488"/>
      <c r="D114" s="496"/>
      <c r="E114" s="497"/>
      <c r="F114" s="497"/>
      <c r="G114" s="492"/>
    </row>
    <row r="115" spans="1:7" ht="11.25" customHeight="1" x14ac:dyDescent="0.2">
      <c r="A115" s="466"/>
      <c r="B115" s="540" t="s">
        <v>620</v>
      </c>
      <c r="C115" s="541"/>
      <c r="D115" s="541"/>
      <c r="E115" s="542"/>
      <c r="F115" s="467"/>
      <c r="G115" s="468">
        <f>SUM(G93:G114)</f>
        <v>0</v>
      </c>
    </row>
    <row r="116" spans="1:7" ht="11.25" customHeight="1" x14ac:dyDescent="0.2">
      <c r="A116" s="460"/>
      <c r="B116" s="461"/>
      <c r="C116" s="488"/>
      <c r="D116" s="498"/>
      <c r="E116" s="499"/>
      <c r="F116" s="499"/>
      <c r="G116" s="500"/>
    </row>
    <row r="117" spans="1:7" x14ac:dyDescent="0.2">
      <c r="A117" s="460" t="s">
        <v>621</v>
      </c>
      <c r="B117" s="461" t="s">
        <v>622</v>
      </c>
      <c r="C117" s="488"/>
      <c r="D117" s="493"/>
      <c r="E117" s="495"/>
      <c r="F117" s="495"/>
      <c r="G117" s="492"/>
    </row>
    <row r="118" spans="1:7" x14ac:dyDescent="0.2">
      <c r="A118" s="460"/>
      <c r="B118" s="461" t="s">
        <v>623</v>
      </c>
      <c r="C118" s="488"/>
      <c r="D118" s="493"/>
      <c r="E118" s="495"/>
      <c r="F118" s="495"/>
      <c r="G118" s="492"/>
    </row>
    <row r="119" spans="1:7" ht="13.5" customHeight="1" x14ac:dyDescent="0.2">
      <c r="A119" s="460"/>
      <c r="B119" s="461"/>
      <c r="C119" s="488"/>
      <c r="D119" s="493"/>
      <c r="E119" s="495"/>
      <c r="F119" s="495"/>
      <c r="G119" s="492"/>
    </row>
    <row r="120" spans="1:7" ht="13.5" customHeight="1" x14ac:dyDescent="0.2">
      <c r="A120" s="469" t="s">
        <v>624</v>
      </c>
      <c r="B120" s="471" t="s">
        <v>625</v>
      </c>
      <c r="C120" s="488"/>
      <c r="D120" s="493"/>
      <c r="E120" s="495"/>
      <c r="F120" s="495"/>
      <c r="G120" s="492"/>
    </row>
    <row r="121" spans="1:7" ht="13.5" customHeight="1" x14ac:dyDescent="0.2">
      <c r="A121" s="460" t="s">
        <v>209</v>
      </c>
      <c r="B121" s="472" t="s">
        <v>626</v>
      </c>
      <c r="C121" s="488"/>
      <c r="D121" s="493"/>
      <c r="E121" s="495"/>
      <c r="F121" s="495"/>
      <c r="G121" s="492"/>
    </row>
    <row r="122" spans="1:7" ht="13.5" customHeight="1" x14ac:dyDescent="0.2">
      <c r="A122" s="460"/>
      <c r="B122" s="472" t="s">
        <v>586</v>
      </c>
      <c r="C122" s="488" t="s">
        <v>0</v>
      </c>
      <c r="D122" s="493">
        <v>8</v>
      </c>
      <c r="E122" s="495"/>
      <c r="F122" s="495"/>
      <c r="G122" s="492">
        <f>+D122*E122</f>
        <v>0</v>
      </c>
    </row>
    <row r="123" spans="1:7" ht="13.5" customHeight="1" x14ac:dyDescent="0.2">
      <c r="A123" s="460" t="s">
        <v>212</v>
      </c>
      <c r="B123" s="472" t="s">
        <v>627</v>
      </c>
      <c r="C123" s="488"/>
      <c r="D123" s="493"/>
      <c r="E123" s="495"/>
      <c r="F123" s="495"/>
      <c r="G123" s="492"/>
    </row>
    <row r="124" spans="1:7" ht="13.5" customHeight="1" x14ac:dyDescent="0.2">
      <c r="A124" s="460"/>
      <c r="B124" s="472" t="s">
        <v>586</v>
      </c>
      <c r="C124" s="488" t="s">
        <v>0</v>
      </c>
      <c r="D124" s="493">
        <v>8</v>
      </c>
      <c r="E124" s="495"/>
      <c r="F124" s="495"/>
      <c r="G124" s="492">
        <f t="shared" ref="G124:G163" si="3">+D124*E124</f>
        <v>0</v>
      </c>
    </row>
    <row r="125" spans="1:7" ht="6.9" customHeight="1" x14ac:dyDescent="0.2">
      <c r="A125" s="460"/>
      <c r="B125" s="472"/>
      <c r="C125" s="488"/>
      <c r="D125" s="493"/>
      <c r="E125" s="495"/>
      <c r="F125" s="495"/>
      <c r="G125" s="492"/>
    </row>
    <row r="126" spans="1:7" ht="13.5" customHeight="1" x14ac:dyDescent="0.2">
      <c r="A126" s="469" t="s">
        <v>628</v>
      </c>
      <c r="B126" s="471" t="s">
        <v>629</v>
      </c>
      <c r="C126" s="488"/>
      <c r="D126" s="493"/>
      <c r="E126" s="495"/>
      <c r="F126" s="495"/>
      <c r="G126" s="492"/>
    </row>
    <row r="127" spans="1:7" ht="13.5" customHeight="1" x14ac:dyDescent="0.2">
      <c r="A127" s="460" t="s">
        <v>209</v>
      </c>
      <c r="B127" s="472" t="s">
        <v>630</v>
      </c>
      <c r="C127" s="488"/>
      <c r="D127" s="493"/>
      <c r="E127" s="495"/>
      <c r="F127" s="495"/>
      <c r="G127" s="492"/>
    </row>
    <row r="128" spans="1:7" ht="13.5" customHeight="1" x14ac:dyDescent="0.2">
      <c r="A128" s="460"/>
      <c r="B128" s="472" t="s">
        <v>586</v>
      </c>
      <c r="C128" s="488" t="s">
        <v>0</v>
      </c>
      <c r="D128" s="493">
        <v>10</v>
      </c>
      <c r="E128" s="495"/>
      <c r="F128" s="495"/>
      <c r="G128" s="492">
        <f t="shared" si="3"/>
        <v>0</v>
      </c>
    </row>
    <row r="129" spans="1:7" ht="13.5" customHeight="1" x14ac:dyDescent="0.2">
      <c r="A129" s="460" t="s">
        <v>212</v>
      </c>
      <c r="B129" s="472" t="s">
        <v>627</v>
      </c>
      <c r="C129" s="488"/>
      <c r="D129" s="493"/>
      <c r="E129" s="495"/>
      <c r="F129" s="495"/>
      <c r="G129" s="492"/>
    </row>
    <row r="130" spans="1:7" ht="13.5" customHeight="1" x14ac:dyDescent="0.2">
      <c r="A130" s="460"/>
      <c r="B130" s="472" t="s">
        <v>586</v>
      </c>
      <c r="C130" s="488" t="s">
        <v>0</v>
      </c>
      <c r="D130" s="493">
        <v>10</v>
      </c>
      <c r="E130" s="495"/>
      <c r="F130" s="495"/>
      <c r="G130" s="492">
        <f t="shared" si="3"/>
        <v>0</v>
      </c>
    </row>
    <row r="131" spans="1:7" ht="6.9" customHeight="1" x14ac:dyDescent="0.2">
      <c r="A131" s="460"/>
      <c r="B131" s="472"/>
      <c r="C131" s="488"/>
      <c r="D131" s="493"/>
      <c r="E131" s="495"/>
      <c r="F131" s="495"/>
      <c r="G131" s="492"/>
    </row>
    <row r="132" spans="1:7" ht="6.9" customHeight="1" x14ac:dyDescent="0.2">
      <c r="A132" s="460"/>
      <c r="B132" s="472"/>
      <c r="C132" s="488"/>
      <c r="D132" s="493"/>
      <c r="E132" s="495"/>
      <c r="F132" s="495"/>
      <c r="G132" s="492"/>
    </row>
    <row r="133" spans="1:7" ht="13.5" customHeight="1" x14ac:dyDescent="0.2">
      <c r="A133" s="469" t="s">
        <v>631</v>
      </c>
      <c r="B133" s="471" t="s">
        <v>632</v>
      </c>
      <c r="C133" s="488"/>
      <c r="D133" s="493"/>
      <c r="E133" s="495"/>
      <c r="F133" s="495"/>
      <c r="G133" s="492"/>
    </row>
    <row r="134" spans="1:7" ht="13.5" customHeight="1" x14ac:dyDescent="0.2">
      <c r="A134" s="460" t="s">
        <v>209</v>
      </c>
      <c r="B134" s="472" t="s">
        <v>633</v>
      </c>
      <c r="C134" s="488"/>
      <c r="D134" s="493"/>
      <c r="E134" s="495"/>
      <c r="F134" s="495"/>
      <c r="G134" s="492"/>
    </row>
    <row r="135" spans="1:7" ht="13.5" customHeight="1" x14ac:dyDescent="0.2">
      <c r="A135" s="460"/>
      <c r="B135" s="472" t="s">
        <v>586</v>
      </c>
      <c r="C135" s="488" t="s">
        <v>0</v>
      </c>
      <c r="D135" s="493">
        <v>10</v>
      </c>
      <c r="E135" s="495"/>
      <c r="F135" s="495"/>
      <c r="G135" s="492">
        <f t="shared" si="3"/>
        <v>0</v>
      </c>
    </row>
    <row r="136" spans="1:7" ht="13.5" customHeight="1" x14ac:dyDescent="0.2">
      <c r="A136" s="460" t="s">
        <v>212</v>
      </c>
      <c r="B136" s="472" t="s">
        <v>627</v>
      </c>
      <c r="C136" s="488"/>
      <c r="D136" s="493"/>
      <c r="E136" s="495"/>
      <c r="F136" s="495"/>
      <c r="G136" s="492"/>
    </row>
    <row r="137" spans="1:7" ht="13.5" customHeight="1" x14ac:dyDescent="0.2">
      <c r="A137" s="460"/>
      <c r="B137" s="472" t="s">
        <v>586</v>
      </c>
      <c r="C137" s="488" t="s">
        <v>0</v>
      </c>
      <c r="D137" s="493">
        <v>10</v>
      </c>
      <c r="E137" s="495"/>
      <c r="F137" s="495"/>
      <c r="G137" s="492">
        <f t="shared" si="3"/>
        <v>0</v>
      </c>
    </row>
    <row r="138" spans="1:7" ht="6.9" customHeight="1" x14ac:dyDescent="0.2">
      <c r="A138" s="460"/>
      <c r="B138" s="472"/>
      <c r="C138" s="488"/>
      <c r="D138" s="493"/>
      <c r="E138" s="495"/>
      <c r="F138" s="495"/>
      <c r="G138" s="492"/>
    </row>
    <row r="139" spans="1:7" ht="6.9" customHeight="1" x14ac:dyDescent="0.2">
      <c r="A139" s="460"/>
      <c r="B139" s="472"/>
      <c r="C139" s="488"/>
      <c r="D139" s="493"/>
      <c r="E139" s="495"/>
      <c r="F139" s="495"/>
      <c r="G139" s="492"/>
    </row>
    <row r="140" spans="1:7" ht="13.5" customHeight="1" x14ac:dyDescent="0.2">
      <c r="A140" s="469" t="s">
        <v>634</v>
      </c>
      <c r="B140" s="471" t="s">
        <v>635</v>
      </c>
      <c r="C140" s="488"/>
      <c r="D140" s="493"/>
      <c r="E140" s="495"/>
      <c r="F140" s="495"/>
      <c r="G140" s="492"/>
    </row>
    <row r="141" spans="1:7" ht="13.5" customHeight="1" x14ac:dyDescent="0.2">
      <c r="A141" s="460" t="s">
        <v>209</v>
      </c>
      <c r="B141" s="472" t="s">
        <v>636</v>
      </c>
      <c r="C141" s="488"/>
      <c r="D141" s="493"/>
      <c r="E141" s="495"/>
      <c r="F141" s="495"/>
      <c r="G141" s="492"/>
    </row>
    <row r="142" spans="1:7" ht="13.5" customHeight="1" x14ac:dyDescent="0.2">
      <c r="A142" s="460"/>
      <c r="B142" s="472" t="s">
        <v>586</v>
      </c>
      <c r="C142" s="488" t="s">
        <v>0</v>
      </c>
      <c r="D142" s="493" t="s">
        <v>556</v>
      </c>
      <c r="E142" s="495"/>
      <c r="F142" s="495"/>
      <c r="G142" s="492" t="s">
        <v>556</v>
      </c>
    </row>
    <row r="143" spans="1:7" ht="13.5" customHeight="1" x14ac:dyDescent="0.2">
      <c r="A143" s="460" t="s">
        <v>212</v>
      </c>
      <c r="B143" s="472" t="s">
        <v>627</v>
      </c>
      <c r="C143" s="488"/>
      <c r="D143" s="493"/>
      <c r="E143" s="495"/>
      <c r="F143" s="495"/>
      <c r="G143" s="492"/>
    </row>
    <row r="144" spans="1:7" ht="14.25" customHeight="1" x14ac:dyDescent="0.2">
      <c r="A144" s="460"/>
      <c r="B144" s="472" t="s">
        <v>586</v>
      </c>
      <c r="C144" s="488" t="s">
        <v>0</v>
      </c>
      <c r="D144" s="493" t="s">
        <v>556</v>
      </c>
      <c r="E144" s="495"/>
      <c r="F144" s="495"/>
      <c r="G144" s="492" t="s">
        <v>556</v>
      </c>
    </row>
    <row r="145" spans="1:7" ht="13.5" customHeight="1" x14ac:dyDescent="0.2">
      <c r="A145" s="460"/>
      <c r="B145" s="472"/>
      <c r="C145" s="488"/>
      <c r="D145" s="493"/>
      <c r="E145" s="495"/>
      <c r="F145" s="495"/>
      <c r="G145" s="492"/>
    </row>
    <row r="146" spans="1:7" ht="13.5" customHeight="1" x14ac:dyDescent="0.2">
      <c r="A146" s="469" t="s">
        <v>637</v>
      </c>
      <c r="B146" s="471" t="s">
        <v>638</v>
      </c>
      <c r="C146" s="488"/>
      <c r="D146" s="493"/>
      <c r="E146" s="495"/>
      <c r="F146" s="495"/>
      <c r="G146" s="492"/>
    </row>
    <row r="147" spans="1:7" ht="13.5" customHeight="1" x14ac:dyDescent="0.2">
      <c r="A147" s="460" t="s">
        <v>619</v>
      </c>
      <c r="B147" s="472" t="s">
        <v>639</v>
      </c>
      <c r="C147" s="488" t="s">
        <v>0</v>
      </c>
      <c r="D147" s="493">
        <v>4</v>
      </c>
      <c r="E147" s="495"/>
      <c r="F147" s="495"/>
      <c r="G147" s="492">
        <f t="shared" si="3"/>
        <v>0</v>
      </c>
    </row>
    <row r="148" spans="1:7" ht="13.5" customHeight="1" x14ac:dyDescent="0.2">
      <c r="A148" s="460"/>
      <c r="B148" s="472"/>
      <c r="C148" s="488"/>
      <c r="D148" s="493"/>
      <c r="E148" s="495"/>
      <c r="F148" s="495"/>
      <c r="G148" s="492"/>
    </row>
    <row r="149" spans="1:7" ht="13.5" customHeight="1" x14ac:dyDescent="0.2">
      <c r="A149" s="469" t="s">
        <v>640</v>
      </c>
      <c r="B149" s="471" t="s">
        <v>641</v>
      </c>
      <c r="C149" s="488"/>
      <c r="D149" s="493"/>
      <c r="E149" s="495"/>
      <c r="F149" s="495"/>
      <c r="G149" s="492"/>
    </row>
    <row r="150" spans="1:7" ht="13.5" customHeight="1" x14ac:dyDescent="0.2">
      <c r="A150" s="460"/>
      <c r="B150" s="472" t="s">
        <v>639</v>
      </c>
      <c r="C150" s="488" t="s">
        <v>0</v>
      </c>
      <c r="D150" s="493">
        <v>8</v>
      </c>
      <c r="E150" s="495"/>
      <c r="F150" s="495"/>
      <c r="G150" s="492">
        <f t="shared" si="3"/>
        <v>0</v>
      </c>
    </row>
    <row r="151" spans="1:7" ht="13.5" customHeight="1" x14ac:dyDescent="0.2">
      <c r="A151" s="460"/>
      <c r="B151" s="472"/>
      <c r="C151" s="488"/>
      <c r="D151" s="493"/>
      <c r="E151" s="495"/>
      <c r="F151" s="495"/>
      <c r="G151" s="492"/>
    </row>
    <row r="152" spans="1:7" ht="13.5" customHeight="1" x14ac:dyDescent="0.2">
      <c r="A152" s="469" t="s">
        <v>642</v>
      </c>
      <c r="B152" s="471" t="s">
        <v>643</v>
      </c>
      <c r="C152" s="488"/>
      <c r="D152" s="493"/>
      <c r="E152" s="495"/>
      <c r="F152" s="495"/>
      <c r="G152" s="492"/>
    </row>
    <row r="153" spans="1:7" ht="13.5" customHeight="1" x14ac:dyDescent="0.2">
      <c r="A153" s="460"/>
      <c r="B153" s="472" t="s">
        <v>639</v>
      </c>
      <c r="C153" s="488" t="s">
        <v>0</v>
      </c>
      <c r="D153" s="493">
        <v>4</v>
      </c>
      <c r="E153" s="495"/>
      <c r="F153" s="495"/>
      <c r="G153" s="492">
        <f t="shared" si="3"/>
        <v>0</v>
      </c>
    </row>
    <row r="154" spans="1:7" ht="13.5" customHeight="1" x14ac:dyDescent="0.2">
      <c r="A154" s="460"/>
      <c r="B154" s="472"/>
      <c r="C154" s="488"/>
      <c r="D154" s="493"/>
      <c r="E154" s="495"/>
      <c r="F154" s="495"/>
      <c r="G154" s="492"/>
    </row>
    <row r="155" spans="1:7" ht="13.5" customHeight="1" x14ac:dyDescent="0.2">
      <c r="A155" s="469" t="s">
        <v>644</v>
      </c>
      <c r="B155" s="471" t="s">
        <v>645</v>
      </c>
      <c r="C155" s="488"/>
      <c r="D155" s="493"/>
      <c r="E155" s="495"/>
      <c r="F155" s="495"/>
      <c r="G155" s="492"/>
    </row>
    <row r="156" spans="1:7" ht="13.5" customHeight="1" x14ac:dyDescent="0.2">
      <c r="A156" s="460"/>
      <c r="B156" s="472" t="s">
        <v>639</v>
      </c>
      <c r="C156" s="488" t="s">
        <v>0</v>
      </c>
      <c r="D156" s="493">
        <v>8</v>
      </c>
      <c r="E156" s="495"/>
      <c r="F156" s="495"/>
      <c r="G156" s="492">
        <f t="shared" si="3"/>
        <v>0</v>
      </c>
    </row>
    <row r="157" spans="1:7" ht="13.5" customHeight="1" x14ac:dyDescent="0.2">
      <c r="A157" s="460"/>
      <c r="B157" s="472"/>
      <c r="C157" s="488"/>
      <c r="D157" s="493"/>
      <c r="E157" s="495"/>
      <c r="F157" s="495"/>
      <c r="G157" s="492"/>
    </row>
    <row r="158" spans="1:7" ht="13.5" customHeight="1" x14ac:dyDescent="0.2">
      <c r="A158" s="469" t="s">
        <v>646</v>
      </c>
      <c r="B158" s="471" t="s">
        <v>647</v>
      </c>
      <c r="C158" s="488"/>
      <c r="D158" s="493"/>
      <c r="E158" s="495"/>
      <c r="F158" s="495"/>
      <c r="G158" s="492"/>
    </row>
    <row r="159" spans="1:7" ht="13.5" customHeight="1" x14ac:dyDescent="0.2">
      <c r="A159" s="460" t="s">
        <v>209</v>
      </c>
      <c r="B159" s="472" t="s">
        <v>648</v>
      </c>
      <c r="C159" s="488"/>
      <c r="D159" s="493"/>
      <c r="E159" s="495"/>
      <c r="F159" s="495"/>
      <c r="G159" s="492"/>
    </row>
    <row r="160" spans="1:7" ht="13.5" customHeight="1" x14ac:dyDescent="0.2">
      <c r="A160" s="460"/>
      <c r="B160" s="472" t="s">
        <v>639</v>
      </c>
      <c r="C160" s="488" t="s">
        <v>0</v>
      </c>
      <c r="D160" s="493">
        <v>4</v>
      </c>
      <c r="E160" s="495"/>
      <c r="F160" s="495"/>
      <c r="G160" s="492">
        <f t="shared" si="3"/>
        <v>0</v>
      </c>
    </row>
    <row r="161" spans="1:7" ht="13.5" customHeight="1" x14ac:dyDescent="0.2">
      <c r="A161" s="460"/>
      <c r="B161" s="472"/>
      <c r="C161" s="488"/>
      <c r="D161" s="493"/>
      <c r="E161" s="495"/>
      <c r="F161" s="495"/>
      <c r="G161" s="492"/>
    </row>
    <row r="162" spans="1:7" ht="13.5" customHeight="1" x14ac:dyDescent="0.2">
      <c r="A162" s="469" t="s">
        <v>649</v>
      </c>
      <c r="B162" s="471" t="s">
        <v>650</v>
      </c>
      <c r="C162" s="488"/>
      <c r="D162" s="493"/>
      <c r="E162" s="495"/>
      <c r="F162" s="495"/>
      <c r="G162" s="492"/>
    </row>
    <row r="163" spans="1:7" ht="13.5" customHeight="1" x14ac:dyDescent="0.2">
      <c r="A163" s="460"/>
      <c r="B163" s="472" t="s">
        <v>639</v>
      </c>
      <c r="C163" s="488" t="s">
        <v>0</v>
      </c>
      <c r="D163" s="493">
        <v>8</v>
      </c>
      <c r="E163" s="495"/>
      <c r="F163" s="495"/>
      <c r="G163" s="492">
        <f t="shared" si="3"/>
        <v>0</v>
      </c>
    </row>
    <row r="164" spans="1:7" x14ac:dyDescent="0.2">
      <c r="A164" s="473"/>
      <c r="B164" s="461"/>
      <c r="C164" s="488"/>
      <c r="D164" s="496"/>
      <c r="E164" s="497"/>
      <c r="F164" s="497"/>
      <c r="G164" s="492"/>
    </row>
    <row r="165" spans="1:7" x14ac:dyDescent="0.2">
      <c r="A165" s="474"/>
      <c r="B165" s="540" t="s">
        <v>651</v>
      </c>
      <c r="C165" s="541"/>
      <c r="D165" s="541"/>
      <c r="E165" s="542"/>
      <c r="F165" s="467"/>
      <c r="G165" s="475">
        <f>SUM(G120:G164)</f>
        <v>0</v>
      </c>
    </row>
    <row r="166" spans="1:7" x14ac:dyDescent="0.2">
      <c r="A166" s="473"/>
      <c r="B166" s="461"/>
      <c r="C166" s="488"/>
      <c r="D166" s="498"/>
      <c r="E166" s="499"/>
      <c r="F166" s="499"/>
      <c r="G166" s="501"/>
    </row>
    <row r="167" spans="1:7" x14ac:dyDescent="0.2">
      <c r="A167" s="460" t="s">
        <v>652</v>
      </c>
      <c r="B167" s="461" t="s">
        <v>653</v>
      </c>
      <c r="C167" s="488"/>
      <c r="D167" s="493"/>
      <c r="E167" s="495"/>
      <c r="F167" s="495"/>
      <c r="G167" s="492"/>
    </row>
    <row r="168" spans="1:7" x14ac:dyDescent="0.2">
      <c r="A168" s="460"/>
      <c r="B168" s="463"/>
      <c r="C168" s="488"/>
      <c r="D168" s="493"/>
      <c r="E168" s="495"/>
      <c r="F168" s="495"/>
      <c r="G168" s="492"/>
    </row>
    <row r="169" spans="1:7" x14ac:dyDescent="0.2">
      <c r="A169" s="460"/>
      <c r="B169" s="473"/>
      <c r="C169" s="488"/>
      <c r="D169" s="493"/>
      <c r="E169" s="495"/>
      <c r="F169" s="495"/>
      <c r="G169" s="492"/>
    </row>
    <row r="170" spans="1:7" x14ac:dyDescent="0.2">
      <c r="A170" s="469" t="s">
        <v>654</v>
      </c>
      <c r="B170" s="464" t="s">
        <v>655</v>
      </c>
      <c r="C170" s="488"/>
      <c r="D170" s="493"/>
      <c r="E170" s="495"/>
      <c r="F170" s="495"/>
      <c r="G170" s="492"/>
    </row>
    <row r="171" spans="1:7" x14ac:dyDescent="0.2">
      <c r="A171" s="469" t="s">
        <v>209</v>
      </c>
      <c r="B171" s="473" t="s">
        <v>656</v>
      </c>
      <c r="C171" s="488"/>
      <c r="D171" s="493"/>
      <c r="E171" s="495"/>
      <c r="F171" s="495"/>
      <c r="G171" s="492"/>
    </row>
    <row r="172" spans="1:7" x14ac:dyDescent="0.2">
      <c r="A172" s="473"/>
      <c r="B172" s="473" t="s">
        <v>540</v>
      </c>
      <c r="C172" s="488" t="s">
        <v>541</v>
      </c>
      <c r="D172" s="493">
        <v>2</v>
      </c>
      <c r="E172" s="495"/>
      <c r="F172" s="495"/>
      <c r="G172" s="492">
        <f>+D172*E172</f>
        <v>0</v>
      </c>
    </row>
    <row r="173" spans="1:7" x14ac:dyDescent="0.2">
      <c r="A173" s="473"/>
      <c r="B173" s="473"/>
      <c r="C173" s="488"/>
      <c r="D173" s="493"/>
      <c r="E173" s="495"/>
      <c r="F173" s="495"/>
      <c r="G173" s="492"/>
    </row>
    <row r="174" spans="1:7" x14ac:dyDescent="0.2">
      <c r="A174" s="473"/>
      <c r="B174" s="473"/>
      <c r="C174" s="488"/>
      <c r="D174" s="493"/>
      <c r="E174" s="495"/>
      <c r="F174" s="495"/>
      <c r="G174" s="492"/>
    </row>
    <row r="175" spans="1:7" x14ac:dyDescent="0.2">
      <c r="A175" s="473"/>
      <c r="B175" s="473"/>
      <c r="C175" s="488"/>
      <c r="D175" s="493"/>
      <c r="E175" s="495"/>
      <c r="F175" s="495"/>
      <c r="G175" s="492"/>
    </row>
    <row r="176" spans="1:7" x14ac:dyDescent="0.2">
      <c r="A176" s="469" t="s">
        <v>657</v>
      </c>
      <c r="B176" s="464" t="s">
        <v>658</v>
      </c>
      <c r="C176" s="488"/>
      <c r="D176" s="493"/>
      <c r="E176" s="495"/>
      <c r="F176" s="495"/>
      <c r="G176" s="492"/>
    </row>
    <row r="177" spans="1:7" x14ac:dyDescent="0.2">
      <c r="A177" s="460" t="s">
        <v>209</v>
      </c>
      <c r="B177" s="473" t="s">
        <v>659</v>
      </c>
      <c r="C177" s="488"/>
      <c r="D177" s="493"/>
      <c r="E177" s="495"/>
      <c r="F177" s="495"/>
      <c r="G177" s="492"/>
    </row>
    <row r="178" spans="1:7" x14ac:dyDescent="0.2">
      <c r="A178" s="460"/>
      <c r="B178" s="473" t="s">
        <v>660</v>
      </c>
      <c r="C178" s="488" t="s">
        <v>541</v>
      </c>
      <c r="D178" s="493">
        <v>1</v>
      </c>
      <c r="E178" s="495"/>
      <c r="F178" s="495"/>
      <c r="G178" s="492">
        <f>+D178*E178</f>
        <v>0</v>
      </c>
    </row>
    <row r="179" spans="1:7" x14ac:dyDescent="0.2">
      <c r="A179" s="460" t="s">
        <v>212</v>
      </c>
      <c r="B179" s="473" t="s">
        <v>661</v>
      </c>
      <c r="C179" s="488"/>
      <c r="D179" s="493"/>
      <c r="E179" s="495"/>
      <c r="F179" s="495"/>
      <c r="G179" s="492"/>
    </row>
    <row r="180" spans="1:7" x14ac:dyDescent="0.2">
      <c r="A180" s="460"/>
      <c r="B180" s="473" t="s">
        <v>660</v>
      </c>
      <c r="C180" s="488" t="s">
        <v>541</v>
      </c>
      <c r="D180" s="493">
        <v>4</v>
      </c>
      <c r="E180" s="495"/>
      <c r="F180" s="495"/>
      <c r="G180" s="492">
        <f>+D180*E180</f>
        <v>0</v>
      </c>
    </row>
    <row r="181" spans="1:7" x14ac:dyDescent="0.2">
      <c r="A181" s="460"/>
      <c r="B181" s="473"/>
      <c r="C181" s="488"/>
      <c r="D181" s="493"/>
      <c r="E181" s="495"/>
      <c r="F181" s="495"/>
      <c r="G181" s="492"/>
    </row>
    <row r="182" spans="1:7" x14ac:dyDescent="0.2">
      <c r="A182" s="460" t="s">
        <v>662</v>
      </c>
      <c r="B182" s="464" t="s">
        <v>663</v>
      </c>
      <c r="C182" s="488"/>
      <c r="D182" s="493"/>
      <c r="E182" s="495"/>
      <c r="F182" s="495"/>
      <c r="G182" s="492"/>
    </row>
    <row r="183" spans="1:7" x14ac:dyDescent="0.2">
      <c r="A183" s="460" t="s">
        <v>209</v>
      </c>
      <c r="B183" s="463" t="s">
        <v>553</v>
      </c>
      <c r="C183" s="488"/>
      <c r="D183" s="493"/>
      <c r="E183" s="495"/>
      <c r="F183" s="495"/>
      <c r="G183" s="492"/>
    </row>
    <row r="184" spans="1:7" x14ac:dyDescent="0.2">
      <c r="A184" s="460"/>
      <c r="B184" s="463" t="s">
        <v>552</v>
      </c>
      <c r="C184" s="488" t="s">
        <v>133</v>
      </c>
      <c r="D184" s="493">
        <v>50</v>
      </c>
      <c r="E184" s="495"/>
      <c r="F184" s="495"/>
      <c r="G184" s="492">
        <f>+D184*E184</f>
        <v>0</v>
      </c>
    </row>
    <row r="185" spans="1:7" x14ac:dyDescent="0.2">
      <c r="A185" s="460" t="s">
        <v>212</v>
      </c>
      <c r="B185" s="463" t="s">
        <v>554</v>
      </c>
      <c r="C185" s="488"/>
      <c r="D185" s="493"/>
      <c r="E185" s="495"/>
      <c r="F185" s="495"/>
      <c r="G185" s="492"/>
    </row>
    <row r="186" spans="1:7" x14ac:dyDescent="0.2">
      <c r="A186" s="460"/>
      <c r="B186" s="463" t="s">
        <v>552</v>
      </c>
      <c r="C186" s="488" t="s">
        <v>133</v>
      </c>
      <c r="D186" s="493">
        <v>150</v>
      </c>
      <c r="E186" s="495"/>
      <c r="F186" s="495"/>
      <c r="G186" s="492">
        <f t="shared" ref="G186:G188" si="4">+D186*E186</f>
        <v>0</v>
      </c>
    </row>
    <row r="187" spans="1:7" x14ac:dyDescent="0.2">
      <c r="A187" s="460" t="s">
        <v>225</v>
      </c>
      <c r="B187" s="463" t="s">
        <v>664</v>
      </c>
      <c r="C187" s="488"/>
      <c r="D187" s="493"/>
      <c r="E187" s="495"/>
      <c r="F187" s="495"/>
      <c r="G187" s="492"/>
    </row>
    <row r="188" spans="1:7" x14ac:dyDescent="0.2">
      <c r="A188" s="460"/>
      <c r="B188" s="463" t="s">
        <v>552</v>
      </c>
      <c r="C188" s="488" t="s">
        <v>133</v>
      </c>
      <c r="D188" s="493">
        <v>100</v>
      </c>
      <c r="E188" s="495"/>
      <c r="F188" s="495"/>
      <c r="G188" s="492">
        <f t="shared" si="4"/>
        <v>0</v>
      </c>
    </row>
    <row r="189" spans="1:7" x14ac:dyDescent="0.2">
      <c r="A189" s="473"/>
      <c r="B189" s="473"/>
      <c r="C189" s="488"/>
      <c r="D189" s="493"/>
      <c r="E189" s="495"/>
      <c r="F189" s="495"/>
      <c r="G189" s="492"/>
    </row>
    <row r="190" spans="1:7" ht="19.2" x14ac:dyDescent="0.2">
      <c r="A190" s="469" t="s">
        <v>665</v>
      </c>
      <c r="B190" s="505" t="s">
        <v>666</v>
      </c>
      <c r="C190" s="488"/>
      <c r="D190" s="493"/>
      <c r="E190" s="495"/>
      <c r="F190" s="495"/>
      <c r="G190" s="492"/>
    </row>
    <row r="191" spans="1:7" x14ac:dyDescent="0.2">
      <c r="A191" s="460" t="s">
        <v>209</v>
      </c>
      <c r="B191" s="473" t="s">
        <v>667</v>
      </c>
      <c r="C191" s="488"/>
      <c r="D191" s="493"/>
      <c r="E191" s="495"/>
      <c r="F191" s="495"/>
      <c r="G191" s="492"/>
    </row>
    <row r="192" spans="1:7" x14ac:dyDescent="0.2">
      <c r="A192" s="460"/>
      <c r="B192" s="473" t="s">
        <v>660</v>
      </c>
      <c r="C192" s="488" t="s">
        <v>541</v>
      </c>
      <c r="D192" s="493" t="s">
        <v>556</v>
      </c>
      <c r="E192" s="495"/>
      <c r="F192" s="495"/>
      <c r="G192" s="492" t="s">
        <v>556</v>
      </c>
    </row>
    <row r="193" spans="1:7" x14ac:dyDescent="0.2">
      <c r="A193" s="460"/>
      <c r="B193" s="473"/>
      <c r="C193" s="488"/>
      <c r="D193" s="493"/>
      <c r="E193" s="495"/>
      <c r="F193" s="495"/>
      <c r="G193" s="492"/>
    </row>
    <row r="194" spans="1:7" x14ac:dyDescent="0.2">
      <c r="A194" s="469" t="s">
        <v>668</v>
      </c>
      <c r="B194" s="464" t="s">
        <v>669</v>
      </c>
      <c r="C194" s="488"/>
      <c r="D194" s="493"/>
      <c r="E194" s="495"/>
      <c r="F194" s="495"/>
      <c r="G194" s="492"/>
    </row>
    <row r="195" spans="1:7" x14ac:dyDescent="0.2">
      <c r="A195" s="460" t="s">
        <v>209</v>
      </c>
      <c r="B195" s="463" t="s">
        <v>670</v>
      </c>
      <c r="C195" s="488"/>
      <c r="D195" s="493"/>
      <c r="E195" s="495"/>
      <c r="F195" s="495"/>
      <c r="G195" s="492"/>
    </row>
    <row r="196" spans="1:7" x14ac:dyDescent="0.2">
      <c r="A196" s="460"/>
      <c r="B196" s="463" t="s">
        <v>540</v>
      </c>
      <c r="C196" s="488" t="s">
        <v>541</v>
      </c>
      <c r="D196" s="493">
        <v>1</v>
      </c>
      <c r="E196" s="495"/>
      <c r="F196" s="495"/>
      <c r="G196" s="492">
        <f>+D196*E196</f>
        <v>0</v>
      </c>
    </row>
    <row r="197" spans="1:7" x14ac:dyDescent="0.2">
      <c r="A197" s="460" t="s">
        <v>212</v>
      </c>
      <c r="B197" s="463" t="s">
        <v>671</v>
      </c>
      <c r="C197" s="488"/>
      <c r="D197" s="493"/>
      <c r="E197" s="495"/>
      <c r="F197" s="495"/>
      <c r="G197" s="492"/>
    </row>
    <row r="198" spans="1:7" x14ac:dyDescent="0.2">
      <c r="A198" s="460"/>
      <c r="B198" s="463" t="s">
        <v>540</v>
      </c>
      <c r="C198" s="488" t="s">
        <v>541</v>
      </c>
      <c r="D198" s="493">
        <v>1</v>
      </c>
      <c r="E198" s="495"/>
      <c r="F198" s="495"/>
      <c r="G198" s="492">
        <f t="shared" ref="G198:G224" si="5">+D198*E198</f>
        <v>0</v>
      </c>
    </row>
    <row r="199" spans="1:7" x14ac:dyDescent="0.2">
      <c r="A199" s="460" t="s">
        <v>225</v>
      </c>
      <c r="B199" s="463" t="s">
        <v>672</v>
      </c>
      <c r="C199" s="488"/>
      <c r="D199" s="493"/>
      <c r="E199" s="495"/>
      <c r="F199" s="495"/>
      <c r="G199" s="492"/>
    </row>
    <row r="200" spans="1:7" x14ac:dyDescent="0.2">
      <c r="A200" s="460"/>
      <c r="B200" s="463" t="s">
        <v>540</v>
      </c>
      <c r="C200" s="488" t="s">
        <v>541</v>
      </c>
      <c r="D200" s="493" t="s">
        <v>556</v>
      </c>
      <c r="E200" s="495"/>
      <c r="F200" s="495"/>
      <c r="G200" s="492" t="s">
        <v>556</v>
      </c>
    </row>
    <row r="201" spans="1:7" x14ac:dyDescent="0.2">
      <c r="A201" s="460" t="s">
        <v>227</v>
      </c>
      <c r="B201" s="463" t="s">
        <v>673</v>
      </c>
      <c r="C201" s="488"/>
      <c r="D201" s="493"/>
      <c r="E201" s="495"/>
      <c r="F201" s="495"/>
      <c r="G201" s="492"/>
    </row>
    <row r="202" spans="1:7" x14ac:dyDescent="0.2">
      <c r="A202" s="460"/>
      <c r="B202" s="463" t="s">
        <v>540</v>
      </c>
      <c r="C202" s="488" t="s">
        <v>541</v>
      </c>
      <c r="D202" s="493">
        <v>2</v>
      </c>
      <c r="E202" s="495"/>
      <c r="F202" s="495"/>
      <c r="G202" s="492">
        <f t="shared" si="5"/>
        <v>0</v>
      </c>
    </row>
    <row r="203" spans="1:7" x14ac:dyDescent="0.2">
      <c r="A203" s="460" t="s">
        <v>229</v>
      </c>
      <c r="B203" s="463" t="s">
        <v>674</v>
      </c>
      <c r="C203" s="488"/>
      <c r="D203" s="493"/>
      <c r="E203" s="495"/>
      <c r="F203" s="495"/>
      <c r="G203" s="492"/>
    </row>
    <row r="204" spans="1:7" x14ac:dyDescent="0.2">
      <c r="A204" s="460"/>
      <c r="B204" s="463" t="s">
        <v>540</v>
      </c>
      <c r="C204" s="488" t="s">
        <v>541</v>
      </c>
      <c r="D204" s="493">
        <v>2</v>
      </c>
      <c r="E204" s="495"/>
      <c r="F204" s="495"/>
      <c r="G204" s="492">
        <f t="shared" si="5"/>
        <v>0</v>
      </c>
    </row>
    <row r="205" spans="1:7" x14ac:dyDescent="0.2">
      <c r="A205" s="460" t="s">
        <v>231</v>
      </c>
      <c r="B205" s="463" t="s">
        <v>675</v>
      </c>
      <c r="C205" s="488"/>
      <c r="D205" s="493"/>
      <c r="E205" s="495"/>
      <c r="F205" s="495"/>
      <c r="G205" s="492"/>
    </row>
    <row r="206" spans="1:7" x14ac:dyDescent="0.2">
      <c r="A206" s="460"/>
      <c r="B206" s="463" t="s">
        <v>540</v>
      </c>
      <c r="C206" s="488" t="s">
        <v>541</v>
      </c>
      <c r="D206" s="493">
        <v>3</v>
      </c>
      <c r="E206" s="495"/>
      <c r="F206" s="495"/>
      <c r="G206" s="492">
        <f t="shared" si="5"/>
        <v>0</v>
      </c>
    </row>
    <row r="207" spans="1:7" x14ac:dyDescent="0.2">
      <c r="A207" s="460"/>
      <c r="B207" s="463"/>
      <c r="C207" s="488"/>
      <c r="D207" s="493"/>
      <c r="E207" s="495"/>
      <c r="F207" s="495"/>
      <c r="G207" s="492"/>
    </row>
    <row r="208" spans="1:7" x14ac:dyDescent="0.2">
      <c r="A208" s="469" t="s">
        <v>676</v>
      </c>
      <c r="B208" s="464" t="s">
        <v>677</v>
      </c>
      <c r="C208" s="488"/>
      <c r="D208" s="493"/>
      <c r="E208" s="495"/>
      <c r="F208" s="495"/>
      <c r="G208" s="492"/>
    </row>
    <row r="209" spans="1:7" x14ac:dyDescent="0.2">
      <c r="A209" s="460"/>
      <c r="B209" s="463" t="s">
        <v>678</v>
      </c>
      <c r="C209" s="488" t="s">
        <v>82</v>
      </c>
      <c r="D209" s="493">
        <v>350</v>
      </c>
      <c r="E209" s="495"/>
      <c r="F209" s="495"/>
      <c r="G209" s="492">
        <f t="shared" si="5"/>
        <v>0</v>
      </c>
    </row>
    <row r="210" spans="1:7" x14ac:dyDescent="0.2">
      <c r="A210" s="460"/>
      <c r="B210" s="463"/>
      <c r="C210" s="488"/>
      <c r="D210" s="493"/>
      <c r="E210" s="495"/>
      <c r="F210" s="495"/>
      <c r="G210" s="492"/>
    </row>
    <row r="211" spans="1:7" x14ac:dyDescent="0.2">
      <c r="A211" s="469" t="s">
        <v>679</v>
      </c>
      <c r="B211" s="464" t="s">
        <v>680</v>
      </c>
      <c r="C211" s="488"/>
      <c r="D211" s="493"/>
      <c r="E211" s="495"/>
      <c r="F211" s="495"/>
      <c r="G211" s="492"/>
    </row>
    <row r="212" spans="1:7" x14ac:dyDescent="0.2">
      <c r="A212" s="460"/>
      <c r="B212" s="463" t="s">
        <v>678</v>
      </c>
      <c r="C212" s="488" t="s">
        <v>82</v>
      </c>
      <c r="D212" s="493">
        <v>150</v>
      </c>
      <c r="E212" s="495"/>
      <c r="F212" s="495"/>
      <c r="G212" s="492">
        <f t="shared" si="5"/>
        <v>0</v>
      </c>
    </row>
    <row r="213" spans="1:7" x14ac:dyDescent="0.2">
      <c r="A213" s="460"/>
      <c r="B213" s="463"/>
      <c r="C213" s="488"/>
      <c r="D213" s="493"/>
      <c r="E213" s="495"/>
      <c r="F213" s="495"/>
      <c r="G213" s="492"/>
    </row>
    <row r="214" spans="1:7" x14ac:dyDescent="0.2">
      <c r="A214" s="469" t="s">
        <v>681</v>
      </c>
      <c r="B214" s="464" t="s">
        <v>682</v>
      </c>
      <c r="C214" s="488"/>
      <c r="D214" s="493"/>
      <c r="E214" s="495"/>
      <c r="F214" s="495"/>
      <c r="G214" s="492"/>
    </row>
    <row r="215" spans="1:7" x14ac:dyDescent="0.2">
      <c r="A215" s="460" t="s">
        <v>209</v>
      </c>
      <c r="B215" s="463" t="s">
        <v>683</v>
      </c>
      <c r="C215" s="488"/>
      <c r="D215" s="493"/>
      <c r="E215" s="495"/>
      <c r="F215" s="495"/>
      <c r="G215" s="492"/>
    </row>
    <row r="216" spans="1:7" x14ac:dyDescent="0.2">
      <c r="A216" s="460"/>
      <c r="B216" s="463" t="s">
        <v>552</v>
      </c>
      <c r="C216" s="488" t="s">
        <v>133</v>
      </c>
      <c r="D216" s="493">
        <v>40</v>
      </c>
      <c r="E216" s="495"/>
      <c r="F216" s="495"/>
      <c r="G216" s="492">
        <f t="shared" si="5"/>
        <v>0</v>
      </c>
    </row>
    <row r="217" spans="1:7" x14ac:dyDescent="0.2">
      <c r="A217" s="460"/>
      <c r="B217" s="463"/>
      <c r="C217" s="488"/>
      <c r="D217" s="493"/>
      <c r="E217" s="495"/>
      <c r="F217" s="495"/>
      <c r="G217" s="492"/>
    </row>
    <row r="218" spans="1:7" x14ac:dyDescent="0.2">
      <c r="A218" s="469" t="s">
        <v>684</v>
      </c>
      <c r="B218" s="464" t="s">
        <v>685</v>
      </c>
      <c r="C218" s="488"/>
      <c r="D218" s="493"/>
      <c r="E218" s="495"/>
      <c r="F218" s="495"/>
      <c r="G218" s="492"/>
    </row>
    <row r="219" spans="1:7" x14ac:dyDescent="0.2">
      <c r="A219" s="460" t="s">
        <v>209</v>
      </c>
      <c r="B219" s="476" t="s">
        <v>686</v>
      </c>
      <c r="C219" s="488"/>
      <c r="D219" s="493"/>
      <c r="E219" s="495"/>
      <c r="F219" s="495"/>
      <c r="G219" s="492"/>
    </row>
    <row r="220" spans="1:7" x14ac:dyDescent="0.2">
      <c r="A220" s="460"/>
      <c r="B220" s="476" t="s">
        <v>566</v>
      </c>
      <c r="C220" s="488" t="s">
        <v>0</v>
      </c>
      <c r="D220" s="493" t="s">
        <v>556</v>
      </c>
      <c r="E220" s="495"/>
      <c r="F220" s="495"/>
      <c r="G220" s="492" t="s">
        <v>556</v>
      </c>
    </row>
    <row r="221" spans="1:7" x14ac:dyDescent="0.2">
      <c r="A221" s="460"/>
      <c r="B221" s="463"/>
      <c r="C221" s="488"/>
      <c r="D221" s="493"/>
      <c r="E221" s="495"/>
      <c r="F221" s="495"/>
      <c r="G221" s="492"/>
    </row>
    <row r="222" spans="1:7" x14ac:dyDescent="0.2">
      <c r="A222" s="469" t="s">
        <v>687</v>
      </c>
      <c r="B222" s="477" t="s">
        <v>688</v>
      </c>
      <c r="C222" s="488"/>
      <c r="D222" s="493"/>
      <c r="E222" s="495"/>
      <c r="F222" s="495"/>
      <c r="G222" s="492"/>
    </row>
    <row r="223" spans="1:7" x14ac:dyDescent="0.2">
      <c r="A223" s="478" t="s">
        <v>209</v>
      </c>
      <c r="B223" s="476" t="s">
        <v>689</v>
      </c>
      <c r="C223" s="488"/>
      <c r="D223" s="493"/>
      <c r="E223" s="495"/>
      <c r="F223" s="495"/>
      <c r="G223" s="492"/>
    </row>
    <row r="224" spans="1:7" x14ac:dyDescent="0.2">
      <c r="A224" s="478"/>
      <c r="B224" s="476" t="s">
        <v>566</v>
      </c>
      <c r="C224" s="488" t="s">
        <v>0</v>
      </c>
      <c r="D224" s="493">
        <v>20</v>
      </c>
      <c r="E224" s="495"/>
      <c r="F224" s="495"/>
      <c r="G224" s="492">
        <f t="shared" si="5"/>
        <v>0</v>
      </c>
    </row>
    <row r="225" spans="1:7" x14ac:dyDescent="0.2">
      <c r="A225" s="478"/>
      <c r="B225" s="476"/>
      <c r="C225" s="488"/>
      <c r="D225" s="496"/>
      <c r="E225" s="497"/>
      <c r="F225" s="497"/>
      <c r="G225" s="492"/>
    </row>
    <row r="226" spans="1:7" x14ac:dyDescent="0.2">
      <c r="A226" s="474"/>
      <c r="B226" s="540" t="s">
        <v>690</v>
      </c>
      <c r="C226" s="541"/>
      <c r="D226" s="541"/>
      <c r="E226" s="542"/>
      <c r="F226" s="467"/>
      <c r="G226" s="468">
        <f>SUM(G172:G225)</f>
        <v>0</v>
      </c>
    </row>
    <row r="227" spans="1:7" x14ac:dyDescent="0.2">
      <c r="A227" s="473"/>
      <c r="B227" s="461"/>
      <c r="C227" s="488"/>
      <c r="D227" s="498"/>
      <c r="E227" s="499"/>
      <c r="F227" s="499"/>
      <c r="G227" s="492"/>
    </row>
    <row r="228" spans="1:7" x14ac:dyDescent="0.2">
      <c r="A228" s="460" t="s">
        <v>691</v>
      </c>
      <c r="B228" s="461" t="s">
        <v>692</v>
      </c>
      <c r="C228" s="488"/>
      <c r="D228" s="493"/>
      <c r="E228" s="495"/>
      <c r="F228" s="495"/>
      <c r="G228" s="492"/>
    </row>
    <row r="229" spans="1:7" x14ac:dyDescent="0.2">
      <c r="A229" s="460"/>
      <c r="B229" s="462"/>
      <c r="C229" s="488"/>
      <c r="D229" s="493"/>
      <c r="E229" s="495"/>
      <c r="F229" s="495"/>
      <c r="G229" s="492"/>
    </row>
    <row r="230" spans="1:7" x14ac:dyDescent="0.2">
      <c r="A230" s="469" t="s">
        <v>693</v>
      </c>
      <c r="B230" s="464" t="s">
        <v>694</v>
      </c>
      <c r="C230" s="488"/>
      <c r="D230" s="493"/>
      <c r="E230" s="495"/>
      <c r="F230" s="495"/>
      <c r="G230" s="492"/>
    </row>
    <row r="231" spans="1:7" x14ac:dyDescent="0.2">
      <c r="A231" s="460" t="s">
        <v>209</v>
      </c>
      <c r="B231" s="476" t="s">
        <v>695</v>
      </c>
      <c r="C231" s="488"/>
      <c r="D231" s="493"/>
      <c r="E231" s="495"/>
      <c r="F231" s="495"/>
      <c r="G231" s="492"/>
    </row>
    <row r="232" spans="1:7" x14ac:dyDescent="0.2">
      <c r="A232" s="460"/>
      <c r="B232" s="476" t="s">
        <v>566</v>
      </c>
      <c r="C232" s="488" t="s">
        <v>0</v>
      </c>
      <c r="D232" s="493">
        <v>6</v>
      </c>
      <c r="E232" s="495"/>
      <c r="F232" s="495"/>
      <c r="G232" s="492">
        <f>+D232*E232</f>
        <v>0</v>
      </c>
    </row>
    <row r="233" spans="1:7" x14ac:dyDescent="0.2">
      <c r="A233" s="460" t="s">
        <v>212</v>
      </c>
      <c r="B233" s="476" t="s">
        <v>696</v>
      </c>
      <c r="C233" s="488"/>
      <c r="D233" s="493"/>
      <c r="E233" s="495"/>
      <c r="F233" s="495"/>
      <c r="G233" s="492"/>
    </row>
    <row r="234" spans="1:7" x14ac:dyDescent="0.2">
      <c r="A234" s="460"/>
      <c r="B234" s="476" t="s">
        <v>566</v>
      </c>
      <c r="C234" s="488" t="s">
        <v>0</v>
      </c>
      <c r="D234" s="493">
        <v>4</v>
      </c>
      <c r="E234" s="495"/>
      <c r="F234" s="495"/>
      <c r="G234" s="492">
        <f t="shared" ref="G234:G250" si="6">+D234*E234</f>
        <v>0</v>
      </c>
    </row>
    <row r="235" spans="1:7" x14ac:dyDescent="0.2">
      <c r="A235" s="460" t="s">
        <v>225</v>
      </c>
      <c r="B235" s="476" t="s">
        <v>697</v>
      </c>
      <c r="C235" s="488"/>
      <c r="D235" s="493"/>
      <c r="E235" s="495"/>
      <c r="F235" s="495"/>
      <c r="G235" s="492"/>
    </row>
    <row r="236" spans="1:7" x14ac:dyDescent="0.2">
      <c r="A236" s="460"/>
      <c r="B236" s="476" t="s">
        <v>566</v>
      </c>
      <c r="C236" s="488" t="s">
        <v>0</v>
      </c>
      <c r="D236" s="493">
        <v>10</v>
      </c>
      <c r="E236" s="495"/>
      <c r="F236" s="495"/>
      <c r="G236" s="492">
        <f t="shared" si="6"/>
        <v>0</v>
      </c>
    </row>
    <row r="237" spans="1:7" x14ac:dyDescent="0.2">
      <c r="A237" s="460" t="s">
        <v>227</v>
      </c>
      <c r="B237" s="476" t="s">
        <v>698</v>
      </c>
      <c r="C237" s="488"/>
      <c r="D237" s="493"/>
      <c r="E237" s="495"/>
      <c r="F237" s="495"/>
      <c r="G237" s="492"/>
    </row>
    <row r="238" spans="1:7" x14ac:dyDescent="0.2">
      <c r="A238" s="460"/>
      <c r="B238" s="476" t="s">
        <v>566</v>
      </c>
      <c r="C238" s="488" t="s">
        <v>0</v>
      </c>
      <c r="D238" s="493">
        <v>24</v>
      </c>
      <c r="E238" s="495"/>
      <c r="F238" s="495"/>
      <c r="G238" s="492">
        <f t="shared" si="6"/>
        <v>0</v>
      </c>
    </row>
    <row r="239" spans="1:7" x14ac:dyDescent="0.2">
      <c r="A239" s="460" t="s">
        <v>229</v>
      </c>
      <c r="B239" s="476" t="s">
        <v>699</v>
      </c>
      <c r="C239" s="488"/>
      <c r="D239" s="493"/>
      <c r="E239" s="495"/>
      <c r="F239" s="495"/>
      <c r="G239" s="492"/>
    </row>
    <row r="240" spans="1:7" x14ac:dyDescent="0.2">
      <c r="A240" s="460"/>
      <c r="B240" s="476" t="s">
        <v>566</v>
      </c>
      <c r="C240" s="488" t="s">
        <v>0</v>
      </c>
      <c r="D240" s="493">
        <v>12</v>
      </c>
      <c r="E240" s="495"/>
      <c r="F240" s="495"/>
      <c r="G240" s="492">
        <f t="shared" si="6"/>
        <v>0</v>
      </c>
    </row>
    <row r="241" spans="1:7" ht="10.5" customHeight="1" x14ac:dyDescent="0.2">
      <c r="A241" s="460"/>
      <c r="B241" s="476"/>
      <c r="C241" s="488"/>
      <c r="D241" s="493"/>
      <c r="E241" s="495"/>
      <c r="F241" s="495"/>
      <c r="G241" s="492"/>
    </row>
    <row r="242" spans="1:7" x14ac:dyDescent="0.2">
      <c r="A242" s="469" t="s">
        <v>700</v>
      </c>
      <c r="B242" s="464" t="s">
        <v>701</v>
      </c>
      <c r="C242" s="488"/>
      <c r="D242" s="493"/>
      <c r="E242" s="495"/>
      <c r="F242" s="495"/>
      <c r="G242" s="492"/>
    </row>
    <row r="243" spans="1:7" x14ac:dyDescent="0.2">
      <c r="A243" s="469" t="s">
        <v>209</v>
      </c>
      <c r="B243" s="479" t="s">
        <v>702</v>
      </c>
      <c r="C243" s="488"/>
      <c r="D243" s="493"/>
      <c r="E243" s="495"/>
      <c r="F243" s="495"/>
      <c r="G243" s="492"/>
    </row>
    <row r="244" spans="1:7" x14ac:dyDescent="0.2">
      <c r="A244" s="469"/>
      <c r="B244" s="476" t="s">
        <v>566</v>
      </c>
      <c r="C244" s="488" t="s">
        <v>0</v>
      </c>
      <c r="D244" s="493" t="s">
        <v>556</v>
      </c>
      <c r="E244" s="495"/>
      <c r="F244" s="495"/>
      <c r="G244" s="492" t="s">
        <v>556</v>
      </c>
    </row>
    <row r="245" spans="1:7" ht="27.75" customHeight="1" x14ac:dyDescent="0.2">
      <c r="A245" s="469" t="s">
        <v>212</v>
      </c>
      <c r="B245" s="479" t="s">
        <v>703</v>
      </c>
      <c r="C245" s="488"/>
      <c r="D245" s="493"/>
      <c r="E245" s="495"/>
      <c r="F245" s="495"/>
      <c r="G245" s="492"/>
    </row>
    <row r="246" spans="1:7" x14ac:dyDescent="0.2">
      <c r="A246" s="469"/>
      <c r="B246" s="476" t="s">
        <v>566</v>
      </c>
      <c r="C246" s="488" t="s">
        <v>0</v>
      </c>
      <c r="D246" s="493">
        <v>2</v>
      </c>
      <c r="E246" s="495"/>
      <c r="F246" s="495"/>
      <c r="G246" s="492">
        <f t="shared" si="6"/>
        <v>0</v>
      </c>
    </row>
    <row r="247" spans="1:7" ht="30.75" customHeight="1" x14ac:dyDescent="0.2">
      <c r="A247" s="469" t="s">
        <v>225</v>
      </c>
      <c r="B247" s="479" t="s">
        <v>704</v>
      </c>
      <c r="C247" s="488"/>
      <c r="D247" s="493"/>
      <c r="E247" s="495"/>
      <c r="F247" s="495"/>
      <c r="G247" s="492"/>
    </row>
    <row r="248" spans="1:7" x14ac:dyDescent="0.2">
      <c r="A248" s="469"/>
      <c r="B248" s="476" t="s">
        <v>566</v>
      </c>
      <c r="C248" s="488" t="s">
        <v>0</v>
      </c>
      <c r="D248" s="493">
        <v>2</v>
      </c>
      <c r="E248" s="495"/>
      <c r="F248" s="495"/>
      <c r="G248" s="492">
        <f t="shared" si="6"/>
        <v>0</v>
      </c>
    </row>
    <row r="249" spans="1:7" ht="39" customHeight="1" x14ac:dyDescent="0.2">
      <c r="A249" s="469" t="s">
        <v>227</v>
      </c>
      <c r="B249" s="479" t="s">
        <v>705</v>
      </c>
      <c r="C249" s="488"/>
      <c r="D249" s="493"/>
      <c r="E249" s="495"/>
      <c r="F249" s="495"/>
      <c r="G249" s="492"/>
    </row>
    <row r="250" spans="1:7" ht="9" customHeight="1" x14ac:dyDescent="0.2">
      <c r="A250" s="460"/>
      <c r="B250" s="476" t="s">
        <v>566</v>
      </c>
      <c r="C250" s="488" t="s">
        <v>0</v>
      </c>
      <c r="D250" s="493">
        <v>2</v>
      </c>
      <c r="E250" s="495"/>
      <c r="F250" s="495"/>
      <c r="G250" s="492">
        <f t="shared" si="6"/>
        <v>0</v>
      </c>
    </row>
    <row r="251" spans="1:7" ht="14.25" customHeight="1" x14ac:dyDescent="0.2">
      <c r="A251" s="460"/>
      <c r="B251" s="463"/>
      <c r="C251" s="488"/>
      <c r="D251" s="493"/>
      <c r="E251" s="495"/>
      <c r="F251" s="495"/>
      <c r="G251" s="492"/>
    </row>
    <row r="252" spans="1:7" x14ac:dyDescent="0.2">
      <c r="A252" s="506" t="s">
        <v>706</v>
      </c>
      <c r="B252" s="507" t="s">
        <v>707</v>
      </c>
      <c r="C252" s="508"/>
      <c r="D252" s="498"/>
      <c r="E252" s="499"/>
      <c r="F252" s="499"/>
      <c r="G252" s="509"/>
    </row>
    <row r="253" spans="1:7" ht="11.25" customHeight="1" x14ac:dyDescent="0.2">
      <c r="A253" s="460" t="s">
        <v>209</v>
      </c>
      <c r="B253" s="463" t="s">
        <v>708</v>
      </c>
      <c r="C253" s="488"/>
      <c r="D253" s="493"/>
      <c r="E253" s="495"/>
      <c r="F253" s="495"/>
      <c r="G253" s="492"/>
    </row>
    <row r="254" spans="1:7" x14ac:dyDescent="0.2">
      <c r="A254" s="460"/>
      <c r="B254" s="463" t="s">
        <v>552</v>
      </c>
      <c r="C254" s="488" t="s">
        <v>133</v>
      </c>
      <c r="D254" s="493">
        <v>35</v>
      </c>
      <c r="E254" s="495"/>
      <c r="F254" s="495"/>
      <c r="G254" s="492">
        <f>+D254*E254</f>
        <v>0</v>
      </c>
    </row>
    <row r="255" spans="1:7" ht="11.25" customHeight="1" x14ac:dyDescent="0.2">
      <c r="A255" s="460" t="s">
        <v>212</v>
      </c>
      <c r="B255" s="463" t="s">
        <v>709</v>
      </c>
      <c r="C255" s="488"/>
      <c r="D255" s="493"/>
      <c r="E255" s="495"/>
      <c r="F255" s="495"/>
      <c r="G255" s="492"/>
    </row>
    <row r="256" spans="1:7" x14ac:dyDescent="0.2">
      <c r="A256" s="460"/>
      <c r="B256" s="463" t="s">
        <v>552</v>
      </c>
      <c r="C256" s="488" t="s">
        <v>133</v>
      </c>
      <c r="D256" s="493">
        <v>30</v>
      </c>
      <c r="E256" s="495"/>
      <c r="F256" s="495"/>
      <c r="G256" s="492">
        <f t="shared" ref="G256:G295" si="7">+D256*E256</f>
        <v>0</v>
      </c>
    </row>
    <row r="257" spans="1:7" ht="6.9" customHeight="1" x14ac:dyDescent="0.2">
      <c r="A257" s="460"/>
      <c r="B257" s="463"/>
      <c r="C257" s="488"/>
      <c r="D257" s="493"/>
      <c r="E257" s="495"/>
      <c r="F257" s="495"/>
      <c r="G257" s="492"/>
    </row>
    <row r="258" spans="1:7" x14ac:dyDescent="0.2">
      <c r="A258" s="469" t="s">
        <v>710</v>
      </c>
      <c r="B258" s="464" t="s">
        <v>711</v>
      </c>
      <c r="C258" s="488"/>
      <c r="D258" s="493"/>
      <c r="E258" s="495"/>
      <c r="F258" s="495"/>
      <c r="G258" s="492"/>
    </row>
    <row r="259" spans="1:7" x14ac:dyDescent="0.2">
      <c r="A259" s="460" t="s">
        <v>209</v>
      </c>
      <c r="B259" s="463" t="s">
        <v>708</v>
      </c>
      <c r="C259" s="488"/>
      <c r="D259" s="493"/>
      <c r="E259" s="495"/>
      <c r="F259" s="495"/>
      <c r="G259" s="492"/>
    </row>
    <row r="260" spans="1:7" x14ac:dyDescent="0.2">
      <c r="A260" s="460"/>
      <c r="B260" s="463" t="s">
        <v>552</v>
      </c>
      <c r="C260" s="488" t="s">
        <v>133</v>
      </c>
      <c r="D260" s="493">
        <v>35</v>
      </c>
      <c r="E260" s="495"/>
      <c r="F260" s="495"/>
      <c r="G260" s="492">
        <f t="shared" si="7"/>
        <v>0</v>
      </c>
    </row>
    <row r="261" spans="1:7" x14ac:dyDescent="0.2">
      <c r="A261" s="460" t="s">
        <v>212</v>
      </c>
      <c r="B261" s="463" t="s">
        <v>709</v>
      </c>
      <c r="C261" s="488"/>
      <c r="D261" s="493"/>
      <c r="E261" s="495"/>
      <c r="F261" s="495"/>
      <c r="G261" s="492"/>
    </row>
    <row r="262" spans="1:7" x14ac:dyDescent="0.2">
      <c r="A262" s="460"/>
      <c r="B262" s="463" t="s">
        <v>552</v>
      </c>
      <c r="C262" s="488" t="s">
        <v>133</v>
      </c>
      <c r="D262" s="493">
        <v>25</v>
      </c>
      <c r="E262" s="495"/>
      <c r="F262" s="495"/>
      <c r="G262" s="492">
        <f t="shared" si="7"/>
        <v>0</v>
      </c>
    </row>
    <row r="263" spans="1:7" x14ac:dyDescent="0.2">
      <c r="A263" s="460" t="s">
        <v>225</v>
      </c>
      <c r="B263" s="463" t="s">
        <v>712</v>
      </c>
      <c r="C263" s="488"/>
      <c r="D263" s="493"/>
      <c r="E263" s="495"/>
      <c r="F263" s="495"/>
      <c r="G263" s="492"/>
    </row>
    <row r="264" spans="1:7" x14ac:dyDescent="0.2">
      <c r="A264" s="460"/>
      <c r="B264" s="463" t="s">
        <v>552</v>
      </c>
      <c r="C264" s="488" t="s">
        <v>133</v>
      </c>
      <c r="D264" s="493">
        <v>10</v>
      </c>
      <c r="E264" s="495"/>
      <c r="F264" s="495"/>
      <c r="G264" s="492">
        <f t="shared" si="7"/>
        <v>0</v>
      </c>
    </row>
    <row r="265" spans="1:7" ht="6.9" customHeight="1" x14ac:dyDescent="0.2">
      <c r="A265" s="460"/>
      <c r="B265" s="463"/>
      <c r="C265" s="488"/>
      <c r="D265" s="493"/>
      <c r="E265" s="495"/>
      <c r="F265" s="495"/>
      <c r="G265" s="492"/>
    </row>
    <row r="266" spans="1:7" x14ac:dyDescent="0.2">
      <c r="A266" s="469" t="s">
        <v>713</v>
      </c>
      <c r="B266" s="464" t="s">
        <v>714</v>
      </c>
      <c r="C266" s="488"/>
      <c r="D266" s="493"/>
      <c r="E266" s="495"/>
      <c r="F266" s="495"/>
      <c r="G266" s="492"/>
    </row>
    <row r="267" spans="1:7" x14ac:dyDescent="0.2">
      <c r="A267" s="460"/>
      <c r="B267" s="463" t="s">
        <v>678</v>
      </c>
      <c r="C267" s="488" t="s">
        <v>82</v>
      </c>
      <c r="D267" s="493">
        <v>600</v>
      </c>
      <c r="E267" s="495"/>
      <c r="F267" s="495"/>
      <c r="G267" s="492">
        <f t="shared" si="7"/>
        <v>0</v>
      </c>
    </row>
    <row r="268" spans="1:7" ht="6.9" customHeight="1" x14ac:dyDescent="0.2">
      <c r="A268" s="460"/>
      <c r="B268" s="463"/>
      <c r="C268" s="488"/>
      <c r="D268" s="493"/>
      <c r="E268" s="495"/>
      <c r="F268" s="495"/>
      <c r="G268" s="492"/>
    </row>
    <row r="269" spans="1:7" x14ac:dyDescent="0.2">
      <c r="A269" s="469" t="s">
        <v>715</v>
      </c>
      <c r="B269" s="464" t="s">
        <v>716</v>
      </c>
      <c r="C269" s="488"/>
      <c r="D269" s="493"/>
      <c r="E269" s="495"/>
      <c r="F269" s="495"/>
      <c r="G269" s="492"/>
    </row>
    <row r="270" spans="1:7" x14ac:dyDescent="0.2">
      <c r="A270" s="460" t="s">
        <v>209</v>
      </c>
      <c r="B270" s="463" t="s">
        <v>717</v>
      </c>
      <c r="C270" s="488"/>
      <c r="D270" s="493"/>
      <c r="E270" s="495"/>
      <c r="F270" s="495"/>
      <c r="G270" s="492"/>
    </row>
    <row r="271" spans="1:7" x14ac:dyDescent="0.2">
      <c r="A271" s="460"/>
      <c r="B271" s="463" t="s">
        <v>552</v>
      </c>
      <c r="C271" s="488" t="s">
        <v>133</v>
      </c>
      <c r="D271" s="493">
        <v>25</v>
      </c>
      <c r="E271" s="495"/>
      <c r="F271" s="495"/>
      <c r="G271" s="492">
        <f t="shared" si="7"/>
        <v>0</v>
      </c>
    </row>
    <row r="272" spans="1:7" x14ac:dyDescent="0.2">
      <c r="A272" s="460" t="s">
        <v>212</v>
      </c>
      <c r="B272" s="463" t="s">
        <v>718</v>
      </c>
      <c r="C272" s="488"/>
      <c r="D272" s="493"/>
      <c r="E272" s="495"/>
      <c r="F272" s="495"/>
      <c r="G272" s="492"/>
    </row>
    <row r="273" spans="1:7" x14ac:dyDescent="0.2">
      <c r="A273" s="460"/>
      <c r="B273" s="463" t="s">
        <v>552</v>
      </c>
      <c r="C273" s="488" t="s">
        <v>133</v>
      </c>
      <c r="D273" s="493">
        <v>5</v>
      </c>
      <c r="E273" s="495"/>
      <c r="F273" s="495"/>
      <c r="G273" s="492">
        <f t="shared" si="7"/>
        <v>0</v>
      </c>
    </row>
    <row r="274" spans="1:7" x14ac:dyDescent="0.2">
      <c r="A274" s="460"/>
      <c r="B274" s="463"/>
      <c r="C274" s="488"/>
      <c r="D274" s="493"/>
      <c r="E274" s="495"/>
      <c r="F274" s="495"/>
      <c r="G274" s="492"/>
    </row>
    <row r="275" spans="1:7" x14ac:dyDescent="0.2">
      <c r="A275" s="469" t="s">
        <v>719</v>
      </c>
      <c r="B275" s="464" t="s">
        <v>720</v>
      </c>
      <c r="C275" s="488"/>
      <c r="D275" s="493"/>
      <c r="E275" s="495"/>
      <c r="F275" s="495"/>
      <c r="G275" s="492"/>
    </row>
    <row r="276" spans="1:7" x14ac:dyDescent="0.2">
      <c r="A276" s="460" t="s">
        <v>209</v>
      </c>
      <c r="B276" s="463" t="s">
        <v>721</v>
      </c>
      <c r="C276" s="488"/>
      <c r="D276" s="493"/>
      <c r="E276" s="495"/>
      <c r="F276" s="495"/>
      <c r="G276" s="492"/>
    </row>
    <row r="277" spans="1:7" x14ac:dyDescent="0.2">
      <c r="A277" s="460"/>
      <c r="B277" s="463" t="s">
        <v>566</v>
      </c>
      <c r="C277" s="488" t="s">
        <v>0</v>
      </c>
      <c r="D277" s="493">
        <v>28</v>
      </c>
      <c r="E277" s="495"/>
      <c r="F277" s="495"/>
      <c r="G277" s="492">
        <f t="shared" si="7"/>
        <v>0</v>
      </c>
    </row>
    <row r="278" spans="1:7" ht="6.9" customHeight="1" x14ac:dyDescent="0.2">
      <c r="A278" s="460"/>
      <c r="B278" s="463"/>
      <c r="C278" s="488"/>
      <c r="D278" s="493"/>
      <c r="E278" s="495"/>
      <c r="F278" s="495"/>
      <c r="G278" s="492"/>
    </row>
    <row r="279" spans="1:7" ht="12" customHeight="1" x14ac:dyDescent="0.2">
      <c r="A279" s="469" t="s">
        <v>722</v>
      </c>
      <c r="B279" s="464" t="s">
        <v>723</v>
      </c>
      <c r="C279" s="488"/>
      <c r="D279" s="493"/>
      <c r="E279" s="495"/>
      <c r="F279" s="495"/>
      <c r="G279" s="492"/>
    </row>
    <row r="280" spans="1:7" x14ac:dyDescent="0.2">
      <c r="A280" s="460" t="s">
        <v>209</v>
      </c>
      <c r="B280" s="463" t="s">
        <v>724</v>
      </c>
      <c r="C280" s="488"/>
      <c r="D280" s="493"/>
      <c r="E280" s="495"/>
      <c r="F280" s="495"/>
      <c r="G280" s="492"/>
    </row>
    <row r="281" spans="1:7" x14ac:dyDescent="0.2">
      <c r="A281" s="460"/>
      <c r="B281" s="463" t="s">
        <v>562</v>
      </c>
      <c r="C281" s="488" t="s">
        <v>0</v>
      </c>
      <c r="D281" s="493">
        <v>4</v>
      </c>
      <c r="E281" s="495"/>
      <c r="F281" s="495"/>
      <c r="G281" s="492">
        <f t="shared" si="7"/>
        <v>0</v>
      </c>
    </row>
    <row r="282" spans="1:7" x14ac:dyDescent="0.2">
      <c r="A282" s="460" t="s">
        <v>212</v>
      </c>
      <c r="B282" s="463" t="s">
        <v>725</v>
      </c>
      <c r="C282" s="488"/>
      <c r="D282" s="493"/>
      <c r="E282" s="495"/>
      <c r="F282" s="495"/>
      <c r="G282" s="492"/>
    </row>
    <row r="283" spans="1:7" x14ac:dyDescent="0.2">
      <c r="A283" s="460"/>
      <c r="B283" s="463" t="s">
        <v>562</v>
      </c>
      <c r="C283" s="488" t="s">
        <v>0</v>
      </c>
      <c r="D283" s="493">
        <v>4</v>
      </c>
      <c r="E283" s="495"/>
      <c r="F283" s="495"/>
      <c r="G283" s="492">
        <f t="shared" si="7"/>
        <v>0</v>
      </c>
    </row>
    <row r="284" spans="1:7" ht="6.9" customHeight="1" x14ac:dyDescent="0.2">
      <c r="A284" s="460"/>
      <c r="B284" s="463"/>
      <c r="C284" s="488"/>
      <c r="D284" s="493"/>
      <c r="E284" s="495"/>
      <c r="F284" s="495"/>
      <c r="G284" s="492"/>
    </row>
    <row r="285" spans="1:7" x14ac:dyDescent="0.2">
      <c r="A285" s="469" t="s">
        <v>726</v>
      </c>
      <c r="B285" s="464" t="s">
        <v>727</v>
      </c>
      <c r="C285" s="488"/>
      <c r="D285" s="493"/>
      <c r="E285" s="495"/>
      <c r="F285" s="495"/>
      <c r="G285" s="492"/>
    </row>
    <row r="286" spans="1:7" x14ac:dyDescent="0.2">
      <c r="A286" s="460" t="s">
        <v>209</v>
      </c>
      <c r="B286" s="463" t="s">
        <v>728</v>
      </c>
      <c r="C286" s="488"/>
      <c r="D286" s="493"/>
      <c r="E286" s="495"/>
      <c r="F286" s="495"/>
      <c r="G286" s="492"/>
    </row>
    <row r="287" spans="1:7" x14ac:dyDescent="0.2">
      <c r="A287" s="460"/>
      <c r="B287" s="463" t="s">
        <v>562</v>
      </c>
      <c r="C287" s="488" t="s">
        <v>0</v>
      </c>
      <c r="D287" s="493">
        <v>100</v>
      </c>
      <c r="E287" s="495"/>
      <c r="F287" s="495"/>
      <c r="G287" s="492">
        <f t="shared" si="7"/>
        <v>0</v>
      </c>
    </row>
    <row r="288" spans="1:7" ht="6.9" customHeight="1" x14ac:dyDescent="0.2">
      <c r="A288" s="460"/>
      <c r="B288" s="463"/>
      <c r="C288" s="488"/>
      <c r="D288" s="493"/>
      <c r="E288" s="495"/>
      <c r="F288" s="495"/>
      <c r="G288" s="492"/>
    </row>
    <row r="289" spans="1:7" x14ac:dyDescent="0.2">
      <c r="A289" s="469" t="s">
        <v>729</v>
      </c>
      <c r="B289" s="464" t="s">
        <v>730</v>
      </c>
      <c r="C289" s="488"/>
      <c r="D289" s="493"/>
      <c r="E289" s="495"/>
      <c r="F289" s="495"/>
      <c r="G289" s="492"/>
    </row>
    <row r="290" spans="1:7" ht="10.5" customHeight="1" x14ac:dyDescent="0.2">
      <c r="A290" s="460" t="s">
        <v>209</v>
      </c>
      <c r="B290" s="463" t="s">
        <v>731</v>
      </c>
      <c r="C290" s="488"/>
      <c r="D290" s="493"/>
      <c r="E290" s="495"/>
      <c r="F290" s="495"/>
      <c r="G290" s="492"/>
    </row>
    <row r="291" spans="1:7" ht="11.25" customHeight="1" x14ac:dyDescent="0.2">
      <c r="A291" s="460"/>
      <c r="B291" s="463" t="s">
        <v>566</v>
      </c>
      <c r="C291" s="488" t="s">
        <v>0</v>
      </c>
      <c r="D291" s="493">
        <v>2</v>
      </c>
      <c r="E291" s="495"/>
      <c r="F291" s="495"/>
      <c r="G291" s="492">
        <f t="shared" si="7"/>
        <v>0</v>
      </c>
    </row>
    <row r="292" spans="1:7" ht="11.25" customHeight="1" x14ac:dyDescent="0.2">
      <c r="A292" s="460" t="s">
        <v>212</v>
      </c>
      <c r="B292" s="463" t="s">
        <v>732</v>
      </c>
      <c r="C292" s="488"/>
      <c r="D292" s="493"/>
      <c r="E292" s="495"/>
      <c r="F292" s="495"/>
      <c r="G292" s="492"/>
    </row>
    <row r="293" spans="1:7" ht="11.25" customHeight="1" x14ac:dyDescent="0.2">
      <c r="A293" s="460"/>
      <c r="B293" s="463" t="s">
        <v>566</v>
      </c>
      <c r="C293" s="488" t="s">
        <v>0</v>
      </c>
      <c r="D293" s="493">
        <v>1</v>
      </c>
      <c r="E293" s="495"/>
      <c r="F293" s="495"/>
      <c r="G293" s="492">
        <f t="shared" si="7"/>
        <v>0</v>
      </c>
    </row>
    <row r="294" spans="1:7" ht="11.25" customHeight="1" x14ac:dyDescent="0.2">
      <c r="A294" s="460" t="s">
        <v>225</v>
      </c>
      <c r="B294" s="463" t="s">
        <v>733</v>
      </c>
      <c r="C294" s="488"/>
      <c r="D294" s="493"/>
      <c r="E294" s="495"/>
      <c r="F294" s="495"/>
      <c r="G294" s="492"/>
    </row>
    <row r="295" spans="1:7" ht="11.25" customHeight="1" x14ac:dyDescent="0.2">
      <c r="A295" s="460"/>
      <c r="B295" s="463" t="s">
        <v>566</v>
      </c>
      <c r="C295" s="488" t="s">
        <v>0</v>
      </c>
      <c r="D295" s="493">
        <v>1</v>
      </c>
      <c r="E295" s="495"/>
      <c r="F295" s="495"/>
      <c r="G295" s="492">
        <f t="shared" si="7"/>
        <v>0</v>
      </c>
    </row>
    <row r="296" spans="1:7" ht="6.9" customHeight="1" x14ac:dyDescent="0.2">
      <c r="A296" s="460"/>
      <c r="B296" s="463"/>
      <c r="C296" s="488"/>
      <c r="D296" s="496"/>
      <c r="E296" s="497"/>
      <c r="F296" s="497"/>
      <c r="G296" s="492"/>
    </row>
    <row r="297" spans="1:7" x14ac:dyDescent="0.2">
      <c r="A297" s="466"/>
      <c r="B297" s="540" t="s">
        <v>734</v>
      </c>
      <c r="C297" s="541"/>
      <c r="D297" s="541"/>
      <c r="E297" s="542"/>
      <c r="F297" s="467"/>
      <c r="G297" s="468">
        <f>SUM(G232:G296)</f>
        <v>0</v>
      </c>
    </row>
    <row r="298" spans="1:7" x14ac:dyDescent="0.2">
      <c r="A298" s="460"/>
      <c r="B298" s="461"/>
      <c r="C298" s="488"/>
      <c r="D298" s="498"/>
      <c r="E298" s="499"/>
      <c r="F298" s="499"/>
      <c r="G298" s="492"/>
    </row>
    <row r="299" spans="1:7" ht="11.25" customHeight="1" x14ac:dyDescent="0.2">
      <c r="A299" s="460" t="s">
        <v>735</v>
      </c>
      <c r="B299" s="461" t="s">
        <v>736</v>
      </c>
      <c r="C299" s="488"/>
      <c r="D299" s="493"/>
      <c r="E299" s="495"/>
      <c r="F299" s="495"/>
      <c r="G299" s="492"/>
    </row>
    <row r="300" spans="1:7" x14ac:dyDescent="0.2">
      <c r="A300" s="460"/>
      <c r="B300" s="461"/>
      <c r="C300" s="488"/>
      <c r="D300" s="493"/>
      <c r="E300" s="495"/>
      <c r="F300" s="495"/>
      <c r="G300" s="492"/>
    </row>
    <row r="301" spans="1:7" x14ac:dyDescent="0.2">
      <c r="A301" s="469" t="s">
        <v>737</v>
      </c>
      <c r="B301" s="464" t="s">
        <v>738</v>
      </c>
      <c r="C301" s="488"/>
      <c r="D301" s="493"/>
      <c r="E301" s="495"/>
      <c r="F301" s="495"/>
      <c r="G301" s="492"/>
    </row>
    <row r="302" spans="1:7" x14ac:dyDescent="0.2">
      <c r="A302" s="460" t="s">
        <v>209</v>
      </c>
      <c r="B302" s="463" t="s">
        <v>739</v>
      </c>
      <c r="C302" s="488"/>
      <c r="D302" s="493"/>
      <c r="E302" s="495"/>
      <c r="F302" s="495"/>
      <c r="G302" s="492"/>
    </row>
    <row r="303" spans="1:7" x14ac:dyDescent="0.2">
      <c r="A303" s="460"/>
      <c r="B303" s="463" t="s">
        <v>540</v>
      </c>
      <c r="C303" s="488" t="s">
        <v>541</v>
      </c>
      <c r="D303" s="493">
        <v>3</v>
      </c>
      <c r="E303" s="495"/>
      <c r="F303" s="495"/>
      <c r="G303" s="492">
        <f>+D303*E303</f>
        <v>0</v>
      </c>
    </row>
    <row r="304" spans="1:7" x14ac:dyDescent="0.2">
      <c r="A304" s="460"/>
      <c r="B304" s="463"/>
      <c r="C304" s="488"/>
      <c r="D304" s="496"/>
      <c r="E304" s="497"/>
      <c r="F304" s="497"/>
      <c r="G304" s="492"/>
    </row>
    <row r="305" spans="1:7" x14ac:dyDescent="0.2">
      <c r="A305" s="466"/>
      <c r="B305" s="540" t="s">
        <v>740</v>
      </c>
      <c r="C305" s="541"/>
      <c r="D305" s="541"/>
      <c r="E305" s="542"/>
      <c r="F305" s="467"/>
      <c r="G305" s="468">
        <f>SUM(G303:G304)</f>
        <v>0</v>
      </c>
    </row>
    <row r="306" spans="1:7" x14ac:dyDescent="0.2">
      <c r="A306" s="460"/>
      <c r="B306" s="463"/>
      <c r="C306" s="488"/>
      <c r="D306" s="498"/>
      <c r="E306" s="499"/>
      <c r="F306" s="499"/>
      <c r="G306" s="492"/>
    </row>
    <row r="307" spans="1:7" ht="12.45" customHeight="1" x14ac:dyDescent="0.2">
      <c r="A307" s="460" t="s">
        <v>741</v>
      </c>
      <c r="B307" s="461" t="s">
        <v>742</v>
      </c>
      <c r="C307" s="488"/>
      <c r="D307" s="493"/>
      <c r="E307" s="495"/>
      <c r="F307" s="495"/>
      <c r="G307" s="500"/>
    </row>
    <row r="308" spans="1:7" ht="12.45" customHeight="1" x14ac:dyDescent="0.2">
      <c r="A308" s="460"/>
      <c r="B308" s="461"/>
      <c r="C308" s="488"/>
      <c r="D308" s="493"/>
      <c r="E308" s="495"/>
      <c r="F308" s="495"/>
      <c r="G308" s="500"/>
    </row>
    <row r="309" spans="1:7" x14ac:dyDescent="0.2">
      <c r="A309" s="469" t="s">
        <v>743</v>
      </c>
      <c r="B309" s="464" t="s">
        <v>744</v>
      </c>
      <c r="C309" s="488"/>
      <c r="D309" s="493"/>
      <c r="E309" s="495"/>
      <c r="F309" s="495"/>
      <c r="G309" s="492"/>
    </row>
    <row r="310" spans="1:7" x14ac:dyDescent="0.2">
      <c r="A310" s="460" t="s">
        <v>209</v>
      </c>
      <c r="B310" s="463" t="s">
        <v>745</v>
      </c>
      <c r="C310" s="488"/>
      <c r="D310" s="493"/>
      <c r="E310" s="495"/>
      <c r="F310" s="495"/>
      <c r="G310" s="492"/>
    </row>
    <row r="311" spans="1:7" x14ac:dyDescent="0.2">
      <c r="A311" s="460"/>
      <c r="B311" s="463" t="s">
        <v>566</v>
      </c>
      <c r="C311" s="488" t="s">
        <v>0</v>
      </c>
      <c r="D311" s="493">
        <v>8</v>
      </c>
      <c r="E311" s="495"/>
      <c r="F311" s="495"/>
      <c r="G311" s="492">
        <f>+D311*E311</f>
        <v>0</v>
      </c>
    </row>
    <row r="312" spans="1:7" x14ac:dyDescent="0.2">
      <c r="A312" s="460" t="s">
        <v>212</v>
      </c>
      <c r="B312" s="463" t="s">
        <v>746</v>
      </c>
      <c r="C312" s="488"/>
      <c r="D312" s="493"/>
      <c r="E312" s="495"/>
      <c r="F312" s="495"/>
      <c r="G312" s="492"/>
    </row>
    <row r="313" spans="1:7" x14ac:dyDescent="0.2">
      <c r="A313" s="460"/>
      <c r="B313" s="463" t="s">
        <v>566</v>
      </c>
      <c r="C313" s="488" t="s">
        <v>0</v>
      </c>
      <c r="D313" s="493">
        <v>2</v>
      </c>
      <c r="E313" s="495"/>
      <c r="F313" s="495"/>
      <c r="G313" s="492">
        <f t="shared" ref="G313:G321" si="8">+D313*E313</f>
        <v>0</v>
      </c>
    </row>
    <row r="314" spans="1:7" x14ac:dyDescent="0.2">
      <c r="A314" s="460" t="s">
        <v>225</v>
      </c>
      <c r="B314" s="463" t="s">
        <v>747</v>
      </c>
      <c r="C314" s="488"/>
      <c r="D314" s="493"/>
      <c r="E314" s="495"/>
      <c r="F314" s="495"/>
      <c r="G314" s="492"/>
    </row>
    <row r="315" spans="1:7" x14ac:dyDescent="0.2">
      <c r="A315" s="460"/>
      <c r="B315" s="463" t="s">
        <v>566</v>
      </c>
      <c r="C315" s="488" t="s">
        <v>0</v>
      </c>
      <c r="D315" s="493">
        <v>1</v>
      </c>
      <c r="E315" s="495"/>
      <c r="F315" s="495"/>
      <c r="G315" s="492">
        <f t="shared" si="8"/>
        <v>0</v>
      </c>
    </row>
    <row r="316" spans="1:7" x14ac:dyDescent="0.2">
      <c r="A316" s="460" t="s">
        <v>227</v>
      </c>
      <c r="B316" s="463" t="s">
        <v>748</v>
      </c>
      <c r="C316" s="488"/>
      <c r="D316" s="493"/>
      <c r="E316" s="495"/>
      <c r="F316" s="495"/>
      <c r="G316" s="492"/>
    </row>
    <row r="317" spans="1:7" x14ac:dyDescent="0.2">
      <c r="A317" s="460"/>
      <c r="B317" s="463" t="s">
        <v>566</v>
      </c>
      <c r="C317" s="488" t="s">
        <v>0</v>
      </c>
      <c r="D317" s="493" t="s">
        <v>556</v>
      </c>
      <c r="E317" s="495"/>
      <c r="F317" s="495"/>
      <c r="G317" s="492" t="s">
        <v>556</v>
      </c>
    </row>
    <row r="318" spans="1:7" x14ac:dyDescent="0.2">
      <c r="A318" s="460"/>
      <c r="B318" s="463"/>
      <c r="C318" s="488"/>
      <c r="D318" s="493"/>
      <c r="E318" s="495"/>
      <c r="F318" s="495"/>
      <c r="G318" s="492"/>
    </row>
    <row r="319" spans="1:7" x14ac:dyDescent="0.2">
      <c r="A319" s="469" t="s">
        <v>749</v>
      </c>
      <c r="B319" s="464" t="s">
        <v>750</v>
      </c>
      <c r="C319" s="488"/>
      <c r="D319" s="493"/>
      <c r="E319" s="495"/>
      <c r="F319" s="495"/>
      <c r="G319" s="492"/>
    </row>
    <row r="320" spans="1:7" x14ac:dyDescent="0.2">
      <c r="A320" s="460" t="s">
        <v>209</v>
      </c>
      <c r="B320" s="463" t="s">
        <v>751</v>
      </c>
      <c r="C320" s="488"/>
      <c r="D320" s="493"/>
      <c r="E320" s="495"/>
      <c r="F320" s="495"/>
      <c r="G320" s="492"/>
    </row>
    <row r="321" spans="1:7" x14ac:dyDescent="0.2">
      <c r="A321" s="460"/>
      <c r="B321" s="463" t="s">
        <v>540</v>
      </c>
      <c r="C321" s="488" t="s">
        <v>541</v>
      </c>
      <c r="D321" s="493">
        <v>30</v>
      </c>
      <c r="E321" s="495"/>
      <c r="F321" s="495"/>
      <c r="G321" s="492">
        <f t="shared" si="8"/>
        <v>0</v>
      </c>
    </row>
    <row r="322" spans="1:7" x14ac:dyDescent="0.2">
      <c r="A322" s="460"/>
      <c r="B322" s="463"/>
      <c r="C322" s="488"/>
      <c r="D322" s="493"/>
      <c r="E322" s="495"/>
      <c r="F322" s="495"/>
      <c r="G322" s="492"/>
    </row>
    <row r="323" spans="1:7" x14ac:dyDescent="0.2">
      <c r="A323" s="460"/>
      <c r="B323" s="463"/>
      <c r="C323" s="488"/>
      <c r="D323" s="496"/>
      <c r="E323" s="497"/>
      <c r="F323" s="497"/>
      <c r="G323" s="492"/>
    </row>
    <row r="324" spans="1:7" x14ac:dyDescent="0.2">
      <c r="A324" s="466"/>
      <c r="B324" s="540" t="s">
        <v>752</v>
      </c>
      <c r="C324" s="541"/>
      <c r="D324" s="541"/>
      <c r="E324" s="542"/>
      <c r="F324" s="467"/>
      <c r="G324" s="468">
        <f>SUM(G309:G323)</f>
        <v>0</v>
      </c>
    </row>
    <row r="325" spans="1:7" x14ac:dyDescent="0.2">
      <c r="A325" s="480"/>
      <c r="B325" s="481"/>
      <c r="C325" s="482"/>
      <c r="D325" s="480"/>
      <c r="E325" s="480"/>
      <c r="F325" s="480"/>
      <c r="G325" s="480"/>
    </row>
    <row r="326" spans="1:7" x14ac:dyDescent="0.2">
      <c r="A326" s="458"/>
      <c r="B326" s="533" t="s">
        <v>753</v>
      </c>
      <c r="C326" s="533"/>
      <c r="D326" s="533"/>
      <c r="E326" s="533"/>
      <c r="F326" s="459"/>
    </row>
    <row r="327" spans="1:7" x14ac:dyDescent="0.2">
      <c r="A327" s="458"/>
      <c r="B327" s="459"/>
      <c r="C327" s="483"/>
    </row>
    <row r="328" spans="1:7" ht="12" x14ac:dyDescent="0.2">
      <c r="A328" s="458"/>
      <c r="B328" s="484" t="s">
        <v>754</v>
      </c>
      <c r="C328" s="485"/>
      <c r="D328" s="457" t="s">
        <v>755</v>
      </c>
      <c r="E328" s="484"/>
      <c r="F328" s="484"/>
      <c r="G328" s="503">
        <f>+G52</f>
        <v>0</v>
      </c>
    </row>
    <row r="329" spans="1:7" ht="12" x14ac:dyDescent="0.2">
      <c r="A329" s="458"/>
      <c r="B329" s="484"/>
      <c r="C329" s="485"/>
      <c r="D329" s="484"/>
      <c r="E329" s="484"/>
      <c r="F329" s="484"/>
      <c r="G329" s="503"/>
    </row>
    <row r="330" spans="1:7" ht="12" x14ac:dyDescent="0.2">
      <c r="A330" s="458"/>
      <c r="B330" s="484" t="s">
        <v>756</v>
      </c>
      <c r="C330" s="485"/>
      <c r="D330" s="457" t="s">
        <v>755</v>
      </c>
      <c r="E330" s="484"/>
      <c r="F330" s="484"/>
      <c r="G330" s="503">
        <f>+G90</f>
        <v>0</v>
      </c>
    </row>
    <row r="331" spans="1:7" ht="12" x14ac:dyDescent="0.2">
      <c r="A331" s="458"/>
      <c r="B331" s="484"/>
      <c r="C331" s="485"/>
      <c r="D331" s="484"/>
      <c r="E331" s="484"/>
      <c r="F331" s="484"/>
      <c r="G331" s="503"/>
    </row>
    <row r="332" spans="1:7" ht="12" x14ac:dyDescent="0.2">
      <c r="A332" s="458"/>
      <c r="B332" s="484" t="s">
        <v>757</v>
      </c>
      <c r="C332" s="485"/>
      <c r="D332" s="457" t="s">
        <v>755</v>
      </c>
      <c r="E332" s="484"/>
      <c r="F332" s="484"/>
      <c r="G332" s="503">
        <f>G115</f>
        <v>0</v>
      </c>
    </row>
    <row r="333" spans="1:7" ht="12" x14ac:dyDescent="0.2">
      <c r="A333" s="458"/>
      <c r="B333" s="484"/>
      <c r="C333" s="485"/>
      <c r="D333" s="484"/>
      <c r="E333" s="484"/>
      <c r="F333" s="484"/>
      <c r="G333" s="503"/>
    </row>
    <row r="334" spans="1:7" ht="12" x14ac:dyDescent="0.2">
      <c r="A334" s="458"/>
      <c r="B334" s="484" t="s">
        <v>758</v>
      </c>
      <c r="C334" s="485"/>
      <c r="D334" s="457" t="s">
        <v>755</v>
      </c>
      <c r="E334" s="484"/>
      <c r="F334" s="484"/>
      <c r="G334" s="503">
        <f>+G165</f>
        <v>0</v>
      </c>
    </row>
    <row r="335" spans="1:7" ht="12" x14ac:dyDescent="0.2">
      <c r="A335" s="458"/>
      <c r="B335" s="484"/>
      <c r="C335" s="485"/>
      <c r="D335" s="484"/>
      <c r="E335" s="484"/>
      <c r="F335" s="484"/>
      <c r="G335" s="503"/>
    </row>
    <row r="336" spans="1:7" ht="12" x14ac:dyDescent="0.2">
      <c r="A336" s="458"/>
      <c r="B336" s="484" t="s">
        <v>759</v>
      </c>
      <c r="C336" s="485"/>
      <c r="D336" s="457" t="s">
        <v>755</v>
      </c>
      <c r="E336" s="484"/>
      <c r="F336" s="484"/>
      <c r="G336" s="503">
        <f>+G226</f>
        <v>0</v>
      </c>
    </row>
    <row r="337" spans="1:7" ht="12" x14ac:dyDescent="0.2">
      <c r="A337" s="458"/>
      <c r="B337" s="484"/>
      <c r="C337" s="485"/>
      <c r="D337" s="484"/>
      <c r="E337" s="484"/>
      <c r="F337" s="484"/>
      <c r="G337" s="503"/>
    </row>
    <row r="338" spans="1:7" ht="12" x14ac:dyDescent="0.2">
      <c r="A338" s="458"/>
      <c r="B338" s="484" t="s">
        <v>760</v>
      </c>
      <c r="C338" s="485"/>
      <c r="D338" s="457" t="s">
        <v>755</v>
      </c>
      <c r="E338" s="484"/>
      <c r="F338" s="484"/>
      <c r="G338" s="503">
        <f>G297</f>
        <v>0</v>
      </c>
    </row>
    <row r="339" spans="1:7" ht="12" x14ac:dyDescent="0.2">
      <c r="A339" s="458"/>
      <c r="B339" s="484"/>
      <c r="C339" s="485"/>
      <c r="D339" s="484"/>
      <c r="E339" s="484"/>
      <c r="F339" s="484"/>
      <c r="G339" s="503"/>
    </row>
    <row r="340" spans="1:7" ht="12" x14ac:dyDescent="0.2">
      <c r="A340" s="458"/>
      <c r="B340" s="484" t="s">
        <v>761</v>
      </c>
      <c r="C340" s="485"/>
      <c r="D340" s="457" t="s">
        <v>755</v>
      </c>
      <c r="E340" s="484"/>
      <c r="F340" s="484"/>
      <c r="G340" s="503">
        <f>+G305</f>
        <v>0</v>
      </c>
    </row>
    <row r="341" spans="1:7" ht="12" x14ac:dyDescent="0.2">
      <c r="A341" s="458"/>
      <c r="B341" s="484"/>
      <c r="C341" s="485"/>
      <c r="D341" s="484"/>
      <c r="E341" s="484"/>
      <c r="F341" s="484"/>
      <c r="G341" s="503"/>
    </row>
    <row r="342" spans="1:7" ht="12" x14ac:dyDescent="0.2">
      <c r="A342" s="458"/>
      <c r="B342" s="484" t="s">
        <v>762</v>
      </c>
      <c r="C342" s="485"/>
      <c r="D342" s="457" t="s">
        <v>755</v>
      </c>
      <c r="E342" s="484"/>
      <c r="F342" s="484"/>
      <c r="G342" s="503">
        <f>G324</f>
        <v>0</v>
      </c>
    </row>
    <row r="343" spans="1:7" ht="12" x14ac:dyDescent="0.2">
      <c r="A343" s="458"/>
      <c r="B343" s="484"/>
      <c r="C343" s="485"/>
      <c r="D343" s="484"/>
      <c r="E343" s="484"/>
      <c r="F343" s="484"/>
      <c r="G343" s="503"/>
    </row>
    <row r="344" spans="1:7" ht="14.4" x14ac:dyDescent="0.2">
      <c r="A344" s="458"/>
      <c r="B344" s="529" t="s">
        <v>764</v>
      </c>
      <c r="C344" s="529"/>
      <c r="D344" s="529"/>
      <c r="E344" s="529"/>
      <c r="F344" s="502"/>
      <c r="G344" s="504">
        <f>SUM(G328:G343)</f>
        <v>0</v>
      </c>
    </row>
    <row r="345" spans="1:7" ht="12" customHeight="1" x14ac:dyDescent="0.2">
      <c r="A345" s="458"/>
      <c r="B345" s="539" t="s">
        <v>392</v>
      </c>
      <c r="C345" s="539"/>
      <c r="D345" s="539"/>
      <c r="E345" s="539"/>
      <c r="F345" s="539"/>
      <c r="G345" s="504">
        <f>G344*0.2</f>
        <v>0</v>
      </c>
    </row>
    <row r="346" spans="1:7" ht="12" customHeight="1" x14ac:dyDescent="0.2">
      <c r="A346" s="458"/>
      <c r="B346" s="529" t="s">
        <v>67</v>
      </c>
      <c r="C346" s="529"/>
      <c r="D346" s="529"/>
      <c r="E346" s="529"/>
      <c r="F346" s="529"/>
      <c r="G346" s="504">
        <f>G344+G345</f>
        <v>0</v>
      </c>
    </row>
    <row r="347" spans="1:7" ht="12" customHeight="1" x14ac:dyDescent="0.2">
      <c r="A347" s="458"/>
      <c r="B347" s="486"/>
      <c r="C347" s="486"/>
      <c r="D347" s="486"/>
      <c r="E347" s="486"/>
      <c r="F347" s="486"/>
      <c r="G347" s="487"/>
    </row>
    <row r="348" spans="1:7" x14ac:dyDescent="0.2">
      <c r="A348" s="458"/>
      <c r="B348" s="486"/>
      <c r="C348" s="486"/>
      <c r="D348" s="486"/>
      <c r="E348" s="486"/>
      <c r="F348" s="486"/>
      <c r="G348" s="487"/>
    </row>
    <row r="349" spans="1:7" ht="28.5" customHeight="1" x14ac:dyDescent="0.2">
      <c r="A349" s="534" t="s">
        <v>763</v>
      </c>
      <c r="B349" s="534"/>
      <c r="C349" s="534"/>
      <c r="D349" s="534"/>
      <c r="E349" s="534"/>
      <c r="F349" s="534"/>
      <c r="G349" s="534"/>
    </row>
    <row r="350" spans="1:7" ht="28.5" customHeight="1" x14ac:dyDescent="0.2"/>
    <row r="351" spans="1:7" ht="28.5" customHeight="1" x14ac:dyDescent="0.2"/>
  </sheetData>
  <mergeCells count="20">
    <mergeCell ref="B3:B4"/>
    <mergeCell ref="C3:C4"/>
    <mergeCell ref="B52:E52"/>
    <mergeCell ref="B90:E90"/>
    <mergeCell ref="B346:F346"/>
    <mergeCell ref="B326:E326"/>
    <mergeCell ref="B344:E344"/>
    <mergeCell ref="A349:G349"/>
    <mergeCell ref="D3:D4"/>
    <mergeCell ref="E3:E4"/>
    <mergeCell ref="F3:F4"/>
    <mergeCell ref="G3:G4"/>
    <mergeCell ref="B345:F345"/>
    <mergeCell ref="B115:E115"/>
    <mergeCell ref="B165:E165"/>
    <mergeCell ref="B226:E226"/>
    <mergeCell ref="B297:E297"/>
    <mergeCell ref="B305:E305"/>
    <mergeCell ref="B324:E324"/>
    <mergeCell ref="A3:A4"/>
  </mergeCells>
  <printOptions horizontalCentered="1"/>
  <pageMargins left="0" right="0" top="0.35433070866141736" bottom="0.35433070866141736" header="0.31496062992125984" footer="0.31496062992125984"/>
  <pageSetup paperSize="9" scale="80" firstPageNumber="224" orientation="portrait" useFirstPageNumber="1" verticalDpi="0" r:id="rId1"/>
  <headerFooter>
    <oddFooter>&amp;LB.E.T.B&amp;RPage - &amp;P</oddFooter>
  </headerFooter>
  <rowBreaks count="4" manualBreakCount="4">
    <brk id="90" max="16383" man="1"/>
    <brk id="165" max="16383" man="1"/>
    <brk id="251" max="6" man="1"/>
    <brk id="32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D198-85A6-4957-B8A9-1ED373481976}">
  <dimension ref="A1:G278"/>
  <sheetViews>
    <sheetView topLeftCell="A205" zoomScale="85" zoomScaleNormal="85" workbookViewId="0">
      <selection activeCell="H226" sqref="H226"/>
    </sheetView>
  </sheetViews>
  <sheetFormatPr baseColWidth="10" defaultColWidth="11" defaultRowHeight="14.4" x14ac:dyDescent="0.3"/>
  <cols>
    <col min="1" max="1" width="9.6640625" style="183" customWidth="1"/>
    <col min="2" max="2" width="54.33203125" style="224" customWidth="1"/>
    <col min="3" max="3" width="5.88671875" style="293" customWidth="1"/>
    <col min="4" max="4" width="7.88671875" style="294" customWidth="1"/>
    <col min="5" max="5" width="13" style="224" customWidth="1"/>
    <col min="6" max="6" width="11.109375" style="224" customWidth="1"/>
    <col min="7" max="7" width="14.88671875" style="224" customWidth="1"/>
    <col min="8" max="256" width="11" style="224"/>
    <col min="257" max="257" width="8.5546875" style="224" customWidth="1"/>
    <col min="258" max="258" width="62" style="224" customWidth="1"/>
    <col min="259" max="259" width="5.88671875" style="224" customWidth="1"/>
    <col min="260" max="260" width="7.88671875" style="224" customWidth="1"/>
    <col min="261" max="261" width="14.33203125" style="224" customWidth="1"/>
    <col min="262" max="262" width="12.5546875" style="224" customWidth="1"/>
    <col min="263" max="263" width="14.88671875" style="224" customWidth="1"/>
    <col min="264" max="512" width="11" style="224"/>
    <col min="513" max="513" width="8.5546875" style="224" customWidth="1"/>
    <col min="514" max="514" width="62" style="224" customWidth="1"/>
    <col min="515" max="515" width="5.88671875" style="224" customWidth="1"/>
    <col min="516" max="516" width="7.88671875" style="224" customWidth="1"/>
    <col min="517" max="517" width="14.33203125" style="224" customWidth="1"/>
    <col min="518" max="518" width="12.5546875" style="224" customWidth="1"/>
    <col min="519" max="519" width="14.88671875" style="224" customWidth="1"/>
    <col min="520" max="768" width="11" style="224"/>
    <col min="769" max="769" width="8.5546875" style="224" customWidth="1"/>
    <col min="770" max="770" width="62" style="224" customWidth="1"/>
    <col min="771" max="771" width="5.88671875" style="224" customWidth="1"/>
    <col min="772" max="772" width="7.88671875" style="224" customWidth="1"/>
    <col min="773" max="773" width="14.33203125" style="224" customWidth="1"/>
    <col min="774" max="774" width="12.5546875" style="224" customWidth="1"/>
    <col min="775" max="775" width="14.88671875" style="224" customWidth="1"/>
    <col min="776" max="1024" width="11" style="224"/>
    <col min="1025" max="1025" width="8.5546875" style="224" customWidth="1"/>
    <col min="1026" max="1026" width="62" style="224" customWidth="1"/>
    <col min="1027" max="1027" width="5.88671875" style="224" customWidth="1"/>
    <col min="1028" max="1028" width="7.88671875" style="224" customWidth="1"/>
    <col min="1029" max="1029" width="14.33203125" style="224" customWidth="1"/>
    <col min="1030" max="1030" width="12.5546875" style="224" customWidth="1"/>
    <col min="1031" max="1031" width="14.88671875" style="224" customWidth="1"/>
    <col min="1032" max="1280" width="11" style="224"/>
    <col min="1281" max="1281" width="8.5546875" style="224" customWidth="1"/>
    <col min="1282" max="1282" width="62" style="224" customWidth="1"/>
    <col min="1283" max="1283" width="5.88671875" style="224" customWidth="1"/>
    <col min="1284" max="1284" width="7.88671875" style="224" customWidth="1"/>
    <col min="1285" max="1285" width="14.33203125" style="224" customWidth="1"/>
    <col min="1286" max="1286" width="12.5546875" style="224" customWidth="1"/>
    <col min="1287" max="1287" width="14.88671875" style="224" customWidth="1"/>
    <col min="1288" max="1536" width="11" style="224"/>
    <col min="1537" max="1537" width="8.5546875" style="224" customWidth="1"/>
    <col min="1538" max="1538" width="62" style="224" customWidth="1"/>
    <col min="1539" max="1539" width="5.88671875" style="224" customWidth="1"/>
    <col min="1540" max="1540" width="7.88671875" style="224" customWidth="1"/>
    <col min="1541" max="1541" width="14.33203125" style="224" customWidth="1"/>
    <col min="1542" max="1542" width="12.5546875" style="224" customWidth="1"/>
    <col min="1543" max="1543" width="14.88671875" style="224" customWidth="1"/>
    <col min="1544" max="1792" width="11" style="224"/>
    <col min="1793" max="1793" width="8.5546875" style="224" customWidth="1"/>
    <col min="1794" max="1794" width="62" style="224" customWidth="1"/>
    <col min="1795" max="1795" width="5.88671875" style="224" customWidth="1"/>
    <col min="1796" max="1796" width="7.88671875" style="224" customWidth="1"/>
    <col min="1797" max="1797" width="14.33203125" style="224" customWidth="1"/>
    <col min="1798" max="1798" width="12.5546875" style="224" customWidth="1"/>
    <col min="1799" max="1799" width="14.88671875" style="224" customWidth="1"/>
    <col min="1800" max="2048" width="11" style="224"/>
    <col min="2049" max="2049" width="8.5546875" style="224" customWidth="1"/>
    <col min="2050" max="2050" width="62" style="224" customWidth="1"/>
    <col min="2051" max="2051" width="5.88671875" style="224" customWidth="1"/>
    <col min="2052" max="2052" width="7.88671875" style="224" customWidth="1"/>
    <col min="2053" max="2053" width="14.33203125" style="224" customWidth="1"/>
    <col min="2054" max="2054" width="12.5546875" style="224" customWidth="1"/>
    <col min="2055" max="2055" width="14.88671875" style="224" customWidth="1"/>
    <col min="2056" max="2304" width="11" style="224"/>
    <col min="2305" max="2305" width="8.5546875" style="224" customWidth="1"/>
    <col min="2306" max="2306" width="62" style="224" customWidth="1"/>
    <col min="2307" max="2307" width="5.88671875" style="224" customWidth="1"/>
    <col min="2308" max="2308" width="7.88671875" style="224" customWidth="1"/>
    <col min="2309" max="2309" width="14.33203125" style="224" customWidth="1"/>
    <col min="2310" max="2310" width="12.5546875" style="224" customWidth="1"/>
    <col min="2311" max="2311" width="14.88671875" style="224" customWidth="1"/>
    <col min="2312" max="2560" width="11" style="224"/>
    <col min="2561" max="2561" width="8.5546875" style="224" customWidth="1"/>
    <col min="2562" max="2562" width="62" style="224" customWidth="1"/>
    <col min="2563" max="2563" width="5.88671875" style="224" customWidth="1"/>
    <col min="2564" max="2564" width="7.88671875" style="224" customWidth="1"/>
    <col min="2565" max="2565" width="14.33203125" style="224" customWidth="1"/>
    <col min="2566" max="2566" width="12.5546875" style="224" customWidth="1"/>
    <col min="2567" max="2567" width="14.88671875" style="224" customWidth="1"/>
    <col min="2568" max="2816" width="11" style="224"/>
    <col min="2817" max="2817" width="8.5546875" style="224" customWidth="1"/>
    <col min="2818" max="2818" width="62" style="224" customWidth="1"/>
    <col min="2819" max="2819" width="5.88671875" style="224" customWidth="1"/>
    <col min="2820" max="2820" width="7.88671875" style="224" customWidth="1"/>
    <col min="2821" max="2821" width="14.33203125" style="224" customWidth="1"/>
    <col min="2822" max="2822" width="12.5546875" style="224" customWidth="1"/>
    <col min="2823" max="2823" width="14.88671875" style="224" customWidth="1"/>
    <col min="2824" max="3072" width="11" style="224"/>
    <col min="3073" max="3073" width="8.5546875" style="224" customWidth="1"/>
    <col min="3074" max="3074" width="62" style="224" customWidth="1"/>
    <col min="3075" max="3075" width="5.88671875" style="224" customWidth="1"/>
    <col min="3076" max="3076" width="7.88671875" style="224" customWidth="1"/>
    <col min="3077" max="3077" width="14.33203125" style="224" customWidth="1"/>
    <col min="3078" max="3078" width="12.5546875" style="224" customWidth="1"/>
    <col min="3079" max="3079" width="14.88671875" style="224" customWidth="1"/>
    <col min="3080" max="3328" width="11" style="224"/>
    <col min="3329" max="3329" width="8.5546875" style="224" customWidth="1"/>
    <col min="3330" max="3330" width="62" style="224" customWidth="1"/>
    <col min="3331" max="3331" width="5.88671875" style="224" customWidth="1"/>
    <col min="3332" max="3332" width="7.88671875" style="224" customWidth="1"/>
    <col min="3333" max="3333" width="14.33203125" style="224" customWidth="1"/>
    <col min="3334" max="3334" width="12.5546875" style="224" customWidth="1"/>
    <col min="3335" max="3335" width="14.88671875" style="224" customWidth="1"/>
    <col min="3336" max="3584" width="11" style="224"/>
    <col min="3585" max="3585" width="8.5546875" style="224" customWidth="1"/>
    <col min="3586" max="3586" width="62" style="224" customWidth="1"/>
    <col min="3587" max="3587" width="5.88671875" style="224" customWidth="1"/>
    <col min="3588" max="3588" width="7.88671875" style="224" customWidth="1"/>
    <col min="3589" max="3589" width="14.33203125" style="224" customWidth="1"/>
    <col min="3590" max="3590" width="12.5546875" style="224" customWidth="1"/>
    <col min="3591" max="3591" width="14.88671875" style="224" customWidth="1"/>
    <col min="3592" max="3840" width="11" style="224"/>
    <col min="3841" max="3841" width="8.5546875" style="224" customWidth="1"/>
    <col min="3842" max="3842" width="62" style="224" customWidth="1"/>
    <col min="3843" max="3843" width="5.88671875" style="224" customWidth="1"/>
    <col min="3844" max="3844" width="7.88671875" style="224" customWidth="1"/>
    <col min="3845" max="3845" width="14.33203125" style="224" customWidth="1"/>
    <col min="3846" max="3846" width="12.5546875" style="224" customWidth="1"/>
    <col min="3847" max="3847" width="14.88671875" style="224" customWidth="1"/>
    <col min="3848" max="4096" width="11" style="224"/>
    <col min="4097" max="4097" width="8.5546875" style="224" customWidth="1"/>
    <col min="4098" max="4098" width="62" style="224" customWidth="1"/>
    <col min="4099" max="4099" width="5.88671875" style="224" customWidth="1"/>
    <col min="4100" max="4100" width="7.88671875" style="224" customWidth="1"/>
    <col min="4101" max="4101" width="14.33203125" style="224" customWidth="1"/>
    <col min="4102" max="4102" width="12.5546875" style="224" customWidth="1"/>
    <col min="4103" max="4103" width="14.88671875" style="224" customWidth="1"/>
    <col min="4104" max="4352" width="11" style="224"/>
    <col min="4353" max="4353" width="8.5546875" style="224" customWidth="1"/>
    <col min="4354" max="4354" width="62" style="224" customWidth="1"/>
    <col min="4355" max="4355" width="5.88671875" style="224" customWidth="1"/>
    <col min="4356" max="4356" width="7.88671875" style="224" customWidth="1"/>
    <col min="4357" max="4357" width="14.33203125" style="224" customWidth="1"/>
    <col min="4358" max="4358" width="12.5546875" style="224" customWidth="1"/>
    <col min="4359" max="4359" width="14.88671875" style="224" customWidth="1"/>
    <col min="4360" max="4608" width="11" style="224"/>
    <col min="4609" max="4609" width="8.5546875" style="224" customWidth="1"/>
    <col min="4610" max="4610" width="62" style="224" customWidth="1"/>
    <col min="4611" max="4611" width="5.88671875" style="224" customWidth="1"/>
    <col min="4612" max="4612" width="7.88671875" style="224" customWidth="1"/>
    <col min="4613" max="4613" width="14.33203125" style="224" customWidth="1"/>
    <col min="4614" max="4614" width="12.5546875" style="224" customWidth="1"/>
    <col min="4615" max="4615" width="14.88671875" style="224" customWidth="1"/>
    <col min="4616" max="4864" width="11" style="224"/>
    <col min="4865" max="4865" width="8.5546875" style="224" customWidth="1"/>
    <col min="4866" max="4866" width="62" style="224" customWidth="1"/>
    <col min="4867" max="4867" width="5.88671875" style="224" customWidth="1"/>
    <col min="4868" max="4868" width="7.88671875" style="224" customWidth="1"/>
    <col min="4869" max="4869" width="14.33203125" style="224" customWidth="1"/>
    <col min="4870" max="4870" width="12.5546875" style="224" customWidth="1"/>
    <col min="4871" max="4871" width="14.88671875" style="224" customWidth="1"/>
    <col min="4872" max="5120" width="11" style="224"/>
    <col min="5121" max="5121" width="8.5546875" style="224" customWidth="1"/>
    <col min="5122" max="5122" width="62" style="224" customWidth="1"/>
    <col min="5123" max="5123" width="5.88671875" style="224" customWidth="1"/>
    <col min="5124" max="5124" width="7.88671875" style="224" customWidth="1"/>
    <col min="5125" max="5125" width="14.33203125" style="224" customWidth="1"/>
    <col min="5126" max="5126" width="12.5546875" style="224" customWidth="1"/>
    <col min="5127" max="5127" width="14.88671875" style="224" customWidth="1"/>
    <col min="5128" max="5376" width="11" style="224"/>
    <col min="5377" max="5377" width="8.5546875" style="224" customWidth="1"/>
    <col min="5378" max="5378" width="62" style="224" customWidth="1"/>
    <col min="5379" max="5379" width="5.88671875" style="224" customWidth="1"/>
    <col min="5380" max="5380" width="7.88671875" style="224" customWidth="1"/>
    <col min="5381" max="5381" width="14.33203125" style="224" customWidth="1"/>
    <col min="5382" max="5382" width="12.5546875" style="224" customWidth="1"/>
    <col min="5383" max="5383" width="14.88671875" style="224" customWidth="1"/>
    <col min="5384" max="5632" width="11" style="224"/>
    <col min="5633" max="5633" width="8.5546875" style="224" customWidth="1"/>
    <col min="5634" max="5634" width="62" style="224" customWidth="1"/>
    <col min="5635" max="5635" width="5.88671875" style="224" customWidth="1"/>
    <col min="5636" max="5636" width="7.88671875" style="224" customWidth="1"/>
    <col min="5637" max="5637" width="14.33203125" style="224" customWidth="1"/>
    <col min="5638" max="5638" width="12.5546875" style="224" customWidth="1"/>
    <col min="5639" max="5639" width="14.88671875" style="224" customWidth="1"/>
    <col min="5640" max="5888" width="11" style="224"/>
    <col min="5889" max="5889" width="8.5546875" style="224" customWidth="1"/>
    <col min="5890" max="5890" width="62" style="224" customWidth="1"/>
    <col min="5891" max="5891" width="5.88671875" style="224" customWidth="1"/>
    <col min="5892" max="5892" width="7.88671875" style="224" customWidth="1"/>
    <col min="5893" max="5893" width="14.33203125" style="224" customWidth="1"/>
    <col min="5894" max="5894" width="12.5546875" style="224" customWidth="1"/>
    <col min="5895" max="5895" width="14.88671875" style="224" customWidth="1"/>
    <col min="5896" max="6144" width="11" style="224"/>
    <col min="6145" max="6145" width="8.5546875" style="224" customWidth="1"/>
    <col min="6146" max="6146" width="62" style="224" customWidth="1"/>
    <col min="6147" max="6147" width="5.88671875" style="224" customWidth="1"/>
    <col min="6148" max="6148" width="7.88671875" style="224" customWidth="1"/>
    <col min="6149" max="6149" width="14.33203125" style="224" customWidth="1"/>
    <col min="6150" max="6150" width="12.5546875" style="224" customWidth="1"/>
    <col min="6151" max="6151" width="14.88671875" style="224" customWidth="1"/>
    <col min="6152" max="6400" width="11" style="224"/>
    <col min="6401" max="6401" width="8.5546875" style="224" customWidth="1"/>
    <col min="6402" max="6402" width="62" style="224" customWidth="1"/>
    <col min="6403" max="6403" width="5.88671875" style="224" customWidth="1"/>
    <col min="6404" max="6404" width="7.88671875" style="224" customWidth="1"/>
    <col min="6405" max="6405" width="14.33203125" style="224" customWidth="1"/>
    <col min="6406" max="6406" width="12.5546875" style="224" customWidth="1"/>
    <col min="6407" max="6407" width="14.88671875" style="224" customWidth="1"/>
    <col min="6408" max="6656" width="11" style="224"/>
    <col min="6657" max="6657" width="8.5546875" style="224" customWidth="1"/>
    <col min="6658" max="6658" width="62" style="224" customWidth="1"/>
    <col min="6659" max="6659" width="5.88671875" style="224" customWidth="1"/>
    <col min="6660" max="6660" width="7.88671875" style="224" customWidth="1"/>
    <col min="6661" max="6661" width="14.33203125" style="224" customWidth="1"/>
    <col min="6662" max="6662" width="12.5546875" style="224" customWidth="1"/>
    <col min="6663" max="6663" width="14.88671875" style="224" customWidth="1"/>
    <col min="6664" max="6912" width="11" style="224"/>
    <col min="6913" max="6913" width="8.5546875" style="224" customWidth="1"/>
    <col min="6914" max="6914" width="62" style="224" customWidth="1"/>
    <col min="6915" max="6915" width="5.88671875" style="224" customWidth="1"/>
    <col min="6916" max="6916" width="7.88671875" style="224" customWidth="1"/>
    <col min="6917" max="6917" width="14.33203125" style="224" customWidth="1"/>
    <col min="6918" max="6918" width="12.5546875" style="224" customWidth="1"/>
    <col min="6919" max="6919" width="14.88671875" style="224" customWidth="1"/>
    <col min="6920" max="7168" width="11" style="224"/>
    <col min="7169" max="7169" width="8.5546875" style="224" customWidth="1"/>
    <col min="7170" max="7170" width="62" style="224" customWidth="1"/>
    <col min="7171" max="7171" width="5.88671875" style="224" customWidth="1"/>
    <col min="7172" max="7172" width="7.88671875" style="224" customWidth="1"/>
    <col min="7173" max="7173" width="14.33203125" style="224" customWidth="1"/>
    <col min="7174" max="7174" width="12.5546875" style="224" customWidth="1"/>
    <col min="7175" max="7175" width="14.88671875" style="224" customWidth="1"/>
    <col min="7176" max="7424" width="11" style="224"/>
    <col min="7425" max="7425" width="8.5546875" style="224" customWidth="1"/>
    <col min="7426" max="7426" width="62" style="224" customWidth="1"/>
    <col min="7427" max="7427" width="5.88671875" style="224" customWidth="1"/>
    <col min="7428" max="7428" width="7.88671875" style="224" customWidth="1"/>
    <col min="7429" max="7429" width="14.33203125" style="224" customWidth="1"/>
    <col min="7430" max="7430" width="12.5546875" style="224" customWidth="1"/>
    <col min="7431" max="7431" width="14.88671875" style="224" customWidth="1"/>
    <col min="7432" max="7680" width="11" style="224"/>
    <col min="7681" max="7681" width="8.5546875" style="224" customWidth="1"/>
    <col min="7682" max="7682" width="62" style="224" customWidth="1"/>
    <col min="7683" max="7683" width="5.88671875" style="224" customWidth="1"/>
    <col min="7684" max="7684" width="7.88671875" style="224" customWidth="1"/>
    <col min="7685" max="7685" width="14.33203125" style="224" customWidth="1"/>
    <col min="7686" max="7686" width="12.5546875" style="224" customWidth="1"/>
    <col min="7687" max="7687" width="14.88671875" style="224" customWidth="1"/>
    <col min="7688" max="7936" width="11" style="224"/>
    <col min="7937" max="7937" width="8.5546875" style="224" customWidth="1"/>
    <col min="7938" max="7938" width="62" style="224" customWidth="1"/>
    <col min="7939" max="7939" width="5.88671875" style="224" customWidth="1"/>
    <col min="7940" max="7940" width="7.88671875" style="224" customWidth="1"/>
    <col min="7941" max="7941" width="14.33203125" style="224" customWidth="1"/>
    <col min="7942" max="7942" width="12.5546875" style="224" customWidth="1"/>
    <col min="7943" max="7943" width="14.88671875" style="224" customWidth="1"/>
    <col min="7944" max="8192" width="11" style="224"/>
    <col min="8193" max="8193" width="8.5546875" style="224" customWidth="1"/>
    <col min="8194" max="8194" width="62" style="224" customWidth="1"/>
    <col min="8195" max="8195" width="5.88671875" style="224" customWidth="1"/>
    <col min="8196" max="8196" width="7.88671875" style="224" customWidth="1"/>
    <col min="8197" max="8197" width="14.33203125" style="224" customWidth="1"/>
    <col min="8198" max="8198" width="12.5546875" style="224" customWidth="1"/>
    <col min="8199" max="8199" width="14.88671875" style="224" customWidth="1"/>
    <col min="8200" max="8448" width="11" style="224"/>
    <col min="8449" max="8449" width="8.5546875" style="224" customWidth="1"/>
    <col min="8450" max="8450" width="62" style="224" customWidth="1"/>
    <col min="8451" max="8451" width="5.88671875" style="224" customWidth="1"/>
    <col min="8452" max="8452" width="7.88671875" style="224" customWidth="1"/>
    <col min="8453" max="8453" width="14.33203125" style="224" customWidth="1"/>
    <col min="8454" max="8454" width="12.5546875" style="224" customWidth="1"/>
    <col min="8455" max="8455" width="14.88671875" style="224" customWidth="1"/>
    <col min="8456" max="8704" width="11" style="224"/>
    <col min="8705" max="8705" width="8.5546875" style="224" customWidth="1"/>
    <col min="8706" max="8706" width="62" style="224" customWidth="1"/>
    <col min="8707" max="8707" width="5.88671875" style="224" customWidth="1"/>
    <col min="8708" max="8708" width="7.88671875" style="224" customWidth="1"/>
    <col min="8709" max="8709" width="14.33203125" style="224" customWidth="1"/>
    <col min="8710" max="8710" width="12.5546875" style="224" customWidth="1"/>
    <col min="8711" max="8711" width="14.88671875" style="224" customWidth="1"/>
    <col min="8712" max="8960" width="11" style="224"/>
    <col min="8961" max="8961" width="8.5546875" style="224" customWidth="1"/>
    <col min="8962" max="8962" width="62" style="224" customWidth="1"/>
    <col min="8963" max="8963" width="5.88671875" style="224" customWidth="1"/>
    <col min="8964" max="8964" width="7.88671875" style="224" customWidth="1"/>
    <col min="8965" max="8965" width="14.33203125" style="224" customWidth="1"/>
    <col min="8966" max="8966" width="12.5546875" style="224" customWidth="1"/>
    <col min="8967" max="8967" width="14.88671875" style="224" customWidth="1"/>
    <col min="8968" max="9216" width="11" style="224"/>
    <col min="9217" max="9217" width="8.5546875" style="224" customWidth="1"/>
    <col min="9218" max="9218" width="62" style="224" customWidth="1"/>
    <col min="9219" max="9219" width="5.88671875" style="224" customWidth="1"/>
    <col min="9220" max="9220" width="7.88671875" style="224" customWidth="1"/>
    <col min="9221" max="9221" width="14.33203125" style="224" customWidth="1"/>
    <col min="9222" max="9222" width="12.5546875" style="224" customWidth="1"/>
    <col min="9223" max="9223" width="14.88671875" style="224" customWidth="1"/>
    <col min="9224" max="9472" width="11" style="224"/>
    <col min="9473" max="9473" width="8.5546875" style="224" customWidth="1"/>
    <col min="9474" max="9474" width="62" style="224" customWidth="1"/>
    <col min="9475" max="9475" width="5.88671875" style="224" customWidth="1"/>
    <col min="9476" max="9476" width="7.88671875" style="224" customWidth="1"/>
    <col min="9477" max="9477" width="14.33203125" style="224" customWidth="1"/>
    <col min="9478" max="9478" width="12.5546875" style="224" customWidth="1"/>
    <col min="9479" max="9479" width="14.88671875" style="224" customWidth="1"/>
    <col min="9480" max="9728" width="11" style="224"/>
    <col min="9729" max="9729" width="8.5546875" style="224" customWidth="1"/>
    <col min="9730" max="9730" width="62" style="224" customWidth="1"/>
    <col min="9731" max="9731" width="5.88671875" style="224" customWidth="1"/>
    <col min="9732" max="9732" width="7.88671875" style="224" customWidth="1"/>
    <col min="9733" max="9733" width="14.33203125" style="224" customWidth="1"/>
    <col min="9734" max="9734" width="12.5546875" style="224" customWidth="1"/>
    <col min="9735" max="9735" width="14.88671875" style="224" customWidth="1"/>
    <col min="9736" max="9984" width="11" style="224"/>
    <col min="9985" max="9985" width="8.5546875" style="224" customWidth="1"/>
    <col min="9986" max="9986" width="62" style="224" customWidth="1"/>
    <col min="9987" max="9987" width="5.88671875" style="224" customWidth="1"/>
    <col min="9988" max="9988" width="7.88671875" style="224" customWidth="1"/>
    <col min="9989" max="9989" width="14.33203125" style="224" customWidth="1"/>
    <col min="9990" max="9990" width="12.5546875" style="224" customWidth="1"/>
    <col min="9991" max="9991" width="14.88671875" style="224" customWidth="1"/>
    <col min="9992" max="10240" width="11" style="224"/>
    <col min="10241" max="10241" width="8.5546875" style="224" customWidth="1"/>
    <col min="10242" max="10242" width="62" style="224" customWidth="1"/>
    <col min="10243" max="10243" width="5.88671875" style="224" customWidth="1"/>
    <col min="10244" max="10244" width="7.88671875" style="224" customWidth="1"/>
    <col min="10245" max="10245" width="14.33203125" style="224" customWidth="1"/>
    <col min="10246" max="10246" width="12.5546875" style="224" customWidth="1"/>
    <col min="10247" max="10247" width="14.88671875" style="224" customWidth="1"/>
    <col min="10248" max="10496" width="11" style="224"/>
    <col min="10497" max="10497" width="8.5546875" style="224" customWidth="1"/>
    <col min="10498" max="10498" width="62" style="224" customWidth="1"/>
    <col min="10499" max="10499" width="5.88671875" style="224" customWidth="1"/>
    <col min="10500" max="10500" width="7.88671875" style="224" customWidth="1"/>
    <col min="10501" max="10501" width="14.33203125" style="224" customWidth="1"/>
    <col min="10502" max="10502" width="12.5546875" style="224" customWidth="1"/>
    <col min="10503" max="10503" width="14.88671875" style="224" customWidth="1"/>
    <col min="10504" max="10752" width="11" style="224"/>
    <col min="10753" max="10753" width="8.5546875" style="224" customWidth="1"/>
    <col min="10754" max="10754" width="62" style="224" customWidth="1"/>
    <col min="10755" max="10755" width="5.88671875" style="224" customWidth="1"/>
    <col min="10756" max="10756" width="7.88671875" style="224" customWidth="1"/>
    <col min="10757" max="10757" width="14.33203125" style="224" customWidth="1"/>
    <col min="10758" max="10758" width="12.5546875" style="224" customWidth="1"/>
    <col min="10759" max="10759" width="14.88671875" style="224" customWidth="1"/>
    <col min="10760" max="11008" width="11" style="224"/>
    <col min="11009" max="11009" width="8.5546875" style="224" customWidth="1"/>
    <col min="11010" max="11010" width="62" style="224" customWidth="1"/>
    <col min="11011" max="11011" width="5.88671875" style="224" customWidth="1"/>
    <col min="11012" max="11012" width="7.88671875" style="224" customWidth="1"/>
    <col min="11013" max="11013" width="14.33203125" style="224" customWidth="1"/>
    <col min="11014" max="11014" width="12.5546875" style="224" customWidth="1"/>
    <col min="11015" max="11015" width="14.88671875" style="224" customWidth="1"/>
    <col min="11016" max="11264" width="11" style="224"/>
    <col min="11265" max="11265" width="8.5546875" style="224" customWidth="1"/>
    <col min="11266" max="11266" width="62" style="224" customWidth="1"/>
    <col min="11267" max="11267" width="5.88671875" style="224" customWidth="1"/>
    <col min="11268" max="11268" width="7.88671875" style="224" customWidth="1"/>
    <col min="11269" max="11269" width="14.33203125" style="224" customWidth="1"/>
    <col min="11270" max="11270" width="12.5546875" style="224" customWidth="1"/>
    <col min="11271" max="11271" width="14.88671875" style="224" customWidth="1"/>
    <col min="11272" max="11520" width="11" style="224"/>
    <col min="11521" max="11521" width="8.5546875" style="224" customWidth="1"/>
    <col min="11522" max="11522" width="62" style="224" customWidth="1"/>
    <col min="11523" max="11523" width="5.88671875" style="224" customWidth="1"/>
    <col min="11524" max="11524" width="7.88671875" style="224" customWidth="1"/>
    <col min="11525" max="11525" width="14.33203125" style="224" customWidth="1"/>
    <col min="11526" max="11526" width="12.5546875" style="224" customWidth="1"/>
    <col min="11527" max="11527" width="14.88671875" style="224" customWidth="1"/>
    <col min="11528" max="11776" width="11" style="224"/>
    <col min="11777" max="11777" width="8.5546875" style="224" customWidth="1"/>
    <col min="11778" max="11778" width="62" style="224" customWidth="1"/>
    <col min="11779" max="11779" width="5.88671875" style="224" customWidth="1"/>
    <col min="11780" max="11780" width="7.88671875" style="224" customWidth="1"/>
    <col min="11781" max="11781" width="14.33203125" style="224" customWidth="1"/>
    <col min="11782" max="11782" width="12.5546875" style="224" customWidth="1"/>
    <col min="11783" max="11783" width="14.88671875" style="224" customWidth="1"/>
    <col min="11784" max="12032" width="11" style="224"/>
    <col min="12033" max="12033" width="8.5546875" style="224" customWidth="1"/>
    <col min="12034" max="12034" width="62" style="224" customWidth="1"/>
    <col min="12035" max="12035" width="5.88671875" style="224" customWidth="1"/>
    <col min="12036" max="12036" width="7.88671875" style="224" customWidth="1"/>
    <col min="12037" max="12037" width="14.33203125" style="224" customWidth="1"/>
    <col min="12038" max="12038" width="12.5546875" style="224" customWidth="1"/>
    <col min="12039" max="12039" width="14.88671875" style="224" customWidth="1"/>
    <col min="12040" max="12288" width="11" style="224"/>
    <col min="12289" max="12289" width="8.5546875" style="224" customWidth="1"/>
    <col min="12290" max="12290" width="62" style="224" customWidth="1"/>
    <col min="12291" max="12291" width="5.88671875" style="224" customWidth="1"/>
    <col min="12292" max="12292" width="7.88671875" style="224" customWidth="1"/>
    <col min="12293" max="12293" width="14.33203125" style="224" customWidth="1"/>
    <col min="12294" max="12294" width="12.5546875" style="224" customWidth="1"/>
    <col min="12295" max="12295" width="14.88671875" style="224" customWidth="1"/>
    <col min="12296" max="12544" width="11" style="224"/>
    <col min="12545" max="12545" width="8.5546875" style="224" customWidth="1"/>
    <col min="12546" max="12546" width="62" style="224" customWidth="1"/>
    <col min="12547" max="12547" width="5.88671875" style="224" customWidth="1"/>
    <col min="12548" max="12548" width="7.88671875" style="224" customWidth="1"/>
    <col min="12549" max="12549" width="14.33203125" style="224" customWidth="1"/>
    <col min="12550" max="12550" width="12.5546875" style="224" customWidth="1"/>
    <col min="12551" max="12551" width="14.88671875" style="224" customWidth="1"/>
    <col min="12552" max="12800" width="11" style="224"/>
    <col min="12801" max="12801" width="8.5546875" style="224" customWidth="1"/>
    <col min="12802" max="12802" width="62" style="224" customWidth="1"/>
    <col min="12803" max="12803" width="5.88671875" style="224" customWidth="1"/>
    <col min="12804" max="12804" width="7.88671875" style="224" customWidth="1"/>
    <col min="12805" max="12805" width="14.33203125" style="224" customWidth="1"/>
    <col min="12806" max="12806" width="12.5546875" style="224" customWidth="1"/>
    <col min="12807" max="12807" width="14.88671875" style="224" customWidth="1"/>
    <col min="12808" max="13056" width="11" style="224"/>
    <col min="13057" max="13057" width="8.5546875" style="224" customWidth="1"/>
    <col min="13058" max="13058" width="62" style="224" customWidth="1"/>
    <col min="13059" max="13059" width="5.88671875" style="224" customWidth="1"/>
    <col min="13060" max="13060" width="7.88671875" style="224" customWidth="1"/>
    <col min="13061" max="13061" width="14.33203125" style="224" customWidth="1"/>
    <col min="13062" max="13062" width="12.5546875" style="224" customWidth="1"/>
    <col min="13063" max="13063" width="14.88671875" style="224" customWidth="1"/>
    <col min="13064" max="13312" width="11" style="224"/>
    <col min="13313" max="13313" width="8.5546875" style="224" customWidth="1"/>
    <col min="13314" max="13314" width="62" style="224" customWidth="1"/>
    <col min="13315" max="13315" width="5.88671875" style="224" customWidth="1"/>
    <col min="13316" max="13316" width="7.88671875" style="224" customWidth="1"/>
    <col min="13317" max="13317" width="14.33203125" style="224" customWidth="1"/>
    <col min="13318" max="13318" width="12.5546875" style="224" customWidth="1"/>
    <col min="13319" max="13319" width="14.88671875" style="224" customWidth="1"/>
    <col min="13320" max="13568" width="11" style="224"/>
    <col min="13569" max="13569" width="8.5546875" style="224" customWidth="1"/>
    <col min="13570" max="13570" width="62" style="224" customWidth="1"/>
    <col min="13571" max="13571" width="5.88671875" style="224" customWidth="1"/>
    <col min="13572" max="13572" width="7.88671875" style="224" customWidth="1"/>
    <col min="13573" max="13573" width="14.33203125" style="224" customWidth="1"/>
    <col min="13574" max="13574" width="12.5546875" style="224" customWidth="1"/>
    <col min="13575" max="13575" width="14.88671875" style="224" customWidth="1"/>
    <col min="13576" max="13824" width="11" style="224"/>
    <col min="13825" max="13825" width="8.5546875" style="224" customWidth="1"/>
    <col min="13826" max="13826" width="62" style="224" customWidth="1"/>
    <col min="13827" max="13827" width="5.88671875" style="224" customWidth="1"/>
    <col min="13828" max="13828" width="7.88671875" style="224" customWidth="1"/>
    <col min="13829" max="13829" width="14.33203125" style="224" customWidth="1"/>
    <col min="13830" max="13830" width="12.5546875" style="224" customWidth="1"/>
    <col min="13831" max="13831" width="14.88671875" style="224" customWidth="1"/>
    <col min="13832" max="14080" width="11" style="224"/>
    <col min="14081" max="14081" width="8.5546875" style="224" customWidth="1"/>
    <col min="14082" max="14082" width="62" style="224" customWidth="1"/>
    <col min="14083" max="14083" width="5.88671875" style="224" customWidth="1"/>
    <col min="14084" max="14084" width="7.88671875" style="224" customWidth="1"/>
    <col min="14085" max="14085" width="14.33203125" style="224" customWidth="1"/>
    <col min="14086" max="14086" width="12.5546875" style="224" customWidth="1"/>
    <col min="14087" max="14087" width="14.88671875" style="224" customWidth="1"/>
    <col min="14088" max="14336" width="11" style="224"/>
    <col min="14337" max="14337" width="8.5546875" style="224" customWidth="1"/>
    <col min="14338" max="14338" width="62" style="224" customWidth="1"/>
    <col min="14339" max="14339" width="5.88671875" style="224" customWidth="1"/>
    <col min="14340" max="14340" width="7.88671875" style="224" customWidth="1"/>
    <col min="14341" max="14341" width="14.33203125" style="224" customWidth="1"/>
    <col min="14342" max="14342" width="12.5546875" style="224" customWidth="1"/>
    <col min="14343" max="14343" width="14.88671875" style="224" customWidth="1"/>
    <col min="14344" max="14592" width="11" style="224"/>
    <col min="14593" max="14593" width="8.5546875" style="224" customWidth="1"/>
    <col min="14594" max="14594" width="62" style="224" customWidth="1"/>
    <col min="14595" max="14595" width="5.88671875" style="224" customWidth="1"/>
    <col min="14596" max="14596" width="7.88671875" style="224" customWidth="1"/>
    <col min="14597" max="14597" width="14.33203125" style="224" customWidth="1"/>
    <col min="14598" max="14598" width="12.5546875" style="224" customWidth="1"/>
    <col min="14599" max="14599" width="14.88671875" style="224" customWidth="1"/>
    <col min="14600" max="14848" width="11" style="224"/>
    <col min="14849" max="14849" width="8.5546875" style="224" customWidth="1"/>
    <col min="14850" max="14850" width="62" style="224" customWidth="1"/>
    <col min="14851" max="14851" width="5.88671875" style="224" customWidth="1"/>
    <col min="14852" max="14852" width="7.88671875" style="224" customWidth="1"/>
    <col min="14853" max="14853" width="14.33203125" style="224" customWidth="1"/>
    <col min="14854" max="14854" width="12.5546875" style="224" customWidth="1"/>
    <col min="14855" max="14855" width="14.88671875" style="224" customWidth="1"/>
    <col min="14856" max="15104" width="11" style="224"/>
    <col min="15105" max="15105" width="8.5546875" style="224" customWidth="1"/>
    <col min="15106" max="15106" width="62" style="224" customWidth="1"/>
    <col min="15107" max="15107" width="5.88671875" style="224" customWidth="1"/>
    <col min="15108" max="15108" width="7.88671875" style="224" customWidth="1"/>
    <col min="15109" max="15109" width="14.33203125" style="224" customWidth="1"/>
    <col min="15110" max="15110" width="12.5546875" style="224" customWidth="1"/>
    <col min="15111" max="15111" width="14.88671875" style="224" customWidth="1"/>
    <col min="15112" max="15360" width="11" style="224"/>
    <col min="15361" max="15361" width="8.5546875" style="224" customWidth="1"/>
    <col min="15362" max="15362" width="62" style="224" customWidth="1"/>
    <col min="15363" max="15363" width="5.88671875" style="224" customWidth="1"/>
    <col min="15364" max="15364" width="7.88671875" style="224" customWidth="1"/>
    <col min="15365" max="15365" width="14.33203125" style="224" customWidth="1"/>
    <col min="15366" max="15366" width="12.5546875" style="224" customWidth="1"/>
    <col min="15367" max="15367" width="14.88671875" style="224" customWidth="1"/>
    <col min="15368" max="15616" width="11" style="224"/>
    <col min="15617" max="15617" width="8.5546875" style="224" customWidth="1"/>
    <col min="15618" max="15618" width="62" style="224" customWidth="1"/>
    <col min="15619" max="15619" width="5.88671875" style="224" customWidth="1"/>
    <col min="15620" max="15620" width="7.88671875" style="224" customWidth="1"/>
    <col min="15621" max="15621" width="14.33203125" style="224" customWidth="1"/>
    <col min="15622" max="15622" width="12.5546875" style="224" customWidth="1"/>
    <col min="15623" max="15623" width="14.88671875" style="224" customWidth="1"/>
    <col min="15624" max="15872" width="11" style="224"/>
    <col min="15873" max="15873" width="8.5546875" style="224" customWidth="1"/>
    <col min="15874" max="15874" width="62" style="224" customWidth="1"/>
    <col min="15875" max="15875" width="5.88671875" style="224" customWidth="1"/>
    <col min="15876" max="15876" width="7.88671875" style="224" customWidth="1"/>
    <col min="15877" max="15877" width="14.33203125" style="224" customWidth="1"/>
    <col min="15878" max="15878" width="12.5546875" style="224" customWidth="1"/>
    <col min="15879" max="15879" width="14.88671875" style="224" customWidth="1"/>
    <col min="15880" max="16128" width="11" style="224"/>
    <col min="16129" max="16129" width="8.5546875" style="224" customWidth="1"/>
    <col min="16130" max="16130" width="62" style="224" customWidth="1"/>
    <col min="16131" max="16131" width="5.88671875" style="224" customWidth="1"/>
    <col min="16132" max="16132" width="7.88671875" style="224" customWidth="1"/>
    <col min="16133" max="16133" width="14.33203125" style="224" customWidth="1"/>
    <col min="16134" max="16134" width="12.5546875" style="224" customWidth="1"/>
    <col min="16135" max="16135" width="14.88671875" style="224" customWidth="1"/>
    <col min="16136" max="16384" width="11" style="224"/>
  </cols>
  <sheetData>
    <row r="1" spans="1:7" ht="42" customHeight="1" x14ac:dyDescent="0.3">
      <c r="A1" s="223"/>
      <c r="B1" s="550"/>
      <c r="C1" s="550"/>
      <c r="D1" s="550"/>
      <c r="E1" s="550"/>
      <c r="F1" s="550"/>
      <c r="G1" s="550"/>
    </row>
    <row r="2" spans="1:7" ht="17.25" customHeight="1" x14ac:dyDescent="0.3">
      <c r="A2" s="225"/>
      <c r="B2" s="226"/>
      <c r="C2" s="227"/>
      <c r="D2" s="228"/>
      <c r="E2" s="226"/>
      <c r="F2" s="226"/>
      <c r="G2" s="226"/>
    </row>
    <row r="3" spans="1:7" ht="64.95" customHeight="1" x14ac:dyDescent="0.3">
      <c r="A3" s="229"/>
      <c r="B3" s="230" t="s">
        <v>7</v>
      </c>
      <c r="C3" s="231" t="s">
        <v>0</v>
      </c>
      <c r="D3" s="232" t="s">
        <v>203</v>
      </c>
      <c r="E3" s="233" t="s">
        <v>8</v>
      </c>
      <c r="F3" s="234" t="s">
        <v>175</v>
      </c>
      <c r="G3" s="235" t="s">
        <v>204</v>
      </c>
    </row>
    <row r="4" spans="1:7" ht="19.5" customHeight="1" x14ac:dyDescent="0.3">
      <c r="A4" s="242">
        <v>5</v>
      </c>
      <c r="B4" s="243" t="s">
        <v>505</v>
      </c>
      <c r="C4" s="237"/>
      <c r="D4" s="238"/>
      <c r="E4" s="239"/>
      <c r="F4" s="240"/>
      <c r="G4" s="241"/>
    </row>
    <row r="5" spans="1:7" ht="10.5" customHeight="1" x14ac:dyDescent="0.3">
      <c r="A5" s="236"/>
      <c r="B5" s="420"/>
      <c r="C5" s="237"/>
      <c r="D5" s="238"/>
      <c r="E5" s="239"/>
      <c r="F5" s="240"/>
      <c r="G5" s="244"/>
    </row>
    <row r="6" spans="1:7" x14ac:dyDescent="0.3">
      <c r="A6" s="421" t="s">
        <v>205</v>
      </c>
      <c r="B6" s="422" t="s">
        <v>206</v>
      </c>
      <c r="C6" s="237"/>
      <c r="D6" s="238"/>
      <c r="E6" s="239"/>
      <c r="F6" s="240"/>
      <c r="G6" s="244"/>
    </row>
    <row r="7" spans="1:7" ht="12" customHeight="1" x14ac:dyDescent="0.3">
      <c r="A7" s="245" t="s">
        <v>207</v>
      </c>
      <c r="B7" s="246" t="s">
        <v>208</v>
      </c>
      <c r="C7" s="246"/>
      <c r="D7" s="247"/>
      <c r="E7" s="248"/>
      <c r="F7" s="249"/>
      <c r="G7" s="250"/>
    </row>
    <row r="8" spans="1:7" ht="12" customHeight="1" x14ac:dyDescent="0.3">
      <c r="A8" s="245" t="s">
        <v>209</v>
      </c>
      <c r="B8" s="251" t="s">
        <v>210</v>
      </c>
      <c r="C8" s="247"/>
      <c r="D8" s="247"/>
      <c r="E8" s="248"/>
      <c r="F8" s="249"/>
      <c r="G8" s="250"/>
    </row>
    <row r="9" spans="1:7" ht="12" customHeight="1" x14ac:dyDescent="0.3">
      <c r="A9" s="245"/>
      <c r="B9" s="252" t="s">
        <v>211</v>
      </c>
      <c r="C9" s="247" t="s">
        <v>0</v>
      </c>
      <c r="D9" s="247">
        <v>1</v>
      </c>
      <c r="E9" s="248"/>
      <c r="F9" s="249"/>
      <c r="G9" s="250">
        <f>D9*E9</f>
        <v>0</v>
      </c>
    </row>
    <row r="10" spans="1:7" ht="12" customHeight="1" x14ac:dyDescent="0.3">
      <c r="A10" s="245" t="s">
        <v>212</v>
      </c>
      <c r="B10" s="251" t="s">
        <v>213</v>
      </c>
      <c r="C10" s="246"/>
      <c r="D10" s="247"/>
      <c r="E10" s="248"/>
      <c r="F10" s="249"/>
      <c r="G10" s="250"/>
    </row>
    <row r="11" spans="1:7" s="255" customFormat="1" ht="12" customHeight="1" x14ac:dyDescent="0.3">
      <c r="A11" s="245"/>
      <c r="B11" s="252" t="s">
        <v>214</v>
      </c>
      <c r="C11" s="247" t="s">
        <v>215</v>
      </c>
      <c r="D11" s="253">
        <v>1</v>
      </c>
      <c r="E11" s="248"/>
      <c r="F11" s="254"/>
      <c r="G11" s="250">
        <f t="shared" ref="G11:G23" si="0">D11*E11</f>
        <v>0</v>
      </c>
    </row>
    <row r="12" spans="1:7" ht="12" customHeight="1" x14ac:dyDescent="0.3">
      <c r="A12" s="245" t="s">
        <v>216</v>
      </c>
      <c r="B12" s="246" t="s">
        <v>217</v>
      </c>
      <c r="C12" s="246"/>
      <c r="D12" s="247"/>
      <c r="E12" s="248"/>
      <c r="F12" s="249"/>
      <c r="G12" s="250"/>
    </row>
    <row r="13" spans="1:7" ht="12" customHeight="1" x14ac:dyDescent="0.3">
      <c r="A13" s="256" t="s">
        <v>209</v>
      </c>
      <c r="B13" s="251" t="s">
        <v>218</v>
      </c>
      <c r="C13" s="247"/>
      <c r="D13" s="247"/>
      <c r="E13" s="248"/>
      <c r="F13" s="249"/>
      <c r="G13" s="250"/>
    </row>
    <row r="14" spans="1:7" ht="12" customHeight="1" x14ac:dyDescent="0.3">
      <c r="A14" s="256"/>
      <c r="B14" s="252" t="s">
        <v>219</v>
      </c>
      <c r="C14" s="247" t="s">
        <v>0</v>
      </c>
      <c r="D14" s="247">
        <v>1</v>
      </c>
      <c r="E14" s="248"/>
      <c r="F14" s="249"/>
      <c r="G14" s="250">
        <f t="shared" si="0"/>
        <v>0</v>
      </c>
    </row>
    <row r="15" spans="1:7" ht="12" customHeight="1" x14ac:dyDescent="0.3">
      <c r="A15" s="256" t="s">
        <v>212</v>
      </c>
      <c r="B15" s="251" t="s">
        <v>220</v>
      </c>
      <c r="C15" s="247"/>
      <c r="D15" s="247"/>
      <c r="E15" s="248"/>
      <c r="F15" s="249"/>
      <c r="G15" s="250"/>
    </row>
    <row r="16" spans="1:7" ht="12" customHeight="1" x14ac:dyDescent="0.3">
      <c r="A16" s="257"/>
      <c r="B16" s="252" t="s">
        <v>219</v>
      </c>
      <c r="C16" s="247" t="s">
        <v>0</v>
      </c>
      <c r="D16" s="247">
        <v>1</v>
      </c>
      <c r="E16" s="248"/>
      <c r="F16" s="249"/>
      <c r="G16" s="250">
        <f t="shared" si="0"/>
        <v>0</v>
      </c>
    </row>
    <row r="17" spans="1:7" ht="12" customHeight="1" x14ac:dyDescent="0.3">
      <c r="A17" s="245" t="s">
        <v>221</v>
      </c>
      <c r="B17" s="246" t="s">
        <v>222</v>
      </c>
      <c r="C17" s="246"/>
      <c r="D17" s="247"/>
      <c r="E17" s="248"/>
      <c r="F17" s="249"/>
      <c r="G17" s="250"/>
    </row>
    <row r="18" spans="1:7" ht="12" customHeight="1" x14ac:dyDescent="0.3">
      <c r="A18" s="256" t="s">
        <v>209</v>
      </c>
      <c r="B18" s="251" t="s">
        <v>223</v>
      </c>
      <c r="C18" s="246"/>
      <c r="D18" s="247"/>
      <c r="E18" s="248"/>
      <c r="F18" s="249"/>
      <c r="G18" s="250"/>
    </row>
    <row r="19" spans="1:7" x14ac:dyDescent="0.3">
      <c r="A19" s="256"/>
      <c r="B19" s="252" t="s">
        <v>219</v>
      </c>
      <c r="C19" s="247" t="s">
        <v>0</v>
      </c>
      <c r="D19" s="247">
        <v>6</v>
      </c>
      <c r="E19" s="248"/>
      <c r="F19" s="249"/>
      <c r="G19" s="250">
        <f t="shared" si="0"/>
        <v>0</v>
      </c>
    </row>
    <row r="20" spans="1:7" ht="12" customHeight="1" x14ac:dyDescent="0.3">
      <c r="A20" s="256" t="s">
        <v>212</v>
      </c>
      <c r="B20" s="251" t="s">
        <v>224</v>
      </c>
      <c r="C20" s="246"/>
      <c r="D20" s="247"/>
      <c r="E20" s="248"/>
      <c r="F20" s="249"/>
      <c r="G20" s="250"/>
    </row>
    <row r="21" spans="1:7" x14ac:dyDescent="0.3">
      <c r="A21" s="258"/>
      <c r="B21" s="252" t="s">
        <v>219</v>
      </c>
      <c r="C21" s="247" t="s">
        <v>0</v>
      </c>
      <c r="D21" s="247">
        <v>1</v>
      </c>
      <c r="E21" s="248"/>
      <c r="F21" s="249"/>
      <c r="G21" s="250">
        <f t="shared" si="0"/>
        <v>0</v>
      </c>
    </row>
    <row r="22" spans="1:7" ht="12" customHeight="1" x14ac:dyDescent="0.3">
      <c r="A22" s="256" t="s">
        <v>225</v>
      </c>
      <c r="B22" s="251" t="s">
        <v>226</v>
      </c>
      <c r="C22" s="246"/>
      <c r="D22" s="247"/>
      <c r="E22" s="248"/>
      <c r="F22" s="249"/>
      <c r="G22" s="250"/>
    </row>
    <row r="23" spans="1:7" x14ac:dyDescent="0.3">
      <c r="A23" s="256"/>
      <c r="B23" s="252" t="s">
        <v>219</v>
      </c>
      <c r="C23" s="247" t="s">
        <v>0</v>
      </c>
      <c r="D23" s="247">
        <v>1</v>
      </c>
      <c r="E23" s="248"/>
      <c r="F23" s="249"/>
      <c r="G23" s="250">
        <f t="shared" si="0"/>
        <v>0</v>
      </c>
    </row>
    <row r="24" spans="1:7" ht="12" customHeight="1" x14ac:dyDescent="0.3">
      <c r="A24" s="256" t="s">
        <v>227</v>
      </c>
      <c r="B24" s="251" t="s">
        <v>228</v>
      </c>
      <c r="C24" s="246"/>
      <c r="D24" s="247"/>
      <c r="E24" s="248"/>
      <c r="F24" s="249"/>
      <c r="G24" s="250"/>
    </row>
    <row r="25" spans="1:7" x14ac:dyDescent="0.3">
      <c r="A25" s="257"/>
      <c r="B25" s="252" t="s">
        <v>219</v>
      </c>
      <c r="C25" s="247" t="s">
        <v>0</v>
      </c>
      <c r="D25" s="247">
        <v>1</v>
      </c>
      <c r="E25" s="248"/>
      <c r="F25" s="249"/>
      <c r="G25" s="250">
        <f t="shared" ref="G25" si="1">D25*E25</f>
        <v>0</v>
      </c>
    </row>
    <row r="26" spans="1:7" ht="12" customHeight="1" x14ac:dyDescent="0.3">
      <c r="A26" s="256" t="s">
        <v>229</v>
      </c>
      <c r="B26" s="251" t="s">
        <v>230</v>
      </c>
      <c r="C26" s="246"/>
      <c r="D26" s="247"/>
      <c r="E26" s="248"/>
      <c r="F26" s="249"/>
      <c r="G26" s="250"/>
    </row>
    <row r="27" spans="1:7" x14ac:dyDescent="0.3">
      <c r="A27" s="258"/>
      <c r="B27" s="252" t="s">
        <v>219</v>
      </c>
      <c r="C27" s="247" t="s">
        <v>0</v>
      </c>
      <c r="D27" s="247">
        <v>1</v>
      </c>
      <c r="E27" s="248"/>
      <c r="F27" s="249"/>
      <c r="G27" s="250">
        <f t="shared" ref="G27" si="2">D27*E27</f>
        <v>0</v>
      </c>
    </row>
    <row r="28" spans="1:7" ht="12" customHeight="1" x14ac:dyDescent="0.3">
      <c r="A28" s="256" t="s">
        <v>231</v>
      </c>
      <c r="B28" s="251" t="s">
        <v>232</v>
      </c>
      <c r="C28" s="246"/>
      <c r="D28" s="247"/>
      <c r="E28" s="248"/>
      <c r="F28" s="249"/>
      <c r="G28" s="250"/>
    </row>
    <row r="29" spans="1:7" x14ac:dyDescent="0.3">
      <c r="A29" s="256"/>
      <c r="B29" s="252" t="s">
        <v>219</v>
      </c>
      <c r="C29" s="247" t="s">
        <v>0</v>
      </c>
      <c r="D29" s="247">
        <v>1</v>
      </c>
      <c r="E29" s="248"/>
      <c r="F29" s="249"/>
      <c r="G29" s="250">
        <f t="shared" ref="G29" si="3">D29*E29</f>
        <v>0</v>
      </c>
    </row>
    <row r="30" spans="1:7" ht="12" customHeight="1" x14ac:dyDescent="0.3">
      <c r="A30" s="256" t="s">
        <v>233</v>
      </c>
      <c r="B30" s="251" t="s">
        <v>234</v>
      </c>
      <c r="C30" s="246"/>
      <c r="D30" s="247"/>
      <c r="E30" s="248"/>
      <c r="F30" s="249"/>
      <c r="G30" s="250"/>
    </row>
    <row r="31" spans="1:7" x14ac:dyDescent="0.3">
      <c r="A31" s="257"/>
      <c r="B31" s="252" t="s">
        <v>219</v>
      </c>
      <c r="C31" s="247" t="s">
        <v>0</v>
      </c>
      <c r="D31" s="247">
        <v>1</v>
      </c>
      <c r="E31" s="248"/>
      <c r="F31" s="249"/>
      <c r="G31" s="250">
        <f t="shared" ref="G31" si="4">D31*E31</f>
        <v>0</v>
      </c>
    </row>
    <row r="32" spans="1:7" ht="12" customHeight="1" x14ac:dyDescent="0.3">
      <c r="A32" s="256" t="s">
        <v>235</v>
      </c>
      <c r="B32" s="251" t="s">
        <v>236</v>
      </c>
      <c r="C32" s="246"/>
      <c r="D32" s="247"/>
      <c r="E32" s="248"/>
      <c r="F32" s="249"/>
      <c r="G32" s="250"/>
    </row>
    <row r="33" spans="1:7" x14ac:dyDescent="0.3">
      <c r="A33" s="257"/>
      <c r="B33" s="252" t="s">
        <v>219</v>
      </c>
      <c r="C33" s="247" t="s">
        <v>0</v>
      </c>
      <c r="D33" s="247">
        <v>1</v>
      </c>
      <c r="E33" s="248"/>
      <c r="F33" s="249"/>
      <c r="G33" s="250">
        <f t="shared" ref="G33" si="5">D33*E33</f>
        <v>0</v>
      </c>
    </row>
    <row r="34" spans="1:7" ht="12" customHeight="1" x14ac:dyDescent="0.3">
      <c r="A34" s="245" t="s">
        <v>237</v>
      </c>
      <c r="B34" s="246" t="s">
        <v>238</v>
      </c>
      <c r="C34" s="247"/>
      <c r="D34" s="247"/>
      <c r="E34" s="248"/>
      <c r="F34" s="249"/>
      <c r="G34" s="250"/>
    </row>
    <row r="35" spans="1:7" ht="12" customHeight="1" x14ac:dyDescent="0.3">
      <c r="A35" s="256" t="s">
        <v>209</v>
      </c>
      <c r="B35" s="251" t="s">
        <v>239</v>
      </c>
      <c r="C35" s="246"/>
      <c r="D35" s="247"/>
      <c r="E35" s="248"/>
      <c r="F35" s="249"/>
      <c r="G35" s="250"/>
    </row>
    <row r="36" spans="1:7" x14ac:dyDescent="0.3">
      <c r="A36" s="256"/>
      <c r="B36" s="252" t="s">
        <v>240</v>
      </c>
      <c r="C36" s="247" t="s">
        <v>133</v>
      </c>
      <c r="D36" s="247">
        <v>100</v>
      </c>
      <c r="E36" s="248"/>
      <c r="F36" s="249"/>
      <c r="G36" s="250">
        <f t="shared" ref="G36:G42" si="6">D36*E36</f>
        <v>0</v>
      </c>
    </row>
    <row r="37" spans="1:7" ht="12" customHeight="1" x14ac:dyDescent="0.3">
      <c r="A37" s="256" t="s">
        <v>212</v>
      </c>
      <c r="B37" s="251" t="s">
        <v>241</v>
      </c>
      <c r="C37" s="246"/>
      <c r="D37" s="247"/>
      <c r="E37" s="248"/>
      <c r="F37" s="249"/>
      <c r="G37" s="250"/>
    </row>
    <row r="38" spans="1:7" x14ac:dyDescent="0.3">
      <c r="A38" s="256"/>
      <c r="B38" s="252" t="s">
        <v>240</v>
      </c>
      <c r="C38" s="247" t="s">
        <v>133</v>
      </c>
      <c r="D38" s="247">
        <v>400</v>
      </c>
      <c r="E38" s="248"/>
      <c r="F38" s="249"/>
      <c r="G38" s="250">
        <f t="shared" ref="G38" si="7">D38*E38</f>
        <v>0</v>
      </c>
    </row>
    <row r="39" spans="1:7" ht="12" customHeight="1" x14ac:dyDescent="0.3">
      <c r="A39" s="256" t="s">
        <v>225</v>
      </c>
      <c r="B39" s="251" t="s">
        <v>242</v>
      </c>
      <c r="C39" s="246"/>
      <c r="D39" s="247"/>
      <c r="E39" s="248"/>
      <c r="F39" s="249"/>
      <c r="G39" s="250"/>
    </row>
    <row r="40" spans="1:7" x14ac:dyDescent="0.3">
      <c r="A40" s="256"/>
      <c r="B40" s="252" t="s">
        <v>240</v>
      </c>
      <c r="C40" s="247" t="s">
        <v>133</v>
      </c>
      <c r="D40" s="247">
        <f>580*4</f>
        <v>2320</v>
      </c>
      <c r="E40" s="248"/>
      <c r="F40" s="249"/>
      <c r="G40" s="250">
        <f t="shared" si="6"/>
        <v>0</v>
      </c>
    </row>
    <row r="41" spans="1:7" ht="12" customHeight="1" x14ac:dyDescent="0.3">
      <c r="A41" s="256" t="s">
        <v>227</v>
      </c>
      <c r="B41" s="251" t="s">
        <v>243</v>
      </c>
      <c r="C41" s="246"/>
      <c r="D41" s="247"/>
      <c r="E41" s="248"/>
      <c r="F41" s="249"/>
      <c r="G41" s="250"/>
    </row>
    <row r="42" spans="1:7" ht="12" customHeight="1" x14ac:dyDescent="0.3">
      <c r="A42" s="256"/>
      <c r="B42" s="252" t="s">
        <v>240</v>
      </c>
      <c r="C42" s="247" t="s">
        <v>133</v>
      </c>
      <c r="D42" s="247">
        <v>575</v>
      </c>
      <c r="E42" s="248"/>
      <c r="F42" s="249"/>
      <c r="G42" s="250">
        <f t="shared" si="6"/>
        <v>0</v>
      </c>
    </row>
    <row r="43" spans="1:7" ht="12" customHeight="1" x14ac:dyDescent="0.3">
      <c r="A43" s="256" t="s">
        <v>229</v>
      </c>
      <c r="B43" s="251" t="s">
        <v>244</v>
      </c>
      <c r="C43" s="246"/>
      <c r="D43" s="247"/>
      <c r="E43" s="248"/>
      <c r="F43" s="249"/>
      <c r="G43" s="250"/>
    </row>
    <row r="44" spans="1:7" ht="12" customHeight="1" x14ac:dyDescent="0.3">
      <c r="A44" s="256"/>
      <c r="B44" s="252" t="s">
        <v>240</v>
      </c>
      <c r="C44" s="247" t="s">
        <v>133</v>
      </c>
      <c r="D44" s="247">
        <v>30</v>
      </c>
      <c r="E44" s="248"/>
      <c r="F44" s="249"/>
      <c r="G44" s="250">
        <f t="shared" ref="G44" si="8">D44*E44</f>
        <v>0</v>
      </c>
    </row>
    <row r="45" spans="1:7" ht="12" customHeight="1" x14ac:dyDescent="0.3">
      <c r="A45" s="256" t="s">
        <v>231</v>
      </c>
      <c r="B45" s="251" t="s">
        <v>245</v>
      </c>
      <c r="C45" s="246"/>
      <c r="D45" s="247"/>
      <c r="E45" s="248"/>
      <c r="F45" s="249"/>
      <c r="G45" s="250"/>
    </row>
    <row r="46" spans="1:7" ht="12" customHeight="1" x14ac:dyDescent="0.3">
      <c r="A46" s="257"/>
      <c r="B46" s="252" t="s">
        <v>240</v>
      </c>
      <c r="C46" s="247" t="s">
        <v>133</v>
      </c>
      <c r="D46" s="247">
        <v>2040</v>
      </c>
      <c r="E46" s="248"/>
      <c r="F46" s="249"/>
      <c r="G46" s="250">
        <f t="shared" ref="G46:G55" si="9">D46*E46</f>
        <v>0</v>
      </c>
    </row>
    <row r="47" spans="1:7" ht="12" customHeight="1" x14ac:dyDescent="0.3">
      <c r="A47" s="256" t="s">
        <v>233</v>
      </c>
      <c r="B47" s="251" t="s">
        <v>246</v>
      </c>
      <c r="C47" s="246"/>
      <c r="D47" s="247"/>
      <c r="E47" s="248"/>
      <c r="F47" s="249"/>
      <c r="G47" s="250"/>
    </row>
    <row r="48" spans="1:7" ht="12" customHeight="1" x14ac:dyDescent="0.3">
      <c r="A48" s="256"/>
      <c r="B48" s="252" t="s">
        <v>240</v>
      </c>
      <c r="C48" s="247" t="s">
        <v>133</v>
      </c>
      <c r="D48" s="247">
        <v>4560</v>
      </c>
      <c r="E48" s="248"/>
      <c r="F48" s="249"/>
      <c r="G48" s="250">
        <f t="shared" si="9"/>
        <v>0</v>
      </c>
    </row>
    <row r="49" spans="1:7" ht="12" customHeight="1" x14ac:dyDescent="0.3">
      <c r="A49" s="256" t="s">
        <v>235</v>
      </c>
      <c r="B49" s="251" t="s">
        <v>247</v>
      </c>
      <c r="C49" s="246"/>
      <c r="D49" s="247"/>
      <c r="E49" s="248"/>
      <c r="F49" s="249"/>
      <c r="G49" s="250"/>
    </row>
    <row r="50" spans="1:7" ht="12" customHeight="1" x14ac:dyDescent="0.3">
      <c r="A50" s="259"/>
      <c r="B50" s="252" t="s">
        <v>240</v>
      </c>
      <c r="C50" s="247" t="s">
        <v>133</v>
      </c>
      <c r="D50" s="247">
        <v>100</v>
      </c>
      <c r="E50" s="248"/>
      <c r="F50" s="249"/>
      <c r="G50" s="250">
        <f t="shared" si="9"/>
        <v>0</v>
      </c>
    </row>
    <row r="51" spans="1:7" ht="12" customHeight="1" x14ac:dyDescent="0.3">
      <c r="A51" s="245" t="s">
        <v>248</v>
      </c>
      <c r="B51" s="246" t="s">
        <v>249</v>
      </c>
      <c r="C51" s="247"/>
      <c r="D51" s="247"/>
      <c r="E51" s="248"/>
      <c r="F51" s="249"/>
      <c r="G51" s="250"/>
    </row>
    <row r="52" spans="1:7" ht="12" customHeight="1" x14ac:dyDescent="0.3">
      <c r="A52" s="256" t="s">
        <v>209</v>
      </c>
      <c r="B52" s="251" t="s">
        <v>250</v>
      </c>
      <c r="C52" s="246"/>
      <c r="D52" s="247"/>
      <c r="E52" s="248"/>
      <c r="F52" s="249"/>
      <c r="G52" s="250"/>
    </row>
    <row r="53" spans="1:7" ht="12" customHeight="1" x14ac:dyDescent="0.3">
      <c r="A53" s="256"/>
      <c r="B53" s="252" t="s">
        <v>240</v>
      </c>
      <c r="C53" s="247" t="s">
        <v>133</v>
      </c>
      <c r="D53" s="247">
        <v>1713</v>
      </c>
      <c r="E53" s="248"/>
      <c r="F53" s="249"/>
      <c r="G53" s="250">
        <f t="shared" si="9"/>
        <v>0</v>
      </c>
    </row>
    <row r="54" spans="1:7" ht="12" customHeight="1" x14ac:dyDescent="0.3">
      <c r="A54" s="256" t="s">
        <v>212</v>
      </c>
      <c r="B54" s="251" t="s">
        <v>251</v>
      </c>
      <c r="C54" s="246"/>
      <c r="D54" s="247"/>
      <c r="E54" s="248"/>
      <c r="F54" s="249"/>
      <c r="G54" s="250"/>
    </row>
    <row r="55" spans="1:7" ht="12" customHeight="1" x14ac:dyDescent="0.3">
      <c r="A55" s="260"/>
      <c r="B55" s="252" t="s">
        <v>240</v>
      </c>
      <c r="C55" s="247" t="s">
        <v>133</v>
      </c>
      <c r="D55" s="247">
        <v>860</v>
      </c>
      <c r="E55" s="248"/>
      <c r="F55" s="249"/>
      <c r="G55" s="250">
        <f t="shared" si="9"/>
        <v>0</v>
      </c>
    </row>
    <row r="56" spans="1:7" ht="12" customHeight="1" x14ac:dyDescent="0.3">
      <c r="A56" s="245" t="s">
        <v>252</v>
      </c>
      <c r="B56" s="246" t="s">
        <v>253</v>
      </c>
      <c r="C56" s="247"/>
      <c r="D56" s="247"/>
      <c r="E56" s="248"/>
      <c r="F56" s="249"/>
      <c r="G56" s="250"/>
    </row>
    <row r="57" spans="1:7" ht="12" customHeight="1" x14ac:dyDescent="0.3">
      <c r="A57" s="256" t="s">
        <v>209</v>
      </c>
      <c r="B57" s="251" t="s">
        <v>254</v>
      </c>
      <c r="C57" s="246"/>
      <c r="D57" s="247"/>
      <c r="E57" s="248"/>
      <c r="F57" s="249"/>
      <c r="G57" s="250"/>
    </row>
    <row r="58" spans="1:7" ht="12" customHeight="1" x14ac:dyDescent="0.3">
      <c r="A58" s="256"/>
      <c r="B58" s="252" t="s">
        <v>219</v>
      </c>
      <c r="C58" s="247" t="s">
        <v>0</v>
      </c>
      <c r="D58" s="247">
        <v>32</v>
      </c>
      <c r="E58" s="248"/>
      <c r="F58" s="249"/>
      <c r="G58" s="250">
        <f t="shared" ref="G58:G86" si="10">D58*E58</f>
        <v>0</v>
      </c>
    </row>
    <row r="59" spans="1:7" ht="12" customHeight="1" x14ac:dyDescent="0.3">
      <c r="A59" s="256" t="s">
        <v>212</v>
      </c>
      <c r="B59" s="251" t="s">
        <v>255</v>
      </c>
      <c r="C59" s="246"/>
      <c r="D59" s="247"/>
      <c r="E59" s="248"/>
      <c r="F59" s="249"/>
      <c r="G59" s="250"/>
    </row>
    <row r="60" spans="1:7" ht="12" customHeight="1" x14ac:dyDescent="0.3">
      <c r="A60" s="256"/>
      <c r="B60" s="252" t="s">
        <v>219</v>
      </c>
      <c r="C60" s="247" t="s">
        <v>0</v>
      </c>
      <c r="D60" s="247">
        <v>6</v>
      </c>
      <c r="E60" s="248"/>
      <c r="F60" s="249"/>
      <c r="G60" s="250">
        <f t="shared" si="10"/>
        <v>0</v>
      </c>
    </row>
    <row r="61" spans="1:7" ht="12" customHeight="1" x14ac:dyDescent="0.3">
      <c r="A61" s="256" t="s">
        <v>225</v>
      </c>
      <c r="B61" s="251" t="s">
        <v>256</v>
      </c>
      <c r="C61" s="246"/>
      <c r="D61" s="247"/>
      <c r="E61" s="248"/>
      <c r="F61" s="249"/>
      <c r="G61" s="250"/>
    </row>
    <row r="62" spans="1:7" ht="12" customHeight="1" x14ac:dyDescent="0.3">
      <c r="A62" s="256"/>
      <c r="B62" s="252" t="s">
        <v>219</v>
      </c>
      <c r="C62" s="247" t="s">
        <v>0</v>
      </c>
      <c r="D62" s="247">
        <v>24</v>
      </c>
      <c r="E62" s="248"/>
      <c r="F62" s="249"/>
      <c r="G62" s="250">
        <f t="shared" ref="G62" si="11">D62*E62</f>
        <v>0</v>
      </c>
    </row>
    <row r="63" spans="1:7" ht="12" customHeight="1" x14ac:dyDescent="0.3">
      <c r="A63" s="256" t="s">
        <v>227</v>
      </c>
      <c r="B63" s="251" t="s">
        <v>257</v>
      </c>
      <c r="C63" s="246"/>
      <c r="D63" s="247"/>
      <c r="E63" s="248"/>
      <c r="F63" s="249"/>
      <c r="G63" s="250"/>
    </row>
    <row r="64" spans="1:7" ht="12" customHeight="1" x14ac:dyDescent="0.3">
      <c r="A64" s="256"/>
      <c r="B64" s="271" t="s">
        <v>219</v>
      </c>
      <c r="C64" s="263" t="s">
        <v>0</v>
      </c>
      <c r="D64" s="263">
        <v>49</v>
      </c>
      <c r="E64" s="264"/>
      <c r="F64" s="265"/>
      <c r="G64" s="266">
        <f t="shared" ref="G64" si="12">D64*E64</f>
        <v>0</v>
      </c>
    </row>
    <row r="65" spans="1:7" ht="12" customHeight="1" x14ac:dyDescent="0.3">
      <c r="A65" s="256" t="s">
        <v>229</v>
      </c>
      <c r="B65" s="251" t="s">
        <v>258</v>
      </c>
      <c r="C65" s="246"/>
      <c r="D65" s="247"/>
      <c r="E65" s="248"/>
      <c r="F65" s="249"/>
      <c r="G65" s="250"/>
    </row>
    <row r="66" spans="1:7" ht="12" customHeight="1" x14ac:dyDescent="0.3">
      <c r="A66" s="258"/>
      <c r="B66" s="252" t="s">
        <v>219</v>
      </c>
      <c r="C66" s="247" t="s">
        <v>0</v>
      </c>
      <c r="D66" s="247">
        <v>40</v>
      </c>
      <c r="E66" s="248"/>
      <c r="F66" s="249"/>
      <c r="G66" s="250">
        <f t="shared" si="10"/>
        <v>0</v>
      </c>
    </row>
    <row r="67" spans="1:7" ht="12" customHeight="1" x14ac:dyDescent="0.3">
      <c r="A67" s="256" t="s">
        <v>231</v>
      </c>
      <c r="B67" s="251" t="s">
        <v>259</v>
      </c>
      <c r="C67" s="246"/>
      <c r="D67" s="247"/>
      <c r="E67" s="248"/>
      <c r="F67" s="249"/>
      <c r="G67" s="250"/>
    </row>
    <row r="68" spans="1:7" ht="12" customHeight="1" x14ac:dyDescent="0.3">
      <c r="A68" s="257"/>
      <c r="B68" s="252" t="s">
        <v>219</v>
      </c>
      <c r="C68" s="247" t="s">
        <v>0</v>
      </c>
      <c r="D68" s="247">
        <v>228</v>
      </c>
      <c r="E68" s="248"/>
      <c r="F68" s="249"/>
      <c r="G68" s="250">
        <f t="shared" si="10"/>
        <v>0</v>
      </c>
    </row>
    <row r="69" spans="1:7" ht="12" customHeight="1" x14ac:dyDescent="0.3">
      <c r="A69" s="256" t="s">
        <v>233</v>
      </c>
      <c r="B69" s="251" t="s">
        <v>260</v>
      </c>
      <c r="C69" s="246"/>
      <c r="D69" s="247"/>
      <c r="E69" s="248"/>
      <c r="F69" s="249"/>
      <c r="G69" s="250"/>
    </row>
    <row r="70" spans="1:7" ht="12" customHeight="1" x14ac:dyDescent="0.3">
      <c r="A70" s="256"/>
      <c r="B70" s="252" t="s">
        <v>219</v>
      </c>
      <c r="C70" s="247" t="s">
        <v>0</v>
      </c>
      <c r="D70" s="247"/>
      <c r="E70" s="248"/>
      <c r="F70" s="249"/>
      <c r="G70" s="250">
        <f t="shared" si="10"/>
        <v>0</v>
      </c>
    </row>
    <row r="71" spans="1:7" ht="12" customHeight="1" x14ac:dyDescent="0.3">
      <c r="A71" s="256" t="s">
        <v>235</v>
      </c>
      <c r="B71" s="251" t="s">
        <v>261</v>
      </c>
      <c r="C71" s="246"/>
      <c r="D71" s="247"/>
      <c r="E71" s="248"/>
      <c r="F71" s="249"/>
      <c r="G71" s="250"/>
    </row>
    <row r="72" spans="1:7" ht="12" customHeight="1" x14ac:dyDescent="0.3">
      <c r="A72" s="260"/>
      <c r="B72" s="252" t="s">
        <v>219</v>
      </c>
      <c r="C72" s="247" t="s">
        <v>0</v>
      </c>
      <c r="D72" s="247">
        <v>125</v>
      </c>
      <c r="E72" s="248"/>
      <c r="F72" s="249"/>
      <c r="G72" s="250">
        <f t="shared" si="10"/>
        <v>0</v>
      </c>
    </row>
    <row r="73" spans="1:7" ht="12" customHeight="1" x14ac:dyDescent="0.3">
      <c r="A73" s="258" t="s">
        <v>263</v>
      </c>
      <c r="B73" s="261" t="s">
        <v>262</v>
      </c>
      <c r="C73" s="247"/>
      <c r="D73" s="247"/>
      <c r="E73" s="248"/>
      <c r="F73" s="249"/>
      <c r="G73" s="250"/>
    </row>
    <row r="74" spans="1:7" ht="12" customHeight="1" x14ac:dyDescent="0.3">
      <c r="A74" s="260"/>
      <c r="B74" s="262" t="s">
        <v>219</v>
      </c>
      <c r="C74" s="247" t="s">
        <v>0</v>
      </c>
      <c r="D74" s="247">
        <v>98</v>
      </c>
      <c r="E74" s="248"/>
      <c r="F74" s="249"/>
      <c r="G74" s="250">
        <f t="shared" si="10"/>
        <v>0</v>
      </c>
    </row>
    <row r="75" spans="1:7" ht="12" customHeight="1" x14ac:dyDescent="0.3">
      <c r="A75" s="260" t="s">
        <v>265</v>
      </c>
      <c r="B75" s="251" t="s">
        <v>264</v>
      </c>
      <c r="C75" s="247"/>
      <c r="D75" s="247"/>
      <c r="E75" s="248"/>
      <c r="F75" s="249"/>
      <c r="G75" s="250"/>
    </row>
    <row r="76" spans="1:7" ht="12" customHeight="1" x14ac:dyDescent="0.3">
      <c r="A76" s="260"/>
      <c r="B76" s="252" t="s">
        <v>219</v>
      </c>
      <c r="C76" s="247" t="s">
        <v>0</v>
      </c>
      <c r="D76" s="247">
        <v>26</v>
      </c>
      <c r="E76" s="248"/>
      <c r="F76" s="249"/>
      <c r="G76" s="250">
        <f t="shared" ref="G76" si="13">D76*E76</f>
        <v>0</v>
      </c>
    </row>
    <row r="77" spans="1:7" ht="12" customHeight="1" x14ac:dyDescent="0.3">
      <c r="A77" s="258" t="s">
        <v>267</v>
      </c>
      <c r="B77" s="251" t="s">
        <v>271</v>
      </c>
      <c r="C77" s="246"/>
      <c r="D77" s="247"/>
      <c r="E77" s="248"/>
      <c r="F77" s="249"/>
      <c r="G77" s="250"/>
    </row>
    <row r="78" spans="1:7" ht="12" customHeight="1" x14ac:dyDescent="0.3">
      <c r="A78" s="260"/>
      <c r="B78" s="251" t="s">
        <v>266</v>
      </c>
      <c r="C78" s="247" t="s">
        <v>0</v>
      </c>
      <c r="D78" s="247">
        <v>32</v>
      </c>
      <c r="E78" s="248"/>
      <c r="F78" s="249"/>
      <c r="G78" s="250">
        <f t="shared" si="10"/>
        <v>0</v>
      </c>
    </row>
    <row r="79" spans="1:7" ht="12" customHeight="1" x14ac:dyDescent="0.3">
      <c r="A79" s="260" t="s">
        <v>268</v>
      </c>
      <c r="B79" s="251" t="s">
        <v>273</v>
      </c>
      <c r="C79" s="246"/>
      <c r="D79" s="247"/>
      <c r="E79" s="248"/>
      <c r="F79" s="249"/>
      <c r="G79" s="250"/>
    </row>
    <row r="80" spans="1:7" ht="12" customHeight="1" x14ac:dyDescent="0.3">
      <c r="A80" s="258"/>
      <c r="B80" s="251" t="s">
        <v>266</v>
      </c>
      <c r="C80" s="247" t="s">
        <v>0</v>
      </c>
      <c r="D80" s="247">
        <v>24</v>
      </c>
      <c r="E80" s="248"/>
      <c r="F80" s="249"/>
      <c r="G80" s="250">
        <f t="shared" si="10"/>
        <v>0</v>
      </c>
    </row>
    <row r="81" spans="1:7" ht="12" customHeight="1" x14ac:dyDescent="0.3">
      <c r="A81" s="260" t="s">
        <v>269</v>
      </c>
      <c r="B81" s="251" t="s">
        <v>275</v>
      </c>
      <c r="C81" s="246"/>
      <c r="D81" s="247"/>
      <c r="E81" s="248"/>
      <c r="F81" s="249"/>
      <c r="G81" s="250"/>
    </row>
    <row r="82" spans="1:7" ht="12" customHeight="1" x14ac:dyDescent="0.3">
      <c r="A82" s="258"/>
      <c r="B82" s="251" t="s">
        <v>266</v>
      </c>
      <c r="C82" s="247" t="s">
        <v>0</v>
      </c>
      <c r="D82" s="247">
        <v>6</v>
      </c>
      <c r="E82" s="248"/>
      <c r="F82" s="249"/>
      <c r="G82" s="250">
        <f t="shared" ref="G82" si="14">D82*E82</f>
        <v>0</v>
      </c>
    </row>
    <row r="83" spans="1:7" ht="12" customHeight="1" x14ac:dyDescent="0.3">
      <c r="A83" s="260" t="s">
        <v>270</v>
      </c>
      <c r="B83" s="251" t="s">
        <v>276</v>
      </c>
      <c r="C83" s="246"/>
      <c r="D83" s="247"/>
      <c r="E83" s="248"/>
      <c r="F83" s="249"/>
      <c r="G83" s="250"/>
    </row>
    <row r="84" spans="1:7" ht="12" customHeight="1" x14ac:dyDescent="0.3">
      <c r="A84" s="258"/>
      <c r="B84" s="251" t="s">
        <v>266</v>
      </c>
      <c r="C84" s="247" t="s">
        <v>0</v>
      </c>
      <c r="D84" s="247">
        <v>49</v>
      </c>
      <c r="E84" s="248"/>
      <c r="F84" s="249"/>
      <c r="G84" s="250">
        <f t="shared" ref="G84" si="15">D84*E84</f>
        <v>0</v>
      </c>
    </row>
    <row r="85" spans="1:7" ht="12" customHeight="1" x14ac:dyDescent="0.3">
      <c r="A85" s="260" t="s">
        <v>272</v>
      </c>
      <c r="B85" s="251" t="s">
        <v>277</v>
      </c>
      <c r="C85" s="246"/>
      <c r="D85" s="247"/>
      <c r="E85" s="248"/>
      <c r="F85" s="249"/>
      <c r="G85" s="250"/>
    </row>
    <row r="86" spans="1:7" ht="12" customHeight="1" x14ac:dyDescent="0.3">
      <c r="A86" s="258"/>
      <c r="B86" s="252" t="s">
        <v>219</v>
      </c>
      <c r="C86" s="247" t="s">
        <v>0</v>
      </c>
      <c r="D86" s="247">
        <v>125</v>
      </c>
      <c r="E86" s="248"/>
      <c r="F86" s="249"/>
      <c r="G86" s="250">
        <f t="shared" si="10"/>
        <v>0</v>
      </c>
    </row>
    <row r="87" spans="1:7" ht="12" customHeight="1" x14ac:dyDescent="0.3">
      <c r="A87" s="260" t="s">
        <v>274</v>
      </c>
      <c r="B87" s="251" t="s">
        <v>278</v>
      </c>
      <c r="C87" s="247"/>
      <c r="D87" s="247"/>
      <c r="E87" s="248"/>
      <c r="F87" s="249"/>
      <c r="G87" s="250"/>
    </row>
    <row r="88" spans="1:7" ht="12" customHeight="1" x14ac:dyDescent="0.3">
      <c r="A88" s="260"/>
      <c r="B88" s="252" t="s">
        <v>219</v>
      </c>
      <c r="C88" s="247" t="s">
        <v>0</v>
      </c>
      <c r="D88" s="247">
        <v>40</v>
      </c>
      <c r="E88" s="248"/>
      <c r="F88" s="249"/>
      <c r="G88" s="250">
        <f t="shared" ref="G88:G105" si="16">D88*E88</f>
        <v>0</v>
      </c>
    </row>
    <row r="89" spans="1:7" ht="15.75" customHeight="1" x14ac:dyDescent="0.3">
      <c r="A89" s="245" t="s">
        <v>279</v>
      </c>
      <c r="B89" s="246" t="s">
        <v>280</v>
      </c>
      <c r="C89" s="247"/>
      <c r="D89" s="247"/>
      <c r="E89" s="248"/>
      <c r="F89" s="249"/>
      <c r="G89" s="250"/>
    </row>
    <row r="90" spans="1:7" ht="12" customHeight="1" x14ac:dyDescent="0.3">
      <c r="A90" s="260" t="s">
        <v>209</v>
      </c>
      <c r="B90" s="251" t="s">
        <v>281</v>
      </c>
      <c r="C90" s="246"/>
      <c r="D90" s="247"/>
      <c r="E90" s="248"/>
      <c r="F90" s="249"/>
      <c r="G90" s="250"/>
    </row>
    <row r="91" spans="1:7" ht="12" customHeight="1" x14ac:dyDescent="0.3">
      <c r="A91" s="257"/>
      <c r="B91" s="252" t="s">
        <v>219</v>
      </c>
      <c r="C91" s="247" t="s">
        <v>0</v>
      </c>
      <c r="D91" s="247">
        <v>24</v>
      </c>
      <c r="E91" s="248"/>
      <c r="F91" s="249"/>
      <c r="G91" s="250">
        <f t="shared" si="16"/>
        <v>0</v>
      </c>
    </row>
    <row r="92" spans="1:7" ht="12" customHeight="1" x14ac:dyDescent="0.3">
      <c r="A92" s="260" t="s">
        <v>212</v>
      </c>
      <c r="B92" s="251" t="s">
        <v>282</v>
      </c>
      <c r="C92" s="246"/>
      <c r="D92" s="247"/>
      <c r="E92" s="248"/>
      <c r="F92" s="249"/>
      <c r="G92" s="250"/>
    </row>
    <row r="93" spans="1:7" ht="12" customHeight="1" x14ac:dyDescent="0.3">
      <c r="A93" s="260"/>
      <c r="B93" s="262" t="s">
        <v>219</v>
      </c>
      <c r="C93" s="247" t="s">
        <v>0</v>
      </c>
      <c r="D93" s="247">
        <v>93</v>
      </c>
      <c r="E93" s="248"/>
      <c r="F93" s="249"/>
      <c r="G93" s="250">
        <f t="shared" si="16"/>
        <v>0</v>
      </c>
    </row>
    <row r="94" spans="1:7" ht="12" customHeight="1" x14ac:dyDescent="0.3">
      <c r="A94" s="257" t="s">
        <v>225</v>
      </c>
      <c r="B94" s="251" t="s">
        <v>283</v>
      </c>
      <c r="C94" s="246"/>
      <c r="D94" s="247"/>
      <c r="E94" s="248"/>
      <c r="F94" s="249"/>
      <c r="G94" s="250"/>
    </row>
    <row r="95" spans="1:7" ht="12" customHeight="1" x14ac:dyDescent="0.3">
      <c r="A95" s="260"/>
      <c r="B95" s="252" t="s">
        <v>219</v>
      </c>
      <c r="C95" s="247" t="s">
        <v>0</v>
      </c>
      <c r="D95" s="247">
        <v>262</v>
      </c>
      <c r="E95" s="248"/>
      <c r="F95" s="249"/>
      <c r="G95" s="250">
        <f t="shared" si="16"/>
        <v>0</v>
      </c>
    </row>
    <row r="96" spans="1:7" ht="12" customHeight="1" x14ac:dyDescent="0.3">
      <c r="A96" s="245" t="s">
        <v>284</v>
      </c>
      <c r="B96" s="246" t="s">
        <v>285</v>
      </c>
      <c r="C96" s="246"/>
      <c r="D96" s="247"/>
      <c r="E96" s="248"/>
      <c r="F96" s="249"/>
      <c r="G96" s="250"/>
    </row>
    <row r="97" spans="1:7" ht="12" customHeight="1" x14ac:dyDescent="0.3">
      <c r="A97" s="260" t="s">
        <v>209</v>
      </c>
      <c r="B97" s="251" t="s">
        <v>286</v>
      </c>
      <c r="C97" s="246"/>
      <c r="D97" s="247"/>
      <c r="E97" s="248"/>
      <c r="F97" s="249"/>
      <c r="G97" s="250"/>
    </row>
    <row r="98" spans="1:7" ht="12" customHeight="1" x14ac:dyDescent="0.3">
      <c r="A98" s="257"/>
      <c r="B98" s="252" t="s">
        <v>219</v>
      </c>
      <c r="C98" s="247" t="s">
        <v>0</v>
      </c>
      <c r="D98" s="247">
        <v>99</v>
      </c>
      <c r="E98" s="248"/>
      <c r="F98" s="249"/>
      <c r="G98" s="250">
        <f t="shared" si="16"/>
        <v>0</v>
      </c>
    </row>
    <row r="99" spans="1:7" ht="12" customHeight="1" x14ac:dyDescent="0.3">
      <c r="A99" s="260" t="s">
        <v>212</v>
      </c>
      <c r="B99" s="251" t="s">
        <v>287</v>
      </c>
      <c r="C99" s="246"/>
      <c r="D99" s="247"/>
      <c r="E99" s="248"/>
      <c r="F99" s="249"/>
      <c r="G99" s="250"/>
    </row>
    <row r="100" spans="1:7" ht="12" customHeight="1" x14ac:dyDescent="0.3">
      <c r="A100" s="258"/>
      <c r="B100" s="252" t="s">
        <v>219</v>
      </c>
      <c r="C100" s="247" t="s">
        <v>0</v>
      </c>
      <c r="D100" s="247">
        <v>28</v>
      </c>
      <c r="E100" s="248"/>
      <c r="F100" s="249"/>
      <c r="G100" s="250">
        <f t="shared" ref="G100" si="17">D100*E100</f>
        <v>0</v>
      </c>
    </row>
    <row r="101" spans="1:7" s="267" customFormat="1" ht="12" customHeight="1" x14ac:dyDescent="0.3">
      <c r="A101" s="260" t="s">
        <v>225</v>
      </c>
      <c r="B101" s="251" t="s">
        <v>288</v>
      </c>
      <c r="C101" s="246"/>
      <c r="D101" s="247"/>
      <c r="E101" s="248"/>
      <c r="F101" s="249"/>
      <c r="G101" s="250"/>
    </row>
    <row r="102" spans="1:7" s="267" customFormat="1" ht="12" customHeight="1" x14ac:dyDescent="0.3">
      <c r="A102" s="258"/>
      <c r="B102" s="252" t="s">
        <v>219</v>
      </c>
      <c r="C102" s="247" t="s">
        <v>0</v>
      </c>
      <c r="D102" s="247">
        <v>2</v>
      </c>
      <c r="E102" s="248"/>
      <c r="F102" s="249"/>
      <c r="G102" s="250">
        <f t="shared" si="16"/>
        <v>0</v>
      </c>
    </row>
    <row r="103" spans="1:7" ht="12" customHeight="1" x14ac:dyDescent="0.3">
      <c r="A103" s="245" t="s">
        <v>289</v>
      </c>
      <c r="B103" s="246" t="s">
        <v>290</v>
      </c>
      <c r="C103" s="246"/>
      <c r="D103" s="247"/>
      <c r="E103" s="248"/>
      <c r="F103" s="249"/>
      <c r="G103" s="250"/>
    </row>
    <row r="104" spans="1:7" ht="12" customHeight="1" x14ac:dyDescent="0.3">
      <c r="A104" s="260" t="s">
        <v>209</v>
      </c>
      <c r="B104" s="251" t="s">
        <v>291</v>
      </c>
      <c r="C104" s="247"/>
      <c r="D104" s="247"/>
      <c r="E104" s="248"/>
      <c r="F104" s="249"/>
      <c r="G104" s="250"/>
    </row>
    <row r="105" spans="1:7" ht="12" customHeight="1" x14ac:dyDescent="0.3">
      <c r="A105" s="257"/>
      <c r="B105" s="252" t="s">
        <v>219</v>
      </c>
      <c r="C105" s="247" t="s">
        <v>0</v>
      </c>
      <c r="D105" s="247">
        <v>1</v>
      </c>
      <c r="E105" s="248"/>
      <c r="F105" s="249"/>
      <c r="G105" s="250">
        <f t="shared" si="16"/>
        <v>0</v>
      </c>
    </row>
    <row r="106" spans="1:7" ht="12" customHeight="1" x14ac:dyDescent="0.3">
      <c r="A106" s="260" t="s">
        <v>212</v>
      </c>
      <c r="B106" s="251" t="s">
        <v>292</v>
      </c>
      <c r="C106" s="247"/>
      <c r="D106" s="247"/>
      <c r="E106" s="248"/>
      <c r="F106" s="249"/>
      <c r="G106" s="250"/>
    </row>
    <row r="107" spans="1:7" ht="12" customHeight="1" x14ac:dyDescent="0.3">
      <c r="A107" s="257"/>
      <c r="B107" s="252" t="s">
        <v>219</v>
      </c>
      <c r="C107" s="247" t="s">
        <v>0</v>
      </c>
      <c r="D107" s="247">
        <v>1</v>
      </c>
      <c r="E107" s="248"/>
      <c r="F107" s="249"/>
      <c r="G107" s="250">
        <f t="shared" ref="G107:G138" si="18">D107*E107</f>
        <v>0</v>
      </c>
    </row>
    <row r="108" spans="1:7" ht="13.5" customHeight="1" x14ac:dyDescent="0.3">
      <c r="A108" s="256" t="s">
        <v>225</v>
      </c>
      <c r="B108" s="251" t="s">
        <v>293</v>
      </c>
      <c r="C108" s="246"/>
      <c r="D108" s="247"/>
      <c r="E108" s="248"/>
      <c r="F108" s="249"/>
      <c r="G108" s="250"/>
    </row>
    <row r="109" spans="1:7" ht="12" customHeight="1" x14ac:dyDescent="0.3">
      <c r="A109" s="256"/>
      <c r="B109" s="252" t="s">
        <v>219</v>
      </c>
      <c r="C109" s="247" t="s">
        <v>0</v>
      </c>
      <c r="D109" s="247">
        <v>209</v>
      </c>
      <c r="E109" s="248"/>
      <c r="F109" s="249"/>
      <c r="G109" s="250">
        <f t="shared" si="18"/>
        <v>0</v>
      </c>
    </row>
    <row r="110" spans="1:7" ht="12" customHeight="1" x14ac:dyDescent="0.3">
      <c r="A110" s="256" t="s">
        <v>227</v>
      </c>
      <c r="B110" s="251" t="s">
        <v>294</v>
      </c>
      <c r="C110" s="246"/>
      <c r="D110" s="247"/>
      <c r="E110" s="248"/>
      <c r="F110" s="249"/>
      <c r="G110" s="250"/>
    </row>
    <row r="111" spans="1:7" ht="12" customHeight="1" x14ac:dyDescent="0.3">
      <c r="A111" s="256"/>
      <c r="B111" s="252" t="s">
        <v>219</v>
      </c>
      <c r="C111" s="247" t="s">
        <v>0</v>
      </c>
      <c r="D111" s="247">
        <v>36</v>
      </c>
      <c r="E111" s="248"/>
      <c r="F111" s="249"/>
      <c r="G111" s="250">
        <f t="shared" si="18"/>
        <v>0</v>
      </c>
    </row>
    <row r="112" spans="1:7" ht="12" customHeight="1" x14ac:dyDescent="0.3">
      <c r="A112" s="256" t="s">
        <v>229</v>
      </c>
      <c r="B112" s="251" t="s">
        <v>295</v>
      </c>
      <c r="C112" s="247"/>
      <c r="D112" s="247"/>
      <c r="E112" s="248"/>
      <c r="F112" s="249"/>
      <c r="G112" s="250"/>
    </row>
    <row r="113" spans="1:7" ht="12" customHeight="1" x14ac:dyDescent="0.3">
      <c r="A113" s="257"/>
      <c r="B113" s="252" t="s">
        <v>219</v>
      </c>
      <c r="C113" s="247" t="s">
        <v>0</v>
      </c>
      <c r="D113" s="247">
        <v>36</v>
      </c>
      <c r="E113" s="248"/>
      <c r="F113" s="249"/>
      <c r="G113" s="250">
        <f t="shared" si="18"/>
        <v>0</v>
      </c>
    </row>
    <row r="114" spans="1:7" ht="12" customHeight="1" x14ac:dyDescent="0.3">
      <c r="A114" s="245" t="s">
        <v>296</v>
      </c>
      <c r="B114" s="246" t="s">
        <v>297</v>
      </c>
      <c r="C114" s="246"/>
      <c r="D114" s="247"/>
      <c r="E114" s="248"/>
      <c r="F114" s="249"/>
      <c r="G114" s="250"/>
    </row>
    <row r="115" spans="1:7" ht="12" customHeight="1" x14ac:dyDescent="0.3">
      <c r="A115" s="245"/>
      <c r="B115" s="252" t="s">
        <v>219</v>
      </c>
      <c r="C115" s="247" t="s">
        <v>0</v>
      </c>
      <c r="D115" s="247">
        <v>1</v>
      </c>
      <c r="E115" s="248"/>
      <c r="F115" s="249"/>
      <c r="G115" s="250">
        <f t="shared" si="18"/>
        <v>0</v>
      </c>
    </row>
    <row r="116" spans="1:7" ht="12" customHeight="1" x14ac:dyDescent="0.3">
      <c r="A116" s="245" t="s">
        <v>298</v>
      </c>
      <c r="B116" s="246" t="s">
        <v>299</v>
      </c>
      <c r="C116" s="246"/>
      <c r="D116" s="247"/>
      <c r="E116" s="248"/>
      <c r="F116" s="249"/>
      <c r="G116" s="250"/>
    </row>
    <row r="117" spans="1:7" ht="12" customHeight="1" x14ac:dyDescent="0.3">
      <c r="A117" s="260" t="s">
        <v>209</v>
      </c>
      <c r="B117" s="269" t="s">
        <v>300</v>
      </c>
      <c r="C117" s="247"/>
      <c r="D117" s="247"/>
      <c r="E117" s="248"/>
      <c r="F117" s="249"/>
      <c r="G117" s="250"/>
    </row>
    <row r="118" spans="1:7" ht="12" customHeight="1" x14ac:dyDescent="0.3">
      <c r="A118" s="257"/>
      <c r="B118" s="252" t="s">
        <v>219</v>
      </c>
      <c r="C118" s="247" t="s">
        <v>0</v>
      </c>
      <c r="D118" s="247">
        <v>1</v>
      </c>
      <c r="E118" s="248"/>
      <c r="F118" s="249"/>
      <c r="G118" s="250">
        <f t="shared" si="18"/>
        <v>0</v>
      </c>
    </row>
    <row r="119" spans="1:7" ht="12" customHeight="1" x14ac:dyDescent="0.3">
      <c r="A119" s="245" t="s">
        <v>301</v>
      </c>
      <c r="B119" s="246" t="s">
        <v>302</v>
      </c>
      <c r="C119" s="246"/>
      <c r="D119" s="247"/>
      <c r="E119" s="248"/>
      <c r="F119" s="249"/>
      <c r="G119" s="250"/>
    </row>
    <row r="120" spans="1:7" ht="12" customHeight="1" x14ac:dyDescent="0.3">
      <c r="A120" s="257" t="s">
        <v>209</v>
      </c>
      <c r="B120" s="269" t="s">
        <v>303</v>
      </c>
      <c r="C120" s="247"/>
      <c r="D120" s="247"/>
      <c r="E120" s="248"/>
      <c r="F120" s="249"/>
      <c r="G120" s="250"/>
    </row>
    <row r="121" spans="1:7" ht="12" customHeight="1" x14ac:dyDescent="0.3">
      <c r="A121" s="260"/>
      <c r="B121" s="252" t="s">
        <v>219</v>
      </c>
      <c r="C121" s="247" t="s">
        <v>0</v>
      </c>
      <c r="D121" s="247">
        <v>8</v>
      </c>
      <c r="E121" s="248"/>
      <c r="F121" s="249"/>
      <c r="G121" s="250">
        <f t="shared" si="18"/>
        <v>0</v>
      </c>
    </row>
    <row r="122" spans="1:7" ht="12" customHeight="1" x14ac:dyDescent="0.3">
      <c r="A122" s="257" t="s">
        <v>212</v>
      </c>
      <c r="B122" s="269" t="s">
        <v>304</v>
      </c>
      <c r="C122" s="247"/>
      <c r="D122" s="247"/>
      <c r="E122" s="248"/>
      <c r="F122" s="249"/>
      <c r="G122" s="250"/>
    </row>
    <row r="123" spans="1:7" ht="12" customHeight="1" x14ac:dyDescent="0.3">
      <c r="A123" s="260"/>
      <c r="B123" s="252" t="s">
        <v>240</v>
      </c>
      <c r="C123" s="247" t="s">
        <v>133</v>
      </c>
      <c r="D123" s="247">
        <v>260</v>
      </c>
      <c r="E123" s="248"/>
      <c r="F123" s="249"/>
      <c r="G123" s="250">
        <f t="shared" si="18"/>
        <v>0</v>
      </c>
    </row>
    <row r="124" spans="1:7" ht="12" customHeight="1" x14ac:dyDescent="0.3">
      <c r="A124" s="245" t="s">
        <v>305</v>
      </c>
      <c r="B124" s="246" t="s">
        <v>306</v>
      </c>
      <c r="C124" s="246"/>
      <c r="D124" s="247"/>
      <c r="E124" s="248"/>
      <c r="F124" s="249"/>
      <c r="G124" s="250"/>
    </row>
    <row r="125" spans="1:7" ht="12" customHeight="1" x14ac:dyDescent="0.3">
      <c r="A125" s="270"/>
      <c r="B125" s="271" t="s">
        <v>219</v>
      </c>
      <c r="C125" s="263" t="s">
        <v>0</v>
      </c>
      <c r="D125" s="263">
        <v>1</v>
      </c>
      <c r="E125" s="264"/>
      <c r="F125" s="265"/>
      <c r="G125" s="266">
        <f t="shared" si="18"/>
        <v>0</v>
      </c>
    </row>
    <row r="126" spans="1:7" ht="12" customHeight="1" x14ac:dyDescent="0.3">
      <c r="A126" s="245" t="s">
        <v>307</v>
      </c>
      <c r="B126" s="246" t="s">
        <v>308</v>
      </c>
      <c r="C126" s="246"/>
      <c r="D126" s="247"/>
      <c r="E126" s="248"/>
      <c r="F126" s="249"/>
      <c r="G126" s="250"/>
    </row>
    <row r="127" spans="1:7" ht="12" customHeight="1" x14ac:dyDescent="0.3">
      <c r="A127" s="260" t="s">
        <v>209</v>
      </c>
      <c r="B127" s="269" t="s">
        <v>309</v>
      </c>
      <c r="C127" s="247"/>
      <c r="D127" s="247"/>
      <c r="E127" s="248"/>
      <c r="F127" s="249"/>
      <c r="G127" s="250"/>
    </row>
    <row r="128" spans="1:7" ht="12" customHeight="1" x14ac:dyDescent="0.3">
      <c r="A128" s="257"/>
      <c r="B128" s="252" t="s">
        <v>240</v>
      </c>
      <c r="C128" s="247" t="s">
        <v>133</v>
      </c>
      <c r="D128" s="247">
        <v>260</v>
      </c>
      <c r="E128" s="248"/>
      <c r="F128" s="249"/>
      <c r="G128" s="250">
        <f t="shared" si="18"/>
        <v>0</v>
      </c>
    </row>
    <row r="129" spans="1:7" ht="12" customHeight="1" x14ac:dyDescent="0.3">
      <c r="A129" s="260" t="s">
        <v>212</v>
      </c>
      <c r="B129" s="269" t="s">
        <v>310</v>
      </c>
      <c r="C129" s="247"/>
      <c r="D129" s="247"/>
      <c r="E129" s="248"/>
      <c r="F129" s="249"/>
      <c r="G129" s="250"/>
    </row>
    <row r="130" spans="1:7" ht="12" customHeight="1" x14ac:dyDescent="0.3">
      <c r="A130" s="257"/>
      <c r="B130" s="252" t="s">
        <v>240</v>
      </c>
      <c r="C130" s="247" t="s">
        <v>133</v>
      </c>
      <c r="D130" s="247">
        <v>350</v>
      </c>
      <c r="E130" s="248"/>
      <c r="F130" s="249"/>
      <c r="G130" s="250">
        <f t="shared" si="18"/>
        <v>0</v>
      </c>
    </row>
    <row r="131" spans="1:7" ht="12" customHeight="1" x14ac:dyDescent="0.3">
      <c r="A131" s="260" t="s">
        <v>225</v>
      </c>
      <c r="B131" s="269" t="s">
        <v>311</v>
      </c>
      <c r="C131" s="247"/>
      <c r="D131" s="247"/>
      <c r="E131" s="248"/>
      <c r="F131" s="249"/>
      <c r="G131" s="250"/>
    </row>
    <row r="132" spans="1:7" ht="12" customHeight="1" x14ac:dyDescent="0.3">
      <c r="A132" s="257"/>
      <c r="B132" s="252" t="s">
        <v>240</v>
      </c>
      <c r="C132" s="247" t="s">
        <v>133</v>
      </c>
      <c r="D132" s="247">
        <v>350</v>
      </c>
      <c r="E132" s="248"/>
      <c r="F132" s="249"/>
      <c r="G132" s="250">
        <f t="shared" si="18"/>
        <v>0</v>
      </c>
    </row>
    <row r="133" spans="1:7" ht="12" customHeight="1" x14ac:dyDescent="0.3">
      <c r="A133" s="245" t="s">
        <v>312</v>
      </c>
      <c r="B133" s="246" t="s">
        <v>313</v>
      </c>
      <c r="C133" s="246"/>
      <c r="D133" s="247"/>
      <c r="E133" s="248"/>
      <c r="F133" s="249"/>
      <c r="G133" s="250"/>
    </row>
    <row r="134" spans="1:7" ht="12" customHeight="1" x14ac:dyDescent="0.3">
      <c r="A134" s="256" t="s">
        <v>209</v>
      </c>
      <c r="B134" s="269" t="s">
        <v>314</v>
      </c>
      <c r="C134" s="247"/>
      <c r="D134" s="247"/>
      <c r="E134" s="248"/>
      <c r="F134" s="249"/>
      <c r="G134" s="250"/>
    </row>
    <row r="135" spans="1:7" ht="12" customHeight="1" x14ac:dyDescent="0.3">
      <c r="A135" s="256"/>
      <c r="B135" s="252" t="s">
        <v>219</v>
      </c>
      <c r="C135" s="247" t="s">
        <v>0</v>
      </c>
      <c r="D135" s="247">
        <v>10</v>
      </c>
      <c r="E135" s="248"/>
      <c r="F135" s="249"/>
      <c r="G135" s="250">
        <f t="shared" si="18"/>
        <v>0</v>
      </c>
    </row>
    <row r="136" spans="1:7" ht="12" customHeight="1" x14ac:dyDescent="0.3">
      <c r="A136" s="245" t="s">
        <v>315</v>
      </c>
      <c r="B136" s="246" t="s">
        <v>316</v>
      </c>
      <c r="C136" s="246"/>
      <c r="D136" s="247"/>
      <c r="E136" s="248"/>
      <c r="F136" s="249"/>
      <c r="G136" s="250"/>
    </row>
    <row r="137" spans="1:7" ht="12" customHeight="1" x14ac:dyDescent="0.3">
      <c r="A137" s="256" t="s">
        <v>209</v>
      </c>
      <c r="B137" s="269" t="s">
        <v>317</v>
      </c>
      <c r="C137" s="247"/>
      <c r="D137" s="247"/>
      <c r="E137" s="248"/>
      <c r="F137" s="249"/>
      <c r="G137" s="250"/>
    </row>
    <row r="138" spans="1:7" ht="12" customHeight="1" x14ac:dyDescent="0.3">
      <c r="A138" s="236"/>
      <c r="B138" s="252" t="s">
        <v>219</v>
      </c>
      <c r="C138" s="247" t="s">
        <v>0</v>
      </c>
      <c r="D138" s="247">
        <v>1</v>
      </c>
      <c r="E138" s="248"/>
      <c r="F138" s="249"/>
      <c r="G138" s="250">
        <f t="shared" si="18"/>
        <v>0</v>
      </c>
    </row>
    <row r="139" spans="1:7" ht="12" customHeight="1" x14ac:dyDescent="0.3">
      <c r="A139" s="245" t="s">
        <v>318</v>
      </c>
      <c r="B139" s="246" t="s">
        <v>319</v>
      </c>
      <c r="C139" s="246"/>
      <c r="D139" s="247"/>
      <c r="E139" s="248"/>
      <c r="F139" s="249"/>
      <c r="G139" s="250"/>
    </row>
    <row r="140" spans="1:7" ht="12" customHeight="1" x14ac:dyDescent="0.3">
      <c r="A140" s="258"/>
      <c r="B140" s="252" t="s">
        <v>219</v>
      </c>
      <c r="C140" s="247" t="s">
        <v>0</v>
      </c>
      <c r="D140" s="247">
        <v>1</v>
      </c>
      <c r="E140" s="248"/>
      <c r="F140" s="249"/>
      <c r="G140" s="250">
        <f t="shared" ref="G140" si="19">D140*E140</f>
        <v>0</v>
      </c>
    </row>
    <row r="141" spans="1:7" ht="12" customHeight="1" x14ac:dyDescent="0.3">
      <c r="A141" s="258"/>
      <c r="B141" s="252"/>
      <c r="C141" s="247"/>
      <c r="D141" s="247"/>
      <c r="E141" s="248"/>
      <c r="F141" s="249"/>
      <c r="G141" s="250"/>
    </row>
    <row r="142" spans="1:7" ht="16.5" customHeight="1" x14ac:dyDescent="0.3">
      <c r="A142" s="272"/>
      <c r="B142" s="547" t="s">
        <v>320</v>
      </c>
      <c r="C142" s="548"/>
      <c r="D142" s="548"/>
      <c r="E142" s="548"/>
      <c r="F142" s="549"/>
      <c r="G142" s="273">
        <f>+SUM(G7:G140)</f>
        <v>0</v>
      </c>
    </row>
    <row r="143" spans="1:7" ht="12" customHeight="1" x14ac:dyDescent="0.3">
      <c r="A143" s="256"/>
      <c r="B143" s="252"/>
      <c r="C143" s="247"/>
      <c r="D143" s="247"/>
      <c r="E143" s="248"/>
      <c r="F143" s="249"/>
      <c r="G143" s="250"/>
    </row>
    <row r="144" spans="1:7" s="274" customFormat="1" x14ac:dyDescent="0.3">
      <c r="A144" s="423" t="s">
        <v>321</v>
      </c>
      <c r="B144" s="424" t="s">
        <v>322</v>
      </c>
      <c r="C144" s="247"/>
      <c r="D144" s="247"/>
      <c r="E144" s="248"/>
      <c r="F144" s="249"/>
      <c r="G144" s="250"/>
    </row>
    <row r="145" spans="1:7" s="274" customFormat="1" x14ac:dyDescent="0.3">
      <c r="A145" s="245" t="s">
        <v>323</v>
      </c>
      <c r="B145" s="275" t="s">
        <v>324</v>
      </c>
      <c r="C145" s="276"/>
      <c r="D145" s="277"/>
      <c r="E145" s="277"/>
      <c r="F145" s="278"/>
      <c r="G145" s="279"/>
    </row>
    <row r="146" spans="1:7" s="274" customFormat="1" x14ac:dyDescent="0.3">
      <c r="A146" s="245" t="s">
        <v>325</v>
      </c>
      <c r="B146" s="246" t="s">
        <v>326</v>
      </c>
      <c r="C146" s="246"/>
      <c r="D146" s="280"/>
      <c r="E146" s="280"/>
      <c r="F146" s="249"/>
      <c r="G146" s="281"/>
    </row>
    <row r="147" spans="1:7" s="274" customFormat="1" x14ac:dyDescent="0.3">
      <c r="A147" s="258"/>
      <c r="B147" s="252" t="s">
        <v>219</v>
      </c>
      <c r="C147" s="247" t="s">
        <v>0</v>
      </c>
      <c r="D147" s="247">
        <v>1</v>
      </c>
      <c r="E147" s="248"/>
      <c r="F147" s="249"/>
      <c r="G147" s="282">
        <f>D147*E147</f>
        <v>0</v>
      </c>
    </row>
    <row r="148" spans="1:7" s="274" customFormat="1" x14ac:dyDescent="0.3">
      <c r="A148" s="245" t="s">
        <v>327</v>
      </c>
      <c r="B148" s="246" t="s">
        <v>328</v>
      </c>
      <c r="C148" s="246"/>
      <c r="D148" s="247"/>
      <c r="E148" s="280"/>
      <c r="F148" s="249"/>
      <c r="G148" s="282"/>
    </row>
    <row r="149" spans="1:7" s="274" customFormat="1" x14ac:dyDescent="0.3">
      <c r="A149" s="258"/>
      <c r="B149" s="252" t="s">
        <v>219</v>
      </c>
      <c r="C149" s="247" t="s">
        <v>0</v>
      </c>
      <c r="D149" s="247">
        <v>3</v>
      </c>
      <c r="E149" s="248"/>
      <c r="F149" s="249"/>
      <c r="G149" s="282">
        <f t="shared" ref="G149:G164" si="20">D149*E149</f>
        <v>0</v>
      </c>
    </row>
    <row r="150" spans="1:7" s="274" customFormat="1" x14ac:dyDescent="0.3">
      <c r="A150" s="245" t="s">
        <v>329</v>
      </c>
      <c r="B150" s="246" t="s">
        <v>330</v>
      </c>
      <c r="C150" s="246"/>
      <c r="D150" s="247"/>
      <c r="E150" s="280"/>
      <c r="F150" s="249"/>
      <c r="G150" s="282"/>
    </row>
    <row r="151" spans="1:7" s="274" customFormat="1" x14ac:dyDescent="0.3">
      <c r="A151" s="258" t="s">
        <v>209</v>
      </c>
      <c r="B151" s="251" t="s">
        <v>331</v>
      </c>
      <c r="C151" s="246"/>
      <c r="D151" s="247"/>
      <c r="E151" s="280"/>
      <c r="F151" s="283"/>
      <c r="G151" s="282"/>
    </row>
    <row r="152" spans="1:7" s="274" customFormat="1" x14ac:dyDescent="0.3">
      <c r="A152" s="260"/>
      <c r="B152" s="252" t="s">
        <v>219</v>
      </c>
      <c r="C152" s="247" t="s">
        <v>0</v>
      </c>
      <c r="D152" s="247">
        <v>1</v>
      </c>
      <c r="E152" s="248"/>
      <c r="F152" s="249"/>
      <c r="G152" s="282">
        <f t="shared" si="20"/>
        <v>0</v>
      </c>
    </row>
    <row r="153" spans="1:7" s="274" customFormat="1" x14ac:dyDescent="0.3">
      <c r="A153" s="258" t="s">
        <v>212</v>
      </c>
      <c r="B153" s="251" t="s">
        <v>332</v>
      </c>
      <c r="C153" s="246"/>
      <c r="D153" s="247"/>
      <c r="E153" s="280"/>
      <c r="F153" s="283"/>
      <c r="G153" s="282"/>
    </row>
    <row r="154" spans="1:7" s="274" customFormat="1" x14ac:dyDescent="0.3">
      <c r="A154" s="260"/>
      <c r="B154" s="252" t="s">
        <v>219</v>
      </c>
      <c r="C154" s="247" t="s">
        <v>0</v>
      </c>
      <c r="D154" s="247">
        <v>3</v>
      </c>
      <c r="E154" s="248"/>
      <c r="F154" s="249"/>
      <c r="G154" s="282">
        <f t="shared" si="20"/>
        <v>0</v>
      </c>
    </row>
    <row r="155" spans="1:7" s="274" customFormat="1" x14ac:dyDescent="0.3">
      <c r="A155" s="236" t="s">
        <v>225</v>
      </c>
      <c r="B155" s="251" t="s">
        <v>333</v>
      </c>
      <c r="C155" s="246"/>
      <c r="D155" s="247"/>
      <c r="E155" s="248"/>
      <c r="F155" s="283"/>
      <c r="G155" s="282"/>
    </row>
    <row r="156" spans="1:7" s="274" customFormat="1" x14ac:dyDescent="0.3">
      <c r="A156" s="236"/>
      <c r="B156" s="252" t="s">
        <v>219</v>
      </c>
      <c r="C156" s="247" t="s">
        <v>0</v>
      </c>
      <c r="D156" s="247">
        <v>36</v>
      </c>
      <c r="E156" s="248"/>
      <c r="F156" s="249"/>
      <c r="G156" s="282">
        <f>D156*E156</f>
        <v>0</v>
      </c>
    </row>
    <row r="157" spans="1:7" s="274" customFormat="1" x14ac:dyDescent="0.3">
      <c r="A157" s="258" t="s">
        <v>227</v>
      </c>
      <c r="B157" s="251" t="s">
        <v>334</v>
      </c>
      <c r="C157" s="246"/>
      <c r="D157" s="247"/>
      <c r="E157" s="280"/>
      <c r="F157" s="283"/>
      <c r="G157" s="282"/>
    </row>
    <row r="158" spans="1:7" s="274" customFormat="1" x14ac:dyDescent="0.3">
      <c r="A158" s="260"/>
      <c r="B158" s="252" t="s">
        <v>219</v>
      </c>
      <c r="C158" s="247" t="s">
        <v>0</v>
      </c>
      <c r="D158" s="247">
        <v>1</v>
      </c>
      <c r="E158" s="248"/>
      <c r="F158" s="249"/>
      <c r="G158" s="282">
        <f t="shared" si="20"/>
        <v>0</v>
      </c>
    </row>
    <row r="159" spans="1:7" s="274" customFormat="1" x14ac:dyDescent="0.3">
      <c r="A159" s="258" t="s">
        <v>229</v>
      </c>
      <c r="B159" s="251" t="s">
        <v>335</v>
      </c>
      <c r="C159" s="246"/>
      <c r="D159" s="247"/>
      <c r="E159" s="280"/>
      <c r="F159" s="283"/>
      <c r="G159" s="282"/>
    </row>
    <row r="160" spans="1:7" s="274" customFormat="1" x14ac:dyDescent="0.3">
      <c r="A160" s="236"/>
      <c r="B160" s="252" t="s">
        <v>219</v>
      </c>
      <c r="C160" s="247" t="s">
        <v>0</v>
      </c>
      <c r="D160" s="247">
        <v>3</v>
      </c>
      <c r="E160" s="248"/>
      <c r="F160" s="249"/>
      <c r="G160" s="282">
        <f t="shared" si="20"/>
        <v>0</v>
      </c>
    </row>
    <row r="161" spans="1:7" s="274" customFormat="1" x14ac:dyDescent="0.3">
      <c r="A161" s="236" t="s">
        <v>231</v>
      </c>
      <c r="B161" s="251" t="s">
        <v>336</v>
      </c>
      <c r="C161" s="246"/>
      <c r="D161" s="247"/>
      <c r="E161" s="248"/>
      <c r="F161" s="283"/>
      <c r="G161" s="282"/>
    </row>
    <row r="162" spans="1:7" s="274" customFormat="1" x14ac:dyDescent="0.3">
      <c r="A162" s="236"/>
      <c r="B162" s="252" t="s">
        <v>219</v>
      </c>
      <c r="C162" s="247" t="s">
        <v>0</v>
      </c>
      <c r="D162" s="247">
        <v>1</v>
      </c>
      <c r="E162" s="248"/>
      <c r="F162" s="249"/>
      <c r="G162" s="282">
        <f t="shared" si="20"/>
        <v>0</v>
      </c>
    </row>
    <row r="163" spans="1:7" s="274" customFormat="1" x14ac:dyDescent="0.3">
      <c r="A163" s="260" t="s">
        <v>233</v>
      </c>
      <c r="B163" s="251" t="s">
        <v>337</v>
      </c>
      <c r="C163" s="246"/>
      <c r="D163" s="247"/>
      <c r="E163" s="248"/>
      <c r="F163" s="283"/>
      <c r="G163" s="282"/>
    </row>
    <row r="164" spans="1:7" s="274" customFormat="1" x14ac:dyDescent="0.3">
      <c r="A164" s="258"/>
      <c r="B164" s="252" t="s">
        <v>219</v>
      </c>
      <c r="C164" s="247" t="s">
        <v>0</v>
      </c>
      <c r="D164" s="247">
        <v>3</v>
      </c>
      <c r="E164" s="248"/>
      <c r="F164" s="249"/>
      <c r="G164" s="282">
        <f t="shared" si="20"/>
        <v>0</v>
      </c>
    </row>
    <row r="165" spans="1:7" s="274" customFormat="1" x14ac:dyDescent="0.3">
      <c r="A165" s="245" t="s">
        <v>338</v>
      </c>
      <c r="B165" s="246" t="s">
        <v>339</v>
      </c>
      <c r="C165" s="247"/>
      <c r="D165" s="247"/>
      <c r="E165" s="280"/>
      <c r="F165" s="249"/>
      <c r="G165" s="282"/>
    </row>
    <row r="166" spans="1:7" s="274" customFormat="1" x14ac:dyDescent="0.3">
      <c r="A166" s="258" t="s">
        <v>209</v>
      </c>
      <c r="B166" s="251" t="s">
        <v>340</v>
      </c>
      <c r="C166" s="246"/>
      <c r="D166" s="247"/>
      <c r="E166" s="248"/>
      <c r="F166" s="249"/>
      <c r="G166" s="282"/>
    </row>
    <row r="167" spans="1:7" s="274" customFormat="1" x14ac:dyDescent="0.3">
      <c r="A167" s="260"/>
      <c r="B167" s="252" t="s">
        <v>219</v>
      </c>
      <c r="C167" s="247" t="s">
        <v>0</v>
      </c>
      <c r="D167" s="247">
        <v>6</v>
      </c>
      <c r="E167" s="248"/>
      <c r="F167" s="249"/>
      <c r="G167" s="282">
        <f t="shared" ref="G167" si="21">D167*E167</f>
        <v>0</v>
      </c>
    </row>
    <row r="168" spans="1:7" s="274" customFormat="1" x14ac:dyDescent="0.3">
      <c r="A168" s="245" t="s">
        <v>341</v>
      </c>
      <c r="B168" s="246" t="s">
        <v>342</v>
      </c>
      <c r="C168" s="247"/>
      <c r="D168" s="247"/>
      <c r="E168" s="277"/>
      <c r="F168" s="249"/>
      <c r="G168" s="282"/>
    </row>
    <row r="169" spans="1:7" s="274" customFormat="1" x14ac:dyDescent="0.3">
      <c r="A169" s="260"/>
      <c r="B169" s="252" t="s">
        <v>219</v>
      </c>
      <c r="C169" s="247" t="s">
        <v>0</v>
      </c>
      <c r="D169" s="247">
        <v>1</v>
      </c>
      <c r="E169" s="248"/>
      <c r="F169" s="249"/>
      <c r="G169" s="282">
        <f t="shared" ref="G169:G173" si="22">D169*E169</f>
        <v>0</v>
      </c>
    </row>
    <row r="170" spans="1:7" s="274" customFormat="1" x14ac:dyDescent="0.3">
      <c r="A170" s="245" t="s">
        <v>343</v>
      </c>
      <c r="B170" s="246" t="s">
        <v>344</v>
      </c>
      <c r="C170" s="247"/>
      <c r="D170" s="247"/>
      <c r="E170" s="280"/>
      <c r="F170" s="249"/>
      <c r="G170" s="282"/>
    </row>
    <row r="171" spans="1:7" s="274" customFormat="1" x14ac:dyDescent="0.3">
      <c r="A171" s="260"/>
      <c r="B171" s="252" t="s">
        <v>345</v>
      </c>
      <c r="C171" s="247" t="s">
        <v>133</v>
      </c>
      <c r="D171" s="247">
        <v>2160</v>
      </c>
      <c r="E171" s="248"/>
      <c r="F171" s="249"/>
      <c r="G171" s="282">
        <f t="shared" si="22"/>
        <v>0</v>
      </c>
    </row>
    <row r="172" spans="1:7" s="274" customFormat="1" x14ac:dyDescent="0.3">
      <c r="A172" s="245" t="s">
        <v>346</v>
      </c>
      <c r="B172" s="246" t="s">
        <v>347</v>
      </c>
      <c r="C172" s="246"/>
      <c r="D172" s="247"/>
      <c r="E172" s="280"/>
      <c r="F172" s="249"/>
      <c r="G172" s="282"/>
    </row>
    <row r="173" spans="1:7" s="274" customFormat="1" x14ac:dyDescent="0.3">
      <c r="A173" s="284"/>
      <c r="B173" s="271" t="s">
        <v>345</v>
      </c>
      <c r="C173" s="263" t="s">
        <v>133</v>
      </c>
      <c r="D173" s="263">
        <v>180</v>
      </c>
      <c r="E173" s="264"/>
      <c r="F173" s="265"/>
      <c r="G173" s="285">
        <f t="shared" si="22"/>
        <v>0</v>
      </c>
    </row>
    <row r="174" spans="1:7" s="274" customFormat="1" x14ac:dyDescent="0.3">
      <c r="A174" s="245"/>
      <c r="B174" s="252"/>
      <c r="C174" s="247"/>
      <c r="D174" s="247"/>
      <c r="E174" s="248"/>
      <c r="F174" s="249"/>
      <c r="G174" s="282"/>
    </row>
    <row r="175" spans="1:7" s="274" customFormat="1" x14ac:dyDescent="0.3">
      <c r="A175" s="425" t="s">
        <v>348</v>
      </c>
      <c r="B175" s="426" t="s">
        <v>349</v>
      </c>
      <c r="C175" s="276"/>
      <c r="D175" s="277"/>
      <c r="E175" s="277"/>
      <c r="F175" s="278"/>
      <c r="G175" s="279"/>
    </row>
    <row r="176" spans="1:7" s="274" customFormat="1" x14ac:dyDescent="0.3">
      <c r="A176" s="245" t="s">
        <v>350</v>
      </c>
      <c r="B176" s="246" t="s">
        <v>351</v>
      </c>
      <c r="C176" s="246"/>
      <c r="D176" s="280"/>
      <c r="E176" s="248"/>
      <c r="F176" s="249"/>
      <c r="G176" s="282"/>
    </row>
    <row r="177" spans="1:7" s="274" customFormat="1" x14ac:dyDescent="0.3">
      <c r="A177" s="245"/>
      <c r="B177" s="252" t="s">
        <v>352</v>
      </c>
      <c r="C177" s="247" t="s">
        <v>0</v>
      </c>
      <c r="D177" s="247">
        <v>1</v>
      </c>
      <c r="E177" s="248"/>
      <c r="F177" s="249"/>
      <c r="G177" s="282">
        <f t="shared" ref="G177:G184" si="23">D177*E177</f>
        <v>0</v>
      </c>
    </row>
    <row r="178" spans="1:7" s="274" customFormat="1" x14ac:dyDescent="0.3">
      <c r="A178" s="245" t="s">
        <v>353</v>
      </c>
      <c r="B178" s="246" t="s">
        <v>354</v>
      </c>
      <c r="C178" s="246"/>
      <c r="D178" s="247"/>
      <c r="E178" s="248"/>
      <c r="F178" s="249"/>
      <c r="G178" s="282"/>
    </row>
    <row r="179" spans="1:7" s="274" customFormat="1" x14ac:dyDescent="0.3">
      <c r="A179" s="245"/>
      <c r="B179" s="252" t="s">
        <v>355</v>
      </c>
      <c r="C179" s="247" t="s">
        <v>0</v>
      </c>
      <c r="D179" s="247">
        <v>1</v>
      </c>
      <c r="E179" s="248"/>
      <c r="F179" s="249"/>
      <c r="G179" s="282">
        <f t="shared" ref="G179" si="24">D179*E179</f>
        <v>0</v>
      </c>
    </row>
    <row r="180" spans="1:7" s="274" customFormat="1" x14ac:dyDescent="0.3">
      <c r="A180" s="245" t="s">
        <v>356</v>
      </c>
      <c r="B180" s="246" t="s">
        <v>357</v>
      </c>
      <c r="C180" s="246"/>
      <c r="D180" s="247"/>
      <c r="E180" s="248"/>
      <c r="F180" s="249"/>
      <c r="G180" s="282"/>
    </row>
    <row r="181" spans="1:7" s="274" customFormat="1" x14ac:dyDescent="0.3">
      <c r="A181" s="245" t="s">
        <v>209</v>
      </c>
      <c r="B181" s="251" t="s">
        <v>358</v>
      </c>
      <c r="C181" s="246"/>
      <c r="D181" s="247"/>
      <c r="E181" s="248"/>
      <c r="F181" s="283"/>
      <c r="G181" s="282"/>
    </row>
    <row r="182" spans="1:7" s="274" customFormat="1" x14ac:dyDescent="0.3">
      <c r="A182" s="245"/>
      <c r="B182" s="252" t="s">
        <v>355</v>
      </c>
      <c r="C182" s="247" t="s">
        <v>0</v>
      </c>
      <c r="D182" s="247">
        <v>125</v>
      </c>
      <c r="E182" s="248"/>
      <c r="F182" s="249"/>
      <c r="G182" s="282">
        <f t="shared" si="23"/>
        <v>0</v>
      </c>
    </row>
    <row r="183" spans="1:7" s="274" customFormat="1" x14ac:dyDescent="0.3">
      <c r="A183" s="245" t="s">
        <v>212</v>
      </c>
      <c r="B183" s="251" t="s">
        <v>359</v>
      </c>
      <c r="C183" s="246"/>
      <c r="D183" s="247"/>
      <c r="E183" s="248"/>
      <c r="F183" s="283"/>
      <c r="G183" s="282"/>
    </row>
    <row r="184" spans="1:7" s="274" customFormat="1" x14ac:dyDescent="0.3">
      <c r="A184" s="245"/>
      <c r="B184" s="252" t="s">
        <v>355</v>
      </c>
      <c r="C184" s="247" t="s">
        <v>0</v>
      </c>
      <c r="D184" s="247">
        <v>22</v>
      </c>
      <c r="E184" s="248"/>
      <c r="F184" s="249"/>
      <c r="G184" s="282">
        <f t="shared" si="23"/>
        <v>0</v>
      </c>
    </row>
    <row r="185" spans="1:7" s="274" customFormat="1" x14ac:dyDescent="0.3">
      <c r="A185" s="245" t="s">
        <v>360</v>
      </c>
      <c r="B185" s="246" t="s">
        <v>361</v>
      </c>
      <c r="C185" s="246"/>
      <c r="D185" s="247"/>
      <c r="E185" s="248"/>
      <c r="F185" s="249"/>
      <c r="G185" s="282"/>
    </row>
    <row r="186" spans="1:7" s="274" customFormat="1" x14ac:dyDescent="0.3">
      <c r="A186" s="258"/>
      <c r="B186" s="252" t="s">
        <v>355</v>
      </c>
      <c r="C186" s="247" t="s">
        <v>0</v>
      </c>
      <c r="D186" s="247">
        <v>35</v>
      </c>
      <c r="E186" s="248"/>
      <c r="F186" s="249"/>
      <c r="G186" s="282">
        <f t="shared" ref="G186" si="25">D186*E186</f>
        <v>0</v>
      </c>
    </row>
    <row r="187" spans="1:7" s="274" customFormat="1" x14ac:dyDescent="0.3">
      <c r="A187" s="245" t="s">
        <v>362</v>
      </c>
      <c r="B187" s="246" t="s">
        <v>363</v>
      </c>
      <c r="C187" s="246"/>
      <c r="D187" s="247"/>
      <c r="E187" s="248"/>
      <c r="F187" s="249"/>
      <c r="G187" s="282"/>
    </row>
    <row r="188" spans="1:7" s="274" customFormat="1" x14ac:dyDescent="0.3">
      <c r="A188" s="258"/>
      <c r="B188" s="251" t="s">
        <v>364</v>
      </c>
      <c r="C188" s="246"/>
      <c r="D188" s="247"/>
      <c r="E188" s="248"/>
      <c r="F188" s="283"/>
      <c r="G188" s="282"/>
    </row>
    <row r="189" spans="1:7" s="274" customFormat="1" x14ac:dyDescent="0.3">
      <c r="A189" s="260"/>
      <c r="B189" s="252" t="s">
        <v>355</v>
      </c>
      <c r="C189" s="247" t="s">
        <v>0</v>
      </c>
      <c r="D189" s="247">
        <v>27</v>
      </c>
      <c r="E189" s="248"/>
      <c r="F189" s="249"/>
      <c r="G189" s="282">
        <f t="shared" ref="G189" si="26">D189*E189</f>
        <v>0</v>
      </c>
    </row>
    <row r="190" spans="1:7" s="274" customFormat="1" x14ac:dyDescent="0.3">
      <c r="A190" s="245" t="s">
        <v>365</v>
      </c>
      <c r="B190" s="246" t="s">
        <v>366</v>
      </c>
      <c r="C190" s="246"/>
      <c r="D190" s="247"/>
      <c r="E190" s="248"/>
      <c r="F190" s="249"/>
      <c r="G190" s="282"/>
    </row>
    <row r="191" spans="1:7" s="274" customFormat="1" ht="18" customHeight="1" x14ac:dyDescent="0.3">
      <c r="A191" s="260"/>
      <c r="B191" s="252" t="s">
        <v>352</v>
      </c>
      <c r="C191" s="247" t="s">
        <v>215</v>
      </c>
      <c r="D191" s="247">
        <v>1</v>
      </c>
      <c r="E191" s="248"/>
      <c r="F191" s="249"/>
      <c r="G191" s="282">
        <f t="shared" ref="G191" si="27">D191*E191</f>
        <v>0</v>
      </c>
    </row>
    <row r="192" spans="1:7" s="274" customFormat="1" x14ac:dyDescent="0.3">
      <c r="A192" s="245" t="s">
        <v>367</v>
      </c>
      <c r="B192" s="246" t="s">
        <v>368</v>
      </c>
      <c r="C192" s="246"/>
      <c r="D192" s="247"/>
      <c r="E192" s="248"/>
      <c r="F192" s="249"/>
      <c r="G192" s="282"/>
    </row>
    <row r="193" spans="1:7" s="274" customFormat="1" x14ac:dyDescent="0.3">
      <c r="A193" s="260"/>
      <c r="B193" s="252" t="s">
        <v>352</v>
      </c>
      <c r="C193" s="247" t="s">
        <v>215</v>
      </c>
      <c r="D193" s="247">
        <v>1</v>
      </c>
      <c r="E193" s="286"/>
      <c r="F193" s="287"/>
      <c r="G193" s="288">
        <f t="shared" ref="G193" si="28">D193*E193</f>
        <v>0</v>
      </c>
    </row>
    <row r="194" spans="1:7" s="274" customFormat="1" x14ac:dyDescent="0.3">
      <c r="A194" s="236"/>
      <c r="B194" s="252"/>
      <c r="C194" s="247"/>
      <c r="D194" s="247"/>
      <c r="E194" s="248"/>
      <c r="F194" s="249"/>
      <c r="G194" s="282"/>
    </row>
    <row r="195" spans="1:7" s="274" customFormat="1" x14ac:dyDescent="0.3">
      <c r="A195" s="425" t="s">
        <v>369</v>
      </c>
      <c r="B195" s="426" t="s">
        <v>370</v>
      </c>
      <c r="C195" s="276"/>
      <c r="D195" s="277"/>
      <c r="E195" s="248"/>
      <c r="F195" s="249"/>
      <c r="G195" s="282"/>
    </row>
    <row r="196" spans="1:7" s="274" customFormat="1" ht="15.75" customHeight="1" x14ac:dyDescent="0.3">
      <c r="A196" s="245" t="s">
        <v>371</v>
      </c>
      <c r="B196" s="246" t="s">
        <v>372</v>
      </c>
      <c r="C196" s="246"/>
      <c r="D196" s="247"/>
      <c r="E196" s="280"/>
      <c r="F196" s="249"/>
      <c r="G196" s="282"/>
    </row>
    <row r="197" spans="1:7" s="274" customFormat="1" ht="12" customHeight="1" x14ac:dyDescent="0.3">
      <c r="A197" s="236"/>
      <c r="B197" s="252" t="s">
        <v>355</v>
      </c>
      <c r="C197" s="247" t="s">
        <v>0</v>
      </c>
      <c r="D197" s="247">
        <v>300</v>
      </c>
      <c r="E197" s="248"/>
      <c r="F197" s="249"/>
      <c r="G197" s="282">
        <f t="shared" ref="G197:G215" si="29">D197*E197</f>
        <v>0</v>
      </c>
    </row>
    <row r="198" spans="1:7" s="274" customFormat="1" ht="15.75" customHeight="1" x14ac:dyDescent="0.3">
      <c r="A198" s="245" t="s">
        <v>373</v>
      </c>
      <c r="B198" s="246" t="s">
        <v>374</v>
      </c>
      <c r="C198" s="246"/>
      <c r="D198" s="247"/>
      <c r="E198" s="248"/>
      <c r="F198" s="249"/>
      <c r="G198" s="282"/>
    </row>
    <row r="199" spans="1:7" s="274" customFormat="1" x14ac:dyDescent="0.3">
      <c r="A199" s="236" t="s">
        <v>209</v>
      </c>
      <c r="B199" s="251" t="s">
        <v>375</v>
      </c>
      <c r="C199" s="246"/>
      <c r="D199" s="247"/>
      <c r="E199" s="248"/>
      <c r="F199" s="283"/>
      <c r="G199" s="282"/>
    </row>
    <row r="200" spans="1:7" s="274" customFormat="1" ht="12" customHeight="1" x14ac:dyDescent="0.3">
      <c r="A200" s="256"/>
      <c r="B200" s="252" t="s">
        <v>355</v>
      </c>
      <c r="C200" s="247" t="s">
        <v>0</v>
      </c>
      <c r="D200" s="247">
        <v>1</v>
      </c>
      <c r="E200" s="248"/>
      <c r="F200" s="249"/>
      <c r="G200" s="282">
        <f t="shared" si="29"/>
        <v>0</v>
      </c>
    </row>
    <row r="201" spans="1:7" s="274" customFormat="1" x14ac:dyDescent="0.3">
      <c r="A201" s="268" t="s">
        <v>212</v>
      </c>
      <c r="B201" s="251" t="s">
        <v>376</v>
      </c>
      <c r="C201" s="246"/>
      <c r="D201" s="247"/>
      <c r="E201" s="248"/>
      <c r="F201" s="283"/>
      <c r="G201" s="282"/>
    </row>
    <row r="202" spans="1:7" s="274" customFormat="1" ht="12" customHeight="1" x14ac:dyDescent="0.3">
      <c r="A202" s="268"/>
      <c r="B202" s="252" t="s">
        <v>377</v>
      </c>
      <c r="C202" s="247" t="s">
        <v>0</v>
      </c>
      <c r="D202" s="247">
        <v>11</v>
      </c>
      <c r="E202" s="248"/>
      <c r="F202" s="249"/>
      <c r="G202" s="282">
        <f t="shared" si="29"/>
        <v>0</v>
      </c>
    </row>
    <row r="203" spans="1:7" s="274" customFormat="1" ht="15.75" customHeight="1" x14ac:dyDescent="0.3">
      <c r="A203" s="245" t="s">
        <v>378</v>
      </c>
      <c r="B203" s="246" t="s">
        <v>379</v>
      </c>
      <c r="C203" s="246"/>
      <c r="D203" s="247"/>
      <c r="E203" s="248"/>
      <c r="F203" s="249"/>
      <c r="G203" s="282"/>
    </row>
    <row r="204" spans="1:7" s="274" customFormat="1" ht="12" customHeight="1" x14ac:dyDescent="0.3">
      <c r="A204" s="260"/>
      <c r="B204" s="252" t="s">
        <v>355</v>
      </c>
      <c r="C204" s="247" t="s">
        <v>0</v>
      </c>
      <c r="D204" s="247">
        <v>33</v>
      </c>
      <c r="E204" s="248"/>
      <c r="F204" s="249"/>
      <c r="G204" s="282">
        <f t="shared" si="29"/>
        <v>0</v>
      </c>
    </row>
    <row r="205" spans="1:7" s="274" customFormat="1" ht="15.75" customHeight="1" x14ac:dyDescent="0.3">
      <c r="A205" s="245" t="s">
        <v>380</v>
      </c>
      <c r="B205" s="246" t="s">
        <v>381</v>
      </c>
      <c r="C205" s="246"/>
      <c r="D205" s="247"/>
      <c r="E205" s="248"/>
      <c r="F205" s="249"/>
      <c r="G205" s="282"/>
    </row>
    <row r="206" spans="1:7" s="274" customFormat="1" x14ac:dyDescent="0.3">
      <c r="A206" s="260"/>
      <c r="B206" s="251" t="s">
        <v>382</v>
      </c>
      <c r="C206" s="246"/>
      <c r="D206" s="247"/>
      <c r="E206" s="248"/>
      <c r="F206" s="283"/>
      <c r="G206" s="282"/>
    </row>
    <row r="207" spans="1:7" s="274" customFormat="1" ht="12" customHeight="1" x14ac:dyDescent="0.3">
      <c r="A207" s="260" t="s">
        <v>209</v>
      </c>
      <c r="B207" s="252" t="s">
        <v>355</v>
      </c>
      <c r="C207" s="247" t="s">
        <v>0</v>
      </c>
      <c r="D207" s="247">
        <v>33</v>
      </c>
      <c r="E207" s="248"/>
      <c r="F207" s="249"/>
      <c r="G207" s="282">
        <f t="shared" si="29"/>
        <v>0</v>
      </c>
    </row>
    <row r="208" spans="1:7" s="274" customFormat="1" x14ac:dyDescent="0.3">
      <c r="A208" s="257"/>
      <c r="B208" s="251" t="s">
        <v>383</v>
      </c>
      <c r="C208" s="246"/>
      <c r="D208" s="247"/>
      <c r="E208" s="248"/>
      <c r="F208" s="283"/>
      <c r="G208" s="282"/>
    </row>
    <row r="209" spans="1:7" s="274" customFormat="1" ht="12" customHeight="1" x14ac:dyDescent="0.3">
      <c r="A209" s="260" t="s">
        <v>212</v>
      </c>
      <c r="B209" s="252" t="s">
        <v>355</v>
      </c>
      <c r="C209" s="247" t="s">
        <v>0</v>
      </c>
      <c r="D209" s="247">
        <v>33</v>
      </c>
      <c r="E209" s="248"/>
      <c r="F209" s="249"/>
      <c r="G209" s="282">
        <f t="shared" si="29"/>
        <v>0</v>
      </c>
    </row>
    <row r="210" spans="1:7" s="274" customFormat="1" ht="15.75" customHeight="1" x14ac:dyDescent="0.3">
      <c r="A210" s="245" t="s">
        <v>384</v>
      </c>
      <c r="B210" s="246" t="s">
        <v>385</v>
      </c>
      <c r="C210" s="246"/>
      <c r="D210" s="247"/>
      <c r="E210" s="248"/>
      <c r="F210" s="249"/>
      <c r="G210" s="282"/>
    </row>
    <row r="211" spans="1:7" s="274" customFormat="1" ht="12" customHeight="1" x14ac:dyDescent="0.3">
      <c r="A211" s="260"/>
      <c r="B211" s="252" t="s">
        <v>355</v>
      </c>
      <c r="C211" s="247" t="s">
        <v>0</v>
      </c>
      <c r="D211" s="247">
        <v>33</v>
      </c>
      <c r="E211" s="248"/>
      <c r="F211" s="249"/>
      <c r="G211" s="282">
        <f t="shared" si="29"/>
        <v>0</v>
      </c>
    </row>
    <row r="212" spans="1:7" s="274" customFormat="1" ht="15.75" customHeight="1" x14ac:dyDescent="0.3">
      <c r="A212" s="245" t="s">
        <v>386</v>
      </c>
      <c r="B212" s="246" t="s">
        <v>387</v>
      </c>
      <c r="C212" s="246"/>
      <c r="D212" s="247"/>
      <c r="E212" s="248"/>
      <c r="F212" s="249"/>
      <c r="G212" s="282"/>
    </row>
    <row r="213" spans="1:7" s="274" customFormat="1" ht="12" customHeight="1" x14ac:dyDescent="0.3">
      <c r="A213" s="236"/>
      <c r="B213" s="252" t="s">
        <v>388</v>
      </c>
      <c r="C213" s="247" t="s">
        <v>215</v>
      </c>
      <c r="D213" s="247">
        <v>1</v>
      </c>
      <c r="E213" s="248"/>
      <c r="F213" s="249"/>
      <c r="G213" s="282">
        <f t="shared" si="29"/>
        <v>0</v>
      </c>
    </row>
    <row r="214" spans="1:7" s="274" customFormat="1" ht="15.75" customHeight="1" x14ac:dyDescent="0.3">
      <c r="A214" s="245" t="s">
        <v>389</v>
      </c>
      <c r="B214" s="246" t="s">
        <v>390</v>
      </c>
      <c r="C214" s="246"/>
      <c r="D214" s="247"/>
      <c r="E214" s="248"/>
      <c r="F214" s="249"/>
      <c r="G214" s="282"/>
    </row>
    <row r="215" spans="1:7" s="274" customFormat="1" ht="12" customHeight="1" x14ac:dyDescent="0.3">
      <c r="A215" s="260"/>
      <c r="B215" s="252" t="s">
        <v>355</v>
      </c>
      <c r="C215" s="247" t="s">
        <v>0</v>
      </c>
      <c r="D215" s="247">
        <v>1</v>
      </c>
      <c r="E215" s="248"/>
      <c r="F215" s="249"/>
      <c r="G215" s="282">
        <f t="shared" si="29"/>
        <v>0</v>
      </c>
    </row>
    <row r="216" spans="1:7" s="274" customFormat="1" x14ac:dyDescent="0.3">
      <c r="A216" s="260"/>
      <c r="B216" s="367"/>
      <c r="C216" s="367"/>
      <c r="D216" s="368"/>
      <c r="E216" s="369"/>
      <c r="F216" s="289"/>
      <c r="G216" s="282"/>
    </row>
    <row r="217" spans="1:7" s="274" customFormat="1" x14ac:dyDescent="0.3">
      <c r="A217" s="425" t="s">
        <v>438</v>
      </c>
      <c r="B217" s="427" t="s">
        <v>439</v>
      </c>
      <c r="C217" s="276"/>
      <c r="D217" s="277"/>
      <c r="E217" s="277"/>
      <c r="F217" s="278"/>
      <c r="G217" s="282"/>
    </row>
    <row r="218" spans="1:7" s="274" customFormat="1" x14ac:dyDescent="0.3">
      <c r="A218" s="245" t="s">
        <v>440</v>
      </c>
      <c r="B218" s="246" t="s">
        <v>441</v>
      </c>
      <c r="C218" s="246"/>
      <c r="D218" s="247"/>
      <c r="E218" s="248"/>
      <c r="F218" s="249"/>
      <c r="G218" s="282"/>
    </row>
    <row r="219" spans="1:7" s="274" customFormat="1" x14ac:dyDescent="0.3">
      <c r="A219" s="245" t="s">
        <v>209</v>
      </c>
      <c r="B219" s="251" t="s">
        <v>442</v>
      </c>
      <c r="C219" s="246"/>
      <c r="D219" s="247"/>
      <c r="E219" s="248"/>
      <c r="F219" s="283"/>
      <c r="G219" s="282"/>
    </row>
    <row r="220" spans="1:7" s="274" customFormat="1" x14ac:dyDescent="0.3">
      <c r="A220" s="245"/>
      <c r="B220" s="252" t="s">
        <v>355</v>
      </c>
      <c r="C220" s="247" t="s">
        <v>0</v>
      </c>
      <c r="D220" s="247">
        <v>90</v>
      </c>
      <c r="E220" s="248"/>
      <c r="F220" s="249"/>
      <c r="G220" s="282">
        <f t="shared" ref="G220:G243" si="30">D220*E220</f>
        <v>0</v>
      </c>
    </row>
    <row r="221" spans="1:7" s="274" customFormat="1" x14ac:dyDescent="0.3">
      <c r="A221" s="245" t="s">
        <v>212</v>
      </c>
      <c r="B221" s="251" t="s">
        <v>443</v>
      </c>
      <c r="C221" s="246"/>
      <c r="D221" s="247"/>
      <c r="E221" s="248"/>
      <c r="F221" s="283"/>
      <c r="G221" s="282"/>
    </row>
    <row r="222" spans="1:7" s="274" customFormat="1" x14ac:dyDescent="0.3">
      <c r="A222" s="358"/>
      <c r="B222" s="252" t="s">
        <v>355</v>
      </c>
      <c r="C222" s="247" t="s">
        <v>0</v>
      </c>
      <c r="D222" s="247">
        <v>24</v>
      </c>
      <c r="E222" s="248"/>
      <c r="F222" s="249"/>
      <c r="G222" s="282">
        <f t="shared" si="30"/>
        <v>0</v>
      </c>
    </row>
    <row r="223" spans="1:7" s="274" customFormat="1" x14ac:dyDescent="0.3">
      <c r="A223" s="245" t="s">
        <v>480</v>
      </c>
      <c r="B223" s="246" t="s">
        <v>444</v>
      </c>
      <c r="C223" s="246"/>
      <c r="D223" s="247"/>
      <c r="E223" s="248"/>
      <c r="F223" s="249"/>
      <c r="G223" s="282"/>
    </row>
    <row r="224" spans="1:7" s="274" customFormat="1" x14ac:dyDescent="0.3">
      <c r="A224" s="428"/>
      <c r="B224" s="271" t="s">
        <v>355</v>
      </c>
      <c r="C224" s="263" t="s">
        <v>0</v>
      </c>
      <c r="D224" s="263">
        <v>1</v>
      </c>
      <c r="E224" s="264"/>
      <c r="F224" s="265"/>
      <c r="G224" s="285">
        <f t="shared" si="30"/>
        <v>0</v>
      </c>
    </row>
    <row r="225" spans="1:7" s="274" customFormat="1" x14ac:dyDescent="0.3">
      <c r="A225" s="245" t="s">
        <v>481</v>
      </c>
      <c r="B225" s="246" t="s">
        <v>445</v>
      </c>
      <c r="C225" s="246"/>
      <c r="D225" s="247"/>
      <c r="E225" s="248"/>
      <c r="F225" s="249"/>
      <c r="G225" s="282"/>
    </row>
    <row r="226" spans="1:7" s="274" customFormat="1" x14ac:dyDescent="0.3">
      <c r="A226" s="358" t="s">
        <v>209</v>
      </c>
      <c r="B226" s="251" t="s">
        <v>446</v>
      </c>
      <c r="C226" s="246"/>
      <c r="D226" s="247"/>
      <c r="E226" s="248"/>
      <c r="F226" s="283"/>
      <c r="G226" s="282"/>
    </row>
    <row r="227" spans="1:7" s="274" customFormat="1" x14ac:dyDescent="0.3">
      <c r="A227" s="358"/>
      <c r="B227" s="252" t="s">
        <v>355</v>
      </c>
      <c r="C227" s="247" t="s">
        <v>0</v>
      </c>
      <c r="D227" s="247">
        <v>6</v>
      </c>
      <c r="E227" s="248"/>
      <c r="F227" s="249"/>
      <c r="G227" s="282">
        <f t="shared" si="30"/>
        <v>0</v>
      </c>
    </row>
    <row r="228" spans="1:7" s="274" customFormat="1" x14ac:dyDescent="0.3">
      <c r="A228" s="358" t="s">
        <v>212</v>
      </c>
      <c r="B228" s="251" t="s">
        <v>447</v>
      </c>
      <c r="C228" s="246"/>
      <c r="D228" s="247"/>
      <c r="E228" s="248"/>
      <c r="F228" s="283"/>
      <c r="G228" s="282"/>
    </row>
    <row r="229" spans="1:7" s="274" customFormat="1" x14ac:dyDescent="0.3">
      <c r="A229" s="358"/>
      <c r="B229" s="252" t="s">
        <v>355</v>
      </c>
      <c r="C229" s="247" t="s">
        <v>0</v>
      </c>
      <c r="D229" s="247">
        <v>114</v>
      </c>
      <c r="E229" s="248"/>
      <c r="F229" s="249"/>
      <c r="G229" s="282">
        <f t="shared" si="30"/>
        <v>0</v>
      </c>
    </row>
    <row r="230" spans="1:7" s="274" customFormat="1" x14ac:dyDescent="0.3">
      <c r="A230" s="358" t="s">
        <v>225</v>
      </c>
      <c r="B230" s="251" t="s">
        <v>448</v>
      </c>
      <c r="C230" s="246"/>
      <c r="D230" s="247"/>
      <c r="E230" s="248"/>
      <c r="F230" s="283"/>
      <c r="G230" s="282"/>
    </row>
    <row r="231" spans="1:7" s="274" customFormat="1" x14ac:dyDescent="0.3">
      <c r="A231" s="358"/>
      <c r="B231" s="252" t="s">
        <v>355</v>
      </c>
      <c r="C231" s="247" t="s">
        <v>0</v>
      </c>
      <c r="D231" s="247">
        <v>1</v>
      </c>
      <c r="E231" s="248"/>
      <c r="F231" s="249"/>
      <c r="G231" s="282">
        <f t="shared" si="30"/>
        <v>0</v>
      </c>
    </row>
    <row r="232" spans="1:7" s="274" customFormat="1" x14ac:dyDescent="0.3">
      <c r="A232" s="358" t="s">
        <v>227</v>
      </c>
      <c r="B232" s="251" t="s">
        <v>449</v>
      </c>
      <c r="C232" s="246"/>
      <c r="D232" s="247"/>
      <c r="E232" s="248"/>
      <c r="F232" s="283"/>
      <c r="G232" s="282"/>
    </row>
    <row r="233" spans="1:7" s="274" customFormat="1" x14ac:dyDescent="0.3">
      <c r="A233" s="358"/>
      <c r="B233" s="252" t="s">
        <v>355</v>
      </c>
      <c r="C233" s="247" t="s">
        <v>0</v>
      </c>
      <c r="D233" s="247">
        <v>1</v>
      </c>
      <c r="E233" s="248"/>
      <c r="F233" s="249"/>
      <c r="G233" s="282">
        <f t="shared" si="30"/>
        <v>0</v>
      </c>
    </row>
    <row r="234" spans="1:7" s="274" customFormat="1" x14ac:dyDescent="0.3">
      <c r="A234" s="358" t="s">
        <v>229</v>
      </c>
      <c r="B234" s="251" t="s">
        <v>450</v>
      </c>
      <c r="C234" s="246"/>
      <c r="D234" s="247"/>
      <c r="E234" s="248"/>
      <c r="F234" s="283"/>
      <c r="G234" s="282"/>
    </row>
    <row r="235" spans="1:7" s="274" customFormat="1" x14ac:dyDescent="0.3">
      <c r="A235" s="358"/>
      <c r="B235" s="252" t="s">
        <v>355</v>
      </c>
      <c r="C235" s="247" t="s">
        <v>0</v>
      </c>
      <c r="D235" s="247">
        <v>1</v>
      </c>
      <c r="E235" s="248"/>
      <c r="F235" s="249"/>
      <c r="G235" s="282">
        <f t="shared" si="30"/>
        <v>0</v>
      </c>
    </row>
    <row r="236" spans="1:7" s="274" customFormat="1" x14ac:dyDescent="0.3">
      <c r="A236" s="358" t="s">
        <v>231</v>
      </c>
      <c r="B236" s="251" t="s">
        <v>334</v>
      </c>
      <c r="C236" s="246"/>
      <c r="D236" s="247"/>
      <c r="E236" s="280"/>
      <c r="F236" s="283"/>
      <c r="G236" s="282"/>
    </row>
    <row r="237" spans="1:7" s="274" customFormat="1" x14ac:dyDescent="0.3">
      <c r="A237" s="358"/>
      <c r="B237" s="252" t="s">
        <v>219</v>
      </c>
      <c r="C237" s="247" t="s">
        <v>0</v>
      </c>
      <c r="D237" s="247">
        <v>1</v>
      </c>
      <c r="E237" s="248"/>
      <c r="F237" s="249"/>
      <c r="G237" s="282">
        <f t="shared" si="30"/>
        <v>0</v>
      </c>
    </row>
    <row r="238" spans="1:7" s="274" customFormat="1" x14ac:dyDescent="0.3">
      <c r="A238" s="358" t="s">
        <v>233</v>
      </c>
      <c r="B238" s="251" t="s">
        <v>335</v>
      </c>
      <c r="C238" s="246"/>
      <c r="D238" s="247"/>
      <c r="E238" s="280"/>
      <c r="F238" s="283"/>
      <c r="G238" s="282"/>
    </row>
    <row r="239" spans="1:7" s="274" customFormat="1" x14ac:dyDescent="0.3">
      <c r="A239" s="358"/>
      <c r="B239" s="252" t="s">
        <v>219</v>
      </c>
      <c r="C239" s="247" t="s">
        <v>0</v>
      </c>
      <c r="D239" s="247">
        <v>3</v>
      </c>
      <c r="E239" s="248"/>
      <c r="F239" s="249"/>
      <c r="G239" s="282">
        <f t="shared" si="30"/>
        <v>0</v>
      </c>
    </row>
    <row r="240" spans="1:7" s="274" customFormat="1" x14ac:dyDescent="0.3">
      <c r="A240" s="358" t="s">
        <v>235</v>
      </c>
      <c r="B240" s="251" t="s">
        <v>451</v>
      </c>
      <c r="C240" s="246"/>
      <c r="D240" s="247"/>
      <c r="E240" s="280"/>
      <c r="F240" s="283"/>
      <c r="G240" s="282"/>
    </row>
    <row r="241" spans="1:7" s="274" customFormat="1" x14ac:dyDescent="0.3">
      <c r="A241" s="358"/>
      <c r="B241" s="252" t="s">
        <v>219</v>
      </c>
      <c r="C241" s="247" t="s">
        <v>0</v>
      </c>
      <c r="D241" s="247">
        <v>3</v>
      </c>
      <c r="E241" s="248"/>
      <c r="F241" s="249"/>
      <c r="G241" s="282">
        <f>+E241*D241</f>
        <v>0</v>
      </c>
    </row>
    <row r="242" spans="1:7" s="274" customFormat="1" x14ac:dyDescent="0.3">
      <c r="A242" s="245" t="s">
        <v>482</v>
      </c>
      <c r="B242" s="246" t="s">
        <v>452</v>
      </c>
      <c r="C242" s="246"/>
      <c r="D242" s="247"/>
      <c r="E242" s="248"/>
      <c r="F242" s="249"/>
      <c r="G242" s="282"/>
    </row>
    <row r="243" spans="1:7" s="274" customFormat="1" x14ac:dyDescent="0.3">
      <c r="A243" s="359"/>
      <c r="B243" s="252" t="s">
        <v>355</v>
      </c>
      <c r="C243" s="247" t="s">
        <v>0</v>
      </c>
      <c r="D243" s="247">
        <v>2</v>
      </c>
      <c r="E243" s="248"/>
      <c r="F243" s="249"/>
      <c r="G243" s="282">
        <f t="shared" si="30"/>
        <v>0</v>
      </c>
    </row>
    <row r="244" spans="1:7" s="274" customFormat="1" x14ac:dyDescent="0.3">
      <c r="A244" s="245" t="s">
        <v>483</v>
      </c>
      <c r="B244" s="246" t="s">
        <v>453</v>
      </c>
      <c r="C244" s="246"/>
      <c r="D244" s="247"/>
      <c r="E244" s="248"/>
      <c r="F244" s="249"/>
      <c r="G244" s="282"/>
    </row>
    <row r="245" spans="1:7" s="274" customFormat="1" x14ac:dyDescent="0.3">
      <c r="A245" s="359"/>
      <c r="B245" s="252" t="s">
        <v>355</v>
      </c>
      <c r="C245" s="247" t="s">
        <v>0</v>
      </c>
      <c r="D245" s="247">
        <v>2</v>
      </c>
      <c r="E245" s="248"/>
      <c r="F245" s="249"/>
      <c r="G245" s="282">
        <f t="shared" ref="G245" si="31">D245*E245</f>
        <v>0</v>
      </c>
    </row>
    <row r="246" spans="1:7" s="274" customFormat="1" x14ac:dyDescent="0.3">
      <c r="A246" s="245" t="s">
        <v>484</v>
      </c>
      <c r="B246" s="246" t="s">
        <v>454</v>
      </c>
      <c r="C246" s="246"/>
      <c r="D246" s="247"/>
      <c r="E246" s="248"/>
      <c r="F246" s="249"/>
      <c r="G246" s="282"/>
    </row>
    <row r="247" spans="1:7" s="274" customFormat="1" x14ac:dyDescent="0.3">
      <c r="A247" s="359"/>
      <c r="B247" s="252" t="s">
        <v>345</v>
      </c>
      <c r="C247" s="247" t="s">
        <v>455</v>
      </c>
      <c r="D247" s="247">
        <v>1</v>
      </c>
      <c r="E247" s="248"/>
      <c r="F247" s="249"/>
      <c r="G247" s="282">
        <f t="shared" ref="G247:G249" si="32">D247*E247</f>
        <v>0</v>
      </c>
    </row>
    <row r="248" spans="1:7" s="274" customFormat="1" x14ac:dyDescent="0.3">
      <c r="A248" s="245" t="s">
        <v>485</v>
      </c>
      <c r="B248" s="246" t="s">
        <v>456</v>
      </c>
      <c r="C248" s="246"/>
      <c r="D248" s="247"/>
      <c r="E248" s="248"/>
      <c r="F248" s="249"/>
      <c r="G248" s="282"/>
    </row>
    <row r="249" spans="1:7" s="274" customFormat="1" x14ac:dyDescent="0.3">
      <c r="A249" s="359"/>
      <c r="B249" s="252" t="s">
        <v>345</v>
      </c>
      <c r="C249" s="247" t="s">
        <v>455</v>
      </c>
      <c r="D249" s="247">
        <v>1</v>
      </c>
      <c r="E249" s="248"/>
      <c r="F249" s="249"/>
      <c r="G249" s="282">
        <f t="shared" si="32"/>
        <v>0</v>
      </c>
    </row>
    <row r="250" spans="1:7" ht="16.5" customHeight="1" x14ac:dyDescent="0.3">
      <c r="A250" s="214"/>
      <c r="B250" s="215"/>
      <c r="C250" s="216"/>
      <c r="D250" s="160"/>
      <c r="E250" s="210"/>
      <c r="F250" s="211"/>
      <c r="G250" s="169"/>
    </row>
    <row r="251" spans="1:7" x14ac:dyDescent="0.3">
      <c r="A251" s="290"/>
      <c r="B251" s="547" t="s">
        <v>391</v>
      </c>
      <c r="C251" s="548"/>
      <c r="D251" s="548"/>
      <c r="E251" s="548"/>
      <c r="F251" s="549"/>
      <c r="G251" s="273">
        <f>SUM(G146:G250)</f>
        <v>0</v>
      </c>
    </row>
    <row r="252" spans="1:7" x14ac:dyDescent="0.3">
      <c r="A252" s="272"/>
      <c r="B252" s="356"/>
      <c r="C252" s="356"/>
      <c r="D252" s="356"/>
      <c r="E252" s="356"/>
      <c r="F252" s="356"/>
      <c r="G252" s="357"/>
    </row>
    <row r="253" spans="1:7" x14ac:dyDescent="0.3">
      <c r="A253" s="291"/>
      <c r="B253" s="529" t="s">
        <v>393</v>
      </c>
      <c r="C253" s="529"/>
      <c r="D253" s="529"/>
      <c r="E253" s="529"/>
      <c r="F253" s="529"/>
      <c r="G253" s="292">
        <f>G251+G142</f>
        <v>0</v>
      </c>
    </row>
    <row r="254" spans="1:7" x14ac:dyDescent="0.3">
      <c r="A254" s="291"/>
      <c r="B254" s="539" t="s">
        <v>392</v>
      </c>
      <c r="C254" s="539"/>
      <c r="D254" s="539"/>
      <c r="E254" s="539"/>
      <c r="F254" s="539"/>
      <c r="G254" s="292">
        <f>+G253*20%</f>
        <v>0</v>
      </c>
    </row>
    <row r="255" spans="1:7" x14ac:dyDescent="0.3">
      <c r="A255" s="291"/>
      <c r="B255" s="529" t="s">
        <v>67</v>
      </c>
      <c r="C255" s="529"/>
      <c r="D255" s="529"/>
      <c r="E255" s="529"/>
      <c r="F255" s="529"/>
      <c r="G255" s="292">
        <f>+G253+G254</f>
        <v>0</v>
      </c>
    </row>
    <row r="256" spans="1:7" x14ac:dyDescent="0.3">
      <c r="A256" s="291"/>
    </row>
    <row r="257" spans="1:1" x14ac:dyDescent="0.3">
      <c r="A257" s="291"/>
    </row>
    <row r="258" spans="1:1" x14ac:dyDescent="0.3">
      <c r="A258" s="291"/>
    </row>
    <row r="259" spans="1:1" x14ac:dyDescent="0.3">
      <c r="A259" s="291"/>
    </row>
    <row r="260" spans="1:1" x14ac:dyDescent="0.3">
      <c r="A260" s="291"/>
    </row>
    <row r="261" spans="1:1" x14ac:dyDescent="0.3">
      <c r="A261" s="291"/>
    </row>
    <row r="262" spans="1:1" x14ac:dyDescent="0.3">
      <c r="A262" s="291"/>
    </row>
    <row r="263" spans="1:1" x14ac:dyDescent="0.3">
      <c r="A263" s="291"/>
    </row>
    <row r="264" spans="1:1" x14ac:dyDescent="0.3">
      <c r="A264" s="291"/>
    </row>
    <row r="265" spans="1:1" x14ac:dyDescent="0.3">
      <c r="A265" s="291"/>
    </row>
    <row r="266" spans="1:1" x14ac:dyDescent="0.3">
      <c r="A266" s="291"/>
    </row>
    <row r="267" spans="1:1" x14ac:dyDescent="0.3">
      <c r="A267" s="291"/>
    </row>
    <row r="268" spans="1:1" x14ac:dyDescent="0.3">
      <c r="A268" s="291"/>
    </row>
    <row r="269" spans="1:1" x14ac:dyDescent="0.3">
      <c r="A269" s="295"/>
    </row>
    <row r="270" spans="1:1" x14ac:dyDescent="0.3">
      <c r="A270" s="296"/>
    </row>
    <row r="271" spans="1:1" x14ac:dyDescent="0.3">
      <c r="A271" s="297"/>
    </row>
    <row r="272" spans="1:1" x14ac:dyDescent="0.3">
      <c r="A272" s="298"/>
    </row>
    <row r="273" spans="1:1" x14ac:dyDescent="0.3">
      <c r="A273" s="299"/>
    </row>
    <row r="274" spans="1:1" x14ac:dyDescent="0.3">
      <c r="A274" s="300"/>
    </row>
    <row r="275" spans="1:1" x14ac:dyDescent="0.3">
      <c r="A275" s="300"/>
    </row>
    <row r="276" spans="1:1" x14ac:dyDescent="0.3">
      <c r="A276" s="300"/>
    </row>
    <row r="277" spans="1:1" x14ac:dyDescent="0.3">
      <c r="A277" s="300"/>
    </row>
    <row r="278" spans="1:1" x14ac:dyDescent="0.3">
      <c r="A278" s="300"/>
    </row>
  </sheetData>
  <mergeCells count="6">
    <mergeCell ref="B251:F251"/>
    <mergeCell ref="B253:F253"/>
    <mergeCell ref="B254:F254"/>
    <mergeCell ref="B255:F255"/>
    <mergeCell ref="B1:G1"/>
    <mergeCell ref="B142:F142"/>
  </mergeCells>
  <printOptions horizontalCentered="1"/>
  <pageMargins left="0" right="0" top="0.35433070866141736" bottom="0.35433070866141736" header="0.31496062992125984" footer="0.31496062992125984"/>
  <pageSetup paperSize="9" scale="84" firstPageNumber="229" orientation="portrait" useFirstPageNumber="1" verticalDpi="0" r:id="rId1"/>
  <headerFooter>
    <oddFooter>&amp;LB.E.T.B&amp;RPage - &amp;P</oddFooter>
  </headerFooter>
  <rowBreaks count="4" manualBreakCount="4">
    <brk id="64" max="16383" man="1"/>
    <brk id="125" max="16383" man="1"/>
    <brk id="173" max="16383" man="1"/>
    <brk id="224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9E2A-831A-44AC-91E8-5B42068D99E3}">
  <dimension ref="A1:ZO34"/>
  <sheetViews>
    <sheetView workbookViewId="0">
      <selection activeCell="E6" sqref="E6:E28"/>
    </sheetView>
  </sheetViews>
  <sheetFormatPr baseColWidth="10" defaultColWidth="10.6640625" defaultRowHeight="14.4" x14ac:dyDescent="0.3"/>
  <cols>
    <col min="1" max="1" width="9.6640625" style="1" customWidth="1"/>
    <col min="2" max="2" width="47.44140625" style="1" customWidth="1"/>
    <col min="3" max="3" width="4.6640625" style="184" customWidth="1"/>
    <col min="4" max="4" width="10.6640625" style="162"/>
    <col min="5" max="5" width="11.33203125" style="47" bestFit="1" customWidth="1"/>
    <col min="6" max="6" width="11.33203125" style="47" customWidth="1"/>
    <col min="7" max="7" width="14.109375" style="171" bestFit="1" customWidth="1"/>
    <col min="8" max="16384" width="10.6640625" style="1"/>
  </cols>
  <sheetData>
    <row r="1" spans="1:691" ht="66.599999999999994" customHeight="1" x14ac:dyDescent="0.3">
      <c r="A1" s="551"/>
      <c r="B1" s="551"/>
      <c r="C1" s="551"/>
      <c r="D1" s="551"/>
      <c r="E1" s="551"/>
      <c r="F1" s="192"/>
      <c r="G1" s="193"/>
    </row>
    <row r="2" spans="1:691" ht="57.6" x14ac:dyDescent="0.3">
      <c r="A2" s="2"/>
      <c r="B2" s="112" t="s">
        <v>7</v>
      </c>
      <c r="C2" s="113" t="s">
        <v>0</v>
      </c>
      <c r="D2" s="175" t="s">
        <v>166</v>
      </c>
      <c r="E2" s="5" t="s">
        <v>8</v>
      </c>
      <c r="F2" s="7" t="s">
        <v>175</v>
      </c>
      <c r="G2" s="179" t="s">
        <v>167</v>
      </c>
    </row>
    <row r="3" spans="1:691" x14ac:dyDescent="0.3">
      <c r="A3" s="8"/>
      <c r="B3" s="9"/>
      <c r="C3" s="204"/>
      <c r="D3" s="155"/>
      <c r="E3" s="205"/>
      <c r="F3" s="206"/>
      <c r="G3" s="164"/>
    </row>
    <row r="4" spans="1:691" ht="15.6" x14ac:dyDescent="0.3">
      <c r="A4" s="194" t="s">
        <v>182</v>
      </c>
      <c r="B4" s="14" t="s">
        <v>183</v>
      </c>
      <c r="C4" s="195"/>
      <c r="D4" s="156"/>
      <c r="E4" s="196"/>
      <c r="F4" s="201"/>
      <c r="G4" s="165"/>
      <c r="ZO4" s="19"/>
    </row>
    <row r="5" spans="1:691" x14ac:dyDescent="0.3">
      <c r="A5" s="20" t="s">
        <v>184</v>
      </c>
      <c r="B5" s="21" t="s">
        <v>185</v>
      </c>
      <c r="C5" s="195"/>
      <c r="D5" s="156"/>
      <c r="E5" s="196"/>
      <c r="F5" s="201"/>
      <c r="G5" s="165"/>
      <c r="ZO5" s="19"/>
    </row>
    <row r="6" spans="1:691" s="55" customFormat="1" ht="12" customHeight="1" x14ac:dyDescent="0.3">
      <c r="A6" s="51"/>
      <c r="B6" s="52"/>
      <c r="C6" s="195"/>
      <c r="D6" s="156"/>
      <c r="E6" s="196"/>
      <c r="F6" s="201"/>
      <c r="G6" s="165"/>
      <c r="ZO6" s="56"/>
    </row>
    <row r="7" spans="1:691" x14ac:dyDescent="0.3">
      <c r="A7" s="51" t="s">
        <v>186</v>
      </c>
      <c r="B7" s="65" t="s">
        <v>526</v>
      </c>
      <c r="C7" s="108"/>
      <c r="D7" s="159"/>
      <c r="E7" s="197"/>
      <c r="F7" s="202"/>
      <c r="G7" s="198"/>
      <c r="ZO7" s="19"/>
    </row>
    <row r="8" spans="1:691" x14ac:dyDescent="0.3">
      <c r="A8" s="51"/>
      <c r="B8" s="107" t="s">
        <v>46</v>
      </c>
      <c r="C8" s="108" t="s">
        <v>45</v>
      </c>
      <c r="D8" s="159">
        <v>355</v>
      </c>
      <c r="E8" s="197"/>
      <c r="F8" s="202"/>
      <c r="G8" s="198">
        <f>+D8*E8</f>
        <v>0</v>
      </c>
      <c r="ZO8" s="19"/>
    </row>
    <row r="9" spans="1:691" x14ac:dyDescent="0.3">
      <c r="A9" s="51" t="s">
        <v>187</v>
      </c>
      <c r="B9" s="65" t="s">
        <v>188</v>
      </c>
      <c r="C9" s="108"/>
      <c r="D9" s="159"/>
      <c r="E9" s="197"/>
      <c r="F9" s="202"/>
      <c r="G9" s="198"/>
      <c r="ZO9" s="19"/>
    </row>
    <row r="10" spans="1:691" x14ac:dyDescent="0.3">
      <c r="A10" s="51"/>
      <c r="B10" s="107" t="s">
        <v>46</v>
      </c>
      <c r="C10" s="108" t="s">
        <v>45</v>
      </c>
      <c r="D10" s="159">
        <v>565</v>
      </c>
      <c r="E10" s="197"/>
      <c r="F10" s="202"/>
      <c r="G10" s="198">
        <f t="shared" ref="G10:G14" si="0">+D10*E10</f>
        <v>0</v>
      </c>
      <c r="ZO10" s="19"/>
    </row>
    <row r="11" spans="1:691" x14ac:dyDescent="0.3">
      <c r="A11" s="51" t="s">
        <v>189</v>
      </c>
      <c r="B11" s="65" t="s">
        <v>190</v>
      </c>
      <c r="C11" s="108"/>
      <c r="D11" s="159"/>
      <c r="E11" s="197"/>
      <c r="F11" s="202"/>
      <c r="G11" s="198"/>
      <c r="ZO11" s="19"/>
    </row>
    <row r="12" spans="1:691" x14ac:dyDescent="0.3">
      <c r="A12" s="51"/>
      <c r="B12" s="107" t="s">
        <v>46</v>
      </c>
      <c r="C12" s="108" t="s">
        <v>45</v>
      </c>
      <c r="D12" s="159">
        <v>2365</v>
      </c>
      <c r="E12" s="197"/>
      <c r="F12" s="202"/>
      <c r="G12" s="198">
        <f t="shared" si="0"/>
        <v>0</v>
      </c>
      <c r="ZO12" s="19"/>
    </row>
    <row r="13" spans="1:691" x14ac:dyDescent="0.3">
      <c r="A13" s="51" t="s">
        <v>191</v>
      </c>
      <c r="B13" s="65" t="s">
        <v>486</v>
      </c>
      <c r="C13" s="108"/>
      <c r="D13" s="159"/>
      <c r="E13" s="197"/>
      <c r="F13" s="202"/>
      <c r="G13" s="198"/>
      <c r="ZO13" s="19"/>
    </row>
    <row r="14" spans="1:691" x14ac:dyDescent="0.3">
      <c r="A14" s="51"/>
      <c r="B14" s="107" t="s">
        <v>46</v>
      </c>
      <c r="C14" s="108" t="s">
        <v>45</v>
      </c>
      <c r="D14" s="159">
        <v>620</v>
      </c>
      <c r="E14" s="197"/>
      <c r="F14" s="202"/>
      <c r="G14" s="198">
        <f t="shared" si="0"/>
        <v>0</v>
      </c>
      <c r="ZO14" s="19"/>
    </row>
    <row r="15" spans="1:691" x14ac:dyDescent="0.3">
      <c r="A15" s="207"/>
      <c r="B15" s="208"/>
      <c r="C15" s="195"/>
      <c r="D15" s="156"/>
      <c r="E15" s="197"/>
      <c r="F15" s="202"/>
      <c r="G15" s="198"/>
    </row>
    <row r="16" spans="1:691" x14ac:dyDescent="0.3">
      <c r="A16" s="68"/>
      <c r="B16" s="31" t="s">
        <v>192</v>
      </c>
      <c r="C16" s="195"/>
      <c r="D16" s="156"/>
      <c r="E16" s="197"/>
      <c r="F16" s="202"/>
      <c r="G16" s="168">
        <f>SUM(G8:G15)</f>
        <v>0</v>
      </c>
    </row>
    <row r="17" spans="1:691" x14ac:dyDescent="0.3">
      <c r="A17" s="33"/>
      <c r="B17" s="34"/>
      <c r="C17" s="195"/>
      <c r="D17" s="156"/>
      <c r="E17" s="197"/>
      <c r="F17" s="202"/>
      <c r="G17" s="164"/>
    </row>
    <row r="18" spans="1:691" x14ac:dyDescent="0.3">
      <c r="A18" s="20" t="s">
        <v>193</v>
      </c>
      <c r="B18" s="21" t="s">
        <v>194</v>
      </c>
      <c r="C18" s="195"/>
      <c r="D18" s="156"/>
      <c r="E18" s="197"/>
      <c r="F18" s="202"/>
      <c r="G18" s="165"/>
      <c r="ZO18" s="19"/>
    </row>
    <row r="19" spans="1:691" x14ac:dyDescent="0.3">
      <c r="A19" s="51" t="s">
        <v>195</v>
      </c>
      <c r="B19" s="65" t="s">
        <v>487</v>
      </c>
      <c r="C19" s="108"/>
      <c r="D19" s="159"/>
      <c r="E19" s="197"/>
      <c r="F19" s="202"/>
      <c r="G19" s="198"/>
      <c r="ZO19" s="19"/>
    </row>
    <row r="20" spans="1:691" x14ac:dyDescent="0.3">
      <c r="A20" s="51"/>
      <c r="B20" s="107" t="s">
        <v>46</v>
      </c>
      <c r="C20" s="108" t="s">
        <v>45</v>
      </c>
      <c r="D20" s="159">
        <v>180</v>
      </c>
      <c r="E20" s="197"/>
      <c r="F20" s="202"/>
      <c r="G20" s="198">
        <f>+D20*E20</f>
        <v>0</v>
      </c>
      <c r="ZO20" s="19"/>
    </row>
    <row r="21" spans="1:691" x14ac:dyDescent="0.3">
      <c r="A21" s="51"/>
      <c r="B21" s="208"/>
      <c r="C21" s="108"/>
      <c r="D21" s="159"/>
      <c r="E21" s="197"/>
      <c r="F21" s="202"/>
      <c r="G21" s="198"/>
      <c r="ZO21" s="19"/>
    </row>
    <row r="22" spans="1:691" x14ac:dyDescent="0.3">
      <c r="A22" s="68"/>
      <c r="B22" s="31" t="s">
        <v>196</v>
      </c>
      <c r="C22" s="195"/>
      <c r="D22" s="156"/>
      <c r="E22" s="197"/>
      <c r="F22" s="202"/>
      <c r="G22" s="168">
        <f>SUM(G20:G20)</f>
        <v>0</v>
      </c>
    </row>
    <row r="23" spans="1:691" x14ac:dyDescent="0.3">
      <c r="A23" s="33"/>
      <c r="B23" s="34"/>
      <c r="C23" s="195"/>
      <c r="D23" s="156"/>
      <c r="E23" s="197"/>
      <c r="F23" s="202"/>
      <c r="G23" s="165"/>
    </row>
    <row r="24" spans="1:691" x14ac:dyDescent="0.3">
      <c r="A24" s="20" t="s">
        <v>197</v>
      </c>
      <c r="B24" s="21" t="s">
        <v>198</v>
      </c>
      <c r="C24" s="195"/>
      <c r="D24" s="156"/>
      <c r="E24" s="197"/>
      <c r="F24" s="202"/>
      <c r="G24" s="165"/>
      <c r="ZO24" s="19"/>
    </row>
    <row r="25" spans="1:691" x14ac:dyDescent="0.3">
      <c r="A25" s="22" t="s">
        <v>199</v>
      </c>
      <c r="B25" s="65" t="s">
        <v>200</v>
      </c>
      <c r="C25" s="195"/>
      <c r="D25" s="156"/>
      <c r="E25" s="197"/>
      <c r="F25" s="202"/>
      <c r="G25" s="165"/>
      <c r="ZO25" s="19"/>
    </row>
    <row r="26" spans="1:691" x14ac:dyDescent="0.3">
      <c r="A26" s="51"/>
      <c r="B26" s="107" t="s">
        <v>32</v>
      </c>
      <c r="C26" s="108" t="s">
        <v>133</v>
      </c>
      <c r="D26" s="159">
        <v>320</v>
      </c>
      <c r="E26" s="197"/>
      <c r="F26" s="202"/>
      <c r="G26" s="198">
        <f>+D26*E26</f>
        <v>0</v>
      </c>
      <c r="ZO26" s="19"/>
    </row>
    <row r="27" spans="1:691" x14ac:dyDescent="0.3">
      <c r="A27" s="51"/>
      <c r="B27" s="58"/>
      <c r="C27" s="108"/>
      <c r="D27" s="159"/>
      <c r="E27" s="197"/>
      <c r="F27" s="202"/>
      <c r="G27" s="198"/>
      <c r="ZO27" s="19"/>
    </row>
    <row r="28" spans="1:691" x14ac:dyDescent="0.3">
      <c r="A28" s="212"/>
      <c r="B28" s="213" t="s">
        <v>201</v>
      </c>
      <c r="C28" s="195"/>
      <c r="D28" s="156"/>
      <c r="E28" s="197"/>
      <c r="F28" s="209"/>
      <c r="G28" s="200">
        <f>SUM(G25:G27)</f>
        <v>0</v>
      </c>
    </row>
    <row r="29" spans="1:691" x14ac:dyDescent="0.3">
      <c r="A29" s="214"/>
      <c r="B29" s="215"/>
      <c r="C29" s="216"/>
      <c r="D29" s="160"/>
      <c r="E29" s="210"/>
      <c r="F29" s="211"/>
      <c r="G29" s="169"/>
    </row>
    <row r="30" spans="1:691" x14ac:dyDescent="0.3">
      <c r="A30" s="217"/>
      <c r="B30" s="217"/>
      <c r="C30" s="218"/>
      <c r="D30" s="161"/>
      <c r="E30" s="219"/>
      <c r="F30" s="219"/>
      <c r="G30" s="170"/>
    </row>
    <row r="31" spans="1:691" x14ac:dyDescent="0.3">
      <c r="A31" s="55"/>
      <c r="B31" s="552" t="s">
        <v>202</v>
      </c>
      <c r="C31" s="552"/>
      <c r="D31" s="552"/>
      <c r="E31" s="552"/>
      <c r="F31" s="220"/>
      <c r="G31" s="181">
        <f>+G28+G22+G16</f>
        <v>0</v>
      </c>
    </row>
    <row r="32" spans="1:691" x14ac:dyDescent="0.3">
      <c r="A32" s="55"/>
      <c r="B32" s="552" t="str">
        <f>CONCATENATE("TVA (",'[45]Recap Generale'!D12,"%)")</f>
        <v>TVA (20%)</v>
      </c>
      <c r="C32" s="552"/>
      <c r="D32" s="552"/>
      <c r="E32" s="552"/>
      <c r="F32" s="220"/>
      <c r="G32" s="181">
        <f>+G31*0.2</f>
        <v>0</v>
      </c>
    </row>
    <row r="33" spans="1:7" x14ac:dyDescent="0.3">
      <c r="A33" s="55"/>
      <c r="B33" s="552" t="s">
        <v>67</v>
      </c>
      <c r="C33" s="552"/>
      <c r="D33" s="552"/>
      <c r="E33" s="552"/>
      <c r="F33" s="220"/>
      <c r="G33" s="181">
        <f>SUM(G31:G32)</f>
        <v>0</v>
      </c>
    </row>
    <row r="34" spans="1:7" x14ac:dyDescent="0.3">
      <c r="A34" s="55"/>
      <c r="B34" s="55"/>
      <c r="C34" s="221"/>
      <c r="E34" s="222"/>
      <c r="F34" s="222"/>
    </row>
  </sheetData>
  <mergeCells count="4">
    <mergeCell ref="A1:E1"/>
    <mergeCell ref="B31:E31"/>
    <mergeCell ref="B32:E32"/>
    <mergeCell ref="B33:E33"/>
  </mergeCells>
  <printOptions horizontalCentered="1"/>
  <pageMargins left="0" right="0" top="0.35433070866141736" bottom="0.35433070866141736" header="0.31496062992125984" footer="0.31496062992125984"/>
  <pageSetup paperSize="9" scale="90" firstPageNumber="234" orientation="portrait" useFirstPageNumber="1" verticalDpi="0" r:id="rId1"/>
  <headerFooter>
    <oddFooter>&amp;LB.E.T.B&amp;RPage -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A5CA-1B14-46BA-A163-3E2354911A0B}">
  <dimension ref="A1:ZQ31"/>
  <sheetViews>
    <sheetView zoomScaleNormal="100" workbookViewId="0">
      <selection activeCell="E8" sqref="E8:E13"/>
    </sheetView>
  </sheetViews>
  <sheetFormatPr baseColWidth="10" defaultColWidth="10.6640625" defaultRowHeight="14.4" x14ac:dyDescent="0.3"/>
  <cols>
    <col min="1" max="1" width="9.6640625" style="1" customWidth="1"/>
    <col min="2" max="2" width="50.33203125" style="1" bestFit="1" customWidth="1"/>
    <col min="3" max="3" width="4.6640625" style="184" customWidth="1"/>
    <col min="4" max="4" width="10.6640625" style="162"/>
    <col min="5" max="5" width="11.33203125" style="47" bestFit="1" customWidth="1"/>
    <col min="6" max="6" width="11.33203125" style="47" customWidth="1"/>
    <col min="7" max="7" width="14.109375" style="171" bestFit="1" customWidth="1"/>
    <col min="8" max="16384" width="10.6640625" style="1"/>
  </cols>
  <sheetData>
    <row r="1" spans="1:693" ht="87" customHeight="1" x14ac:dyDescent="0.3">
      <c r="A1" s="551"/>
      <c r="B1" s="551"/>
      <c r="C1" s="551"/>
      <c r="D1" s="551"/>
      <c r="E1" s="551"/>
      <c r="F1" s="551"/>
      <c r="G1" s="551"/>
    </row>
    <row r="2" spans="1:693" ht="57.6" x14ac:dyDescent="0.3">
      <c r="A2" s="2"/>
      <c r="B2" s="112" t="s">
        <v>7</v>
      </c>
      <c r="C2" s="113" t="s">
        <v>0</v>
      </c>
      <c r="D2" s="175" t="s">
        <v>166</v>
      </c>
      <c r="E2" s="5" t="s">
        <v>8</v>
      </c>
      <c r="F2" s="7" t="s">
        <v>175</v>
      </c>
      <c r="G2" s="179" t="s">
        <v>167</v>
      </c>
    </row>
    <row r="3" spans="1:693" x14ac:dyDescent="0.3">
      <c r="A3" s="8"/>
      <c r="B3" s="9"/>
      <c r="C3" s="204"/>
      <c r="D3" s="155"/>
      <c r="E3" s="205"/>
      <c r="F3" s="201"/>
      <c r="G3" s="165"/>
    </row>
    <row r="4" spans="1:693" ht="15.6" x14ac:dyDescent="0.3">
      <c r="A4" s="194" t="s">
        <v>394</v>
      </c>
      <c r="B4" s="14" t="s">
        <v>395</v>
      </c>
      <c r="C4" s="195"/>
      <c r="D4" s="156"/>
      <c r="E4" s="196"/>
      <c r="F4" s="201"/>
      <c r="G4" s="165"/>
      <c r="ZQ4" s="19"/>
    </row>
    <row r="5" spans="1:693" s="55" customFormat="1" ht="15.6" x14ac:dyDescent="0.3">
      <c r="A5" s="387"/>
      <c r="B5" s="347"/>
      <c r="C5" s="195"/>
      <c r="D5" s="156"/>
      <c r="E5" s="196"/>
      <c r="F5" s="201"/>
      <c r="G5" s="165"/>
      <c r="ZQ5" s="56"/>
    </row>
    <row r="6" spans="1:693" x14ac:dyDescent="0.3">
      <c r="A6" s="20" t="s">
        <v>396</v>
      </c>
      <c r="B6" s="21" t="s">
        <v>397</v>
      </c>
      <c r="C6" s="195"/>
      <c r="D6" s="156"/>
      <c r="E6" s="196"/>
      <c r="F6" s="201"/>
      <c r="G6" s="165"/>
      <c r="ZQ6" s="19"/>
    </row>
    <row r="7" spans="1:693" s="55" customFormat="1" x14ac:dyDescent="0.3">
      <c r="A7" s="51"/>
      <c r="B7" s="52"/>
      <c r="C7" s="195"/>
      <c r="D7" s="156"/>
      <c r="E7" s="196"/>
      <c r="F7" s="201"/>
      <c r="G7" s="198"/>
      <c r="ZQ7" s="56"/>
    </row>
    <row r="8" spans="1:693" ht="27.6" x14ac:dyDescent="0.3">
      <c r="A8" s="22" t="s">
        <v>398</v>
      </c>
      <c r="B8" s="23" t="s">
        <v>399</v>
      </c>
      <c r="C8" s="108"/>
      <c r="D8" s="159"/>
      <c r="E8" s="301"/>
      <c r="F8" s="379"/>
      <c r="G8" s="198"/>
      <c r="ZQ8" s="19"/>
    </row>
    <row r="9" spans="1:693" x14ac:dyDescent="0.3">
      <c r="A9" s="22"/>
      <c r="B9" s="302" t="s">
        <v>488</v>
      </c>
      <c r="C9" s="195"/>
      <c r="D9" s="159"/>
      <c r="E9" s="303"/>
      <c r="F9" s="380"/>
      <c r="G9" s="198"/>
      <c r="ZQ9" s="19"/>
    </row>
    <row r="10" spans="1:693" x14ac:dyDescent="0.3">
      <c r="A10" s="24"/>
      <c r="B10" s="107" t="s">
        <v>400</v>
      </c>
      <c r="C10" s="304" t="s">
        <v>0</v>
      </c>
      <c r="D10" s="159">
        <v>8</v>
      </c>
      <c r="E10" s="301"/>
      <c r="F10" s="379"/>
      <c r="G10" s="198">
        <f>+D10*E10</f>
        <v>0</v>
      </c>
      <c r="ZQ10" s="19"/>
    </row>
    <row r="11" spans="1:693" x14ac:dyDescent="0.3">
      <c r="A11" s="22"/>
      <c r="B11" s="302" t="s">
        <v>489</v>
      </c>
      <c r="C11" s="32"/>
      <c r="D11" s="159"/>
      <c r="E11" s="303"/>
      <c r="F11" s="380"/>
      <c r="G11" s="198"/>
      <c r="ZQ11" s="19"/>
    </row>
    <row r="12" spans="1:693" x14ac:dyDescent="0.3">
      <c r="A12" s="24"/>
      <c r="B12" s="107" t="s">
        <v>400</v>
      </c>
      <c r="C12" s="304" t="s">
        <v>0</v>
      </c>
      <c r="D12" s="159">
        <v>6</v>
      </c>
      <c r="E12" s="301"/>
      <c r="F12" s="379"/>
      <c r="G12" s="198">
        <f>+D12*E12</f>
        <v>0</v>
      </c>
      <c r="ZQ12" s="19"/>
    </row>
    <row r="13" spans="1:693" x14ac:dyDescent="0.3">
      <c r="A13" s="207"/>
      <c r="B13" s="30"/>
      <c r="C13" s="32"/>
      <c r="D13" s="159"/>
      <c r="E13" s="199"/>
      <c r="F13" s="203"/>
      <c r="G13" s="198"/>
    </row>
    <row r="14" spans="1:693" x14ac:dyDescent="0.3">
      <c r="A14" s="388"/>
      <c r="B14" s="553" t="s">
        <v>401</v>
      </c>
      <c r="C14" s="553"/>
      <c r="D14" s="553"/>
      <c r="E14" s="553"/>
      <c r="F14" s="553"/>
      <c r="G14" s="382">
        <f>SUM(G7:G13)</f>
        <v>0</v>
      </c>
    </row>
    <row r="15" spans="1:693" x14ac:dyDescent="0.3">
      <c r="A15" s="383"/>
      <c r="B15" s="383"/>
      <c r="C15" s="384"/>
      <c r="D15" s="381"/>
      <c r="E15" s="385"/>
      <c r="F15" s="385"/>
      <c r="G15" s="305"/>
    </row>
    <row r="16" spans="1:693" x14ac:dyDescent="0.3">
      <c r="A16" s="55"/>
      <c r="B16" s="552" t="s">
        <v>402</v>
      </c>
      <c r="C16" s="552"/>
      <c r="D16" s="552"/>
      <c r="E16" s="552"/>
      <c r="F16" s="220"/>
      <c r="G16" s="386">
        <f>+G14</f>
        <v>0</v>
      </c>
    </row>
    <row r="17" spans="1:7" x14ac:dyDescent="0.3">
      <c r="A17" s="55"/>
      <c r="B17" s="552" t="str">
        <f>CONCATENATE("TVA (",'[45]Recap Generale'!D12,"%)")</f>
        <v>TVA (20%)</v>
      </c>
      <c r="C17" s="552"/>
      <c r="D17" s="552"/>
      <c r="E17" s="552"/>
      <c r="F17" s="220"/>
      <c r="G17" s="386">
        <f>+G16*0.2</f>
        <v>0</v>
      </c>
    </row>
    <row r="18" spans="1:7" x14ac:dyDescent="0.3">
      <c r="A18" s="55"/>
      <c r="B18" s="552" t="s">
        <v>67</v>
      </c>
      <c r="C18" s="552"/>
      <c r="D18" s="552"/>
      <c r="E18" s="552"/>
      <c r="F18" s="220"/>
      <c r="G18" s="386">
        <f>SUM(G16:G17)</f>
        <v>0</v>
      </c>
    </row>
    <row r="19" spans="1:7" x14ac:dyDescent="0.3">
      <c r="A19" s="55"/>
      <c r="B19" s="55"/>
      <c r="C19" s="221"/>
      <c r="E19" s="222"/>
      <c r="F19" s="222"/>
    </row>
    <row r="23" spans="1:7" x14ac:dyDescent="0.3">
      <c r="G23" s="305"/>
    </row>
    <row r="29" spans="1:7" x14ac:dyDescent="0.3">
      <c r="G29" s="305"/>
    </row>
    <row r="30" spans="1:7" x14ac:dyDescent="0.3">
      <c r="G30" s="305"/>
    </row>
    <row r="31" spans="1:7" x14ac:dyDescent="0.3">
      <c r="G31" s="305"/>
    </row>
  </sheetData>
  <mergeCells count="5">
    <mergeCell ref="A1:G1"/>
    <mergeCell ref="B16:E16"/>
    <mergeCell ref="B17:E17"/>
    <mergeCell ref="B18:E18"/>
    <mergeCell ref="B14:F14"/>
  </mergeCells>
  <printOptions horizontalCentered="1"/>
  <pageMargins left="0" right="0" top="0.35433070866141736" bottom="0.55118110236220474" header="0.31496062992125984" footer="0.31496062992125984"/>
  <pageSetup paperSize="9" scale="85" firstPageNumber="235" orientation="portrait" useFirstPageNumber="1" verticalDpi="0" r:id="rId1"/>
  <headerFooter>
    <oddFooter>&amp;LB.E.T.B&amp;RPage -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C099-F423-4CAB-9905-D0817088910E}">
  <dimension ref="A1:ZJ287"/>
  <sheetViews>
    <sheetView topLeftCell="A2" zoomScaleNormal="100" workbookViewId="0">
      <selection activeCell="E6" sqref="E6:E16"/>
    </sheetView>
  </sheetViews>
  <sheetFormatPr baseColWidth="10" defaultColWidth="11.5546875" defaultRowHeight="14.4" x14ac:dyDescent="0.3"/>
  <cols>
    <col min="1" max="1" width="7.88671875" style="309" customWidth="1"/>
    <col min="2" max="2" width="49" style="309" customWidth="1"/>
    <col min="3" max="3" width="5.33203125" style="309" customWidth="1"/>
    <col min="4" max="4" width="12" style="308" customWidth="1"/>
    <col min="5" max="6" width="12.44140625" style="340" customWidth="1"/>
    <col min="7" max="7" width="14.109375" style="171" bestFit="1" customWidth="1"/>
    <col min="8" max="8" width="17.33203125" style="1" customWidth="1"/>
    <col min="9" max="24" width="11.5546875" style="308"/>
    <col min="25" max="16384" width="11.5546875" style="309"/>
  </cols>
  <sheetData>
    <row r="1" spans="1:679" ht="88.5" customHeight="1" x14ac:dyDescent="0.3">
      <c r="A1" s="554"/>
      <c r="B1" s="555"/>
      <c r="C1" s="555"/>
      <c r="D1" s="555"/>
      <c r="E1" s="555"/>
      <c r="F1" s="377"/>
      <c r="G1" s="306"/>
      <c r="H1" s="307"/>
    </row>
    <row r="2" spans="1:679" s="1" customFormat="1" ht="73.5" customHeight="1" x14ac:dyDescent="0.3">
      <c r="A2" s="2"/>
      <c r="B2" s="112" t="s">
        <v>7</v>
      </c>
      <c r="C2" s="113" t="s">
        <v>0</v>
      </c>
      <c r="D2" s="401" t="s">
        <v>166</v>
      </c>
      <c r="E2" s="5" t="s">
        <v>8</v>
      </c>
      <c r="F2" s="392" t="s">
        <v>175</v>
      </c>
      <c r="G2" s="393" t="s">
        <v>167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679" x14ac:dyDescent="0.3">
      <c r="A3" s="310"/>
      <c r="B3" s="311"/>
      <c r="C3" s="277"/>
      <c r="D3" s="155"/>
      <c r="E3" s="395"/>
      <c r="F3" s="395"/>
      <c r="G3" s="164"/>
      <c r="H3" s="312"/>
      <c r="Y3" s="308"/>
      <c r="Z3" s="308"/>
      <c r="AA3" s="308"/>
    </row>
    <row r="4" spans="1:679" s="60" customFormat="1" ht="15.6" x14ac:dyDescent="0.3">
      <c r="A4" s="313">
        <v>8</v>
      </c>
      <c r="B4" s="14" t="s">
        <v>403</v>
      </c>
      <c r="C4" s="277"/>
      <c r="D4" s="156"/>
      <c r="E4" s="346"/>
      <c r="F4" s="346"/>
      <c r="G4" s="165"/>
      <c r="H4" s="55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ZC4" s="315"/>
    </row>
    <row r="5" spans="1:679" x14ac:dyDescent="0.3">
      <c r="A5" s="316"/>
      <c r="B5" s="107"/>
      <c r="C5" s="304"/>
      <c r="D5" s="156"/>
      <c r="E5" s="396"/>
      <c r="F5" s="396"/>
      <c r="G5" s="165"/>
      <c r="H5" s="317"/>
      <c r="Y5" s="308"/>
      <c r="Z5" s="308"/>
      <c r="AA5" s="308"/>
    </row>
    <row r="6" spans="1:679" x14ac:dyDescent="0.3">
      <c r="A6" s="318" t="s">
        <v>404</v>
      </c>
      <c r="B6" s="21" t="s">
        <v>405</v>
      </c>
      <c r="C6" s="277"/>
      <c r="D6" s="156"/>
      <c r="E6" s="396"/>
      <c r="F6" s="396"/>
      <c r="G6" s="165"/>
      <c r="H6" s="317"/>
      <c r="Y6" s="308"/>
      <c r="Z6" s="308"/>
      <c r="AA6" s="308"/>
    </row>
    <row r="7" spans="1:679" x14ac:dyDescent="0.3">
      <c r="A7" s="316" t="s">
        <v>406</v>
      </c>
      <c r="B7" s="23" t="s">
        <v>407</v>
      </c>
      <c r="C7" s="277"/>
      <c r="D7" s="156"/>
      <c r="E7" s="396"/>
      <c r="F7" s="396"/>
      <c r="G7" s="165"/>
      <c r="H7" s="317"/>
      <c r="Y7" s="308"/>
      <c r="Z7" s="308"/>
      <c r="AA7" s="308"/>
    </row>
    <row r="8" spans="1:679" x14ac:dyDescent="0.3">
      <c r="A8" s="320"/>
      <c r="B8" s="302" t="s">
        <v>408</v>
      </c>
      <c r="C8" s="304"/>
      <c r="D8" s="159"/>
      <c r="E8" s="396"/>
      <c r="F8" s="396"/>
      <c r="G8" s="198"/>
      <c r="H8" s="317"/>
      <c r="Y8" s="308"/>
      <c r="Z8" s="308"/>
      <c r="AA8" s="308"/>
    </row>
    <row r="9" spans="1:679" x14ac:dyDescent="0.3">
      <c r="A9" s="322"/>
      <c r="B9" s="107" t="s">
        <v>400</v>
      </c>
      <c r="C9" s="304" t="s">
        <v>0</v>
      </c>
      <c r="D9" s="159">
        <v>10</v>
      </c>
      <c r="E9" s="396"/>
      <c r="F9" s="396"/>
      <c r="G9" s="198">
        <f>E9*D9</f>
        <v>0</v>
      </c>
      <c r="H9" s="317"/>
      <c r="Y9" s="308"/>
      <c r="Z9" s="308"/>
      <c r="AA9" s="308"/>
    </row>
    <row r="10" spans="1:679" x14ac:dyDescent="0.3">
      <c r="A10" s="316"/>
      <c r="B10" s="208"/>
      <c r="C10" s="304"/>
      <c r="D10" s="159"/>
      <c r="E10" s="396"/>
      <c r="F10" s="396"/>
      <c r="G10" s="198"/>
      <c r="H10" s="317"/>
      <c r="Y10" s="308"/>
      <c r="Z10" s="308"/>
      <c r="AA10" s="308"/>
    </row>
    <row r="11" spans="1:679" s="1" customFormat="1" x14ac:dyDescent="0.3">
      <c r="A11" s="323"/>
      <c r="B11" s="31" t="s">
        <v>410</v>
      </c>
      <c r="C11" s="195"/>
      <c r="D11" s="159"/>
      <c r="E11" s="396"/>
      <c r="F11" s="396"/>
      <c r="G11" s="397">
        <f>SUM(G7:G10)</f>
        <v>0</v>
      </c>
      <c r="H11" s="324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679" s="1" customFormat="1" x14ac:dyDescent="0.3">
      <c r="A12" s="389"/>
      <c r="B12" s="72"/>
      <c r="C12" s="195"/>
      <c r="D12" s="159"/>
      <c r="E12" s="396"/>
      <c r="F12" s="396"/>
      <c r="G12" s="398"/>
      <c r="H12" s="324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679" x14ac:dyDescent="0.3">
      <c r="A13" s="318" t="s">
        <v>490</v>
      </c>
      <c r="B13" s="21" t="s">
        <v>412</v>
      </c>
      <c r="C13" s="277"/>
      <c r="D13" s="156"/>
      <c r="E13" s="173"/>
      <c r="F13" s="173"/>
      <c r="G13" s="325"/>
      <c r="H13" s="308"/>
      <c r="Y13" s="308"/>
      <c r="Z13" s="308"/>
      <c r="AA13" s="308"/>
    </row>
    <row r="14" spans="1:679" x14ac:dyDescent="0.3">
      <c r="A14" s="316" t="s">
        <v>491</v>
      </c>
      <c r="B14" s="302" t="s">
        <v>414</v>
      </c>
      <c r="C14" s="304"/>
      <c r="D14" s="156"/>
      <c r="E14" s="173"/>
      <c r="F14" s="173"/>
      <c r="G14" s="325"/>
      <c r="H14" s="308"/>
      <c r="Y14" s="308"/>
      <c r="Z14" s="308"/>
      <c r="AA14" s="308"/>
    </row>
    <row r="15" spans="1:679" x14ac:dyDescent="0.3">
      <c r="A15" s="322"/>
      <c r="B15" s="29" t="s">
        <v>46</v>
      </c>
      <c r="C15" s="304" t="s">
        <v>134</v>
      </c>
      <c r="D15" s="156">
        <v>920</v>
      </c>
      <c r="E15" s="396"/>
      <c r="F15" s="396"/>
      <c r="G15" s="325">
        <f>+E15*D15</f>
        <v>0</v>
      </c>
      <c r="H15" s="308"/>
      <c r="Y15" s="308"/>
      <c r="Z15" s="308"/>
      <c r="AA15" s="308"/>
    </row>
    <row r="16" spans="1:679" x14ac:dyDescent="0.3">
      <c r="A16" s="322"/>
      <c r="B16" s="208"/>
      <c r="C16" s="304"/>
      <c r="D16" s="159"/>
      <c r="E16" s="173"/>
      <c r="F16" s="173"/>
      <c r="G16" s="327"/>
      <c r="H16" s="308"/>
      <c r="Y16" s="308"/>
      <c r="Z16" s="308"/>
      <c r="AA16" s="308"/>
    </row>
    <row r="17" spans="1:685" s="1" customFormat="1" x14ac:dyDescent="0.3">
      <c r="A17" s="323"/>
      <c r="B17" s="328" t="s">
        <v>415</v>
      </c>
      <c r="C17" s="329"/>
      <c r="D17" s="330"/>
      <c r="E17" s="399"/>
      <c r="F17" s="399"/>
      <c r="G17" s="400">
        <f>SUM(G13:G16)</f>
        <v>0</v>
      </c>
      <c r="H17" s="308"/>
      <c r="I17" s="308"/>
      <c r="J17" s="308"/>
      <c r="K17" s="308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spans="1:685" x14ac:dyDescent="0.3">
      <c r="A18" s="332"/>
      <c r="B18" s="333"/>
      <c r="C18" s="333"/>
      <c r="D18" s="394"/>
      <c r="E18" s="378"/>
      <c r="F18" s="378"/>
      <c r="G18" s="334"/>
      <c r="H18" s="55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</row>
    <row r="19" spans="1:685" ht="17.25" customHeight="1" x14ac:dyDescent="0.3">
      <c r="A19" s="55"/>
      <c r="B19" s="552" t="s">
        <v>416</v>
      </c>
      <c r="C19" s="552"/>
      <c r="D19" s="552"/>
      <c r="E19" s="552"/>
      <c r="F19" s="220"/>
      <c r="G19" s="402">
        <f>G11+G17</f>
        <v>0</v>
      </c>
      <c r="H19" s="335"/>
      <c r="Y19" s="308"/>
      <c r="Z19" s="308"/>
      <c r="AA19" s="308"/>
      <c r="AB19" s="308"/>
      <c r="AC19" s="308"/>
      <c r="AD19" s="308"/>
      <c r="AE19" s="308"/>
      <c r="AF19" s="308"/>
      <c r="AG19" s="308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</row>
    <row r="20" spans="1:685" x14ac:dyDescent="0.3">
      <c r="A20" s="55"/>
      <c r="B20" s="521" t="s">
        <v>417</v>
      </c>
      <c r="C20" s="521"/>
      <c r="D20" s="521"/>
      <c r="E20" s="521"/>
      <c r="F20" s="182"/>
      <c r="G20" s="402">
        <f>+G19*0.2</f>
        <v>0</v>
      </c>
      <c r="H20" s="335"/>
      <c r="Y20" s="308"/>
      <c r="Z20" s="308"/>
      <c r="AA20" s="308"/>
      <c r="AB20" s="308"/>
      <c r="AC20" s="308"/>
      <c r="AD20" s="308"/>
      <c r="AE20" s="308"/>
      <c r="AF20" s="308"/>
      <c r="AG20" s="308"/>
      <c r="AH20" s="308"/>
      <c r="AI20" s="308"/>
      <c r="AJ20" s="308"/>
      <c r="AK20" s="308"/>
      <c r="AL20" s="308"/>
      <c r="AM20" s="308"/>
      <c r="AN20" s="308"/>
      <c r="AO20" s="308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</row>
    <row r="21" spans="1:685" s="60" customFormat="1" ht="17.25" customHeight="1" x14ac:dyDescent="0.3">
      <c r="A21" s="55"/>
      <c r="B21" s="552" t="s">
        <v>67</v>
      </c>
      <c r="C21" s="552"/>
      <c r="D21" s="552"/>
      <c r="E21" s="552"/>
      <c r="F21" s="220"/>
      <c r="G21" s="402">
        <f>SUM(G19:G20)</f>
        <v>0</v>
      </c>
      <c r="H21" s="335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ZI21" s="60" t="s">
        <v>83</v>
      </c>
    </row>
    <row r="22" spans="1:685" s="60" customFormat="1" x14ac:dyDescent="0.3">
      <c r="A22" s="336"/>
      <c r="B22" s="308"/>
      <c r="C22" s="308"/>
      <c r="D22" s="308"/>
      <c r="E22" s="337"/>
      <c r="F22" s="337"/>
      <c r="G22" s="334"/>
      <c r="H22" s="55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</row>
    <row r="23" spans="1:685" s="60" customFormat="1" ht="28.5" customHeight="1" x14ac:dyDescent="0.3">
      <c r="A23" s="51"/>
      <c r="B23" s="308"/>
      <c r="C23" s="308"/>
      <c r="D23" s="308"/>
      <c r="E23" s="337"/>
      <c r="F23" s="337"/>
      <c r="G23" s="171"/>
      <c r="H23" s="55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ZI23" s="60" t="s">
        <v>84</v>
      </c>
    </row>
    <row r="24" spans="1:685" s="60" customFormat="1" ht="28.5" customHeight="1" x14ac:dyDescent="0.3">
      <c r="A24" s="338"/>
      <c r="B24" s="308"/>
      <c r="C24" s="308"/>
      <c r="D24" s="308"/>
      <c r="E24" s="337"/>
      <c r="F24" s="337"/>
      <c r="G24" s="171"/>
      <c r="H24" s="55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ZI24" s="60" t="s">
        <v>68</v>
      </c>
    </row>
    <row r="25" spans="1:685" s="60" customFormat="1" ht="28.5" customHeight="1" x14ac:dyDescent="0.3">
      <c r="A25" s="339"/>
      <c r="B25" s="308"/>
      <c r="C25" s="308"/>
      <c r="D25" s="308"/>
      <c r="E25" s="337"/>
      <c r="F25" s="337"/>
      <c r="G25" s="171"/>
      <c r="H25" s="55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4"/>
      <c r="BG25" s="314"/>
      <c r="ZI25" s="60" t="s">
        <v>85</v>
      </c>
    </row>
    <row r="26" spans="1:685" s="308" customFormat="1" x14ac:dyDescent="0.3">
      <c r="A26" s="314"/>
      <c r="E26" s="337"/>
      <c r="F26" s="337"/>
      <c r="G26" s="171"/>
      <c r="H26" s="55"/>
    </row>
    <row r="27" spans="1:685" x14ac:dyDescent="0.3">
      <c r="A27" s="314"/>
      <c r="B27" s="308"/>
      <c r="C27" s="308"/>
      <c r="E27" s="337"/>
      <c r="F27" s="337"/>
      <c r="H27" s="55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  <c r="AL27" s="308"/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</row>
    <row r="28" spans="1:685" x14ac:dyDescent="0.3">
      <c r="A28" s="314"/>
      <c r="B28" s="308"/>
      <c r="C28" s="308"/>
      <c r="E28" s="337"/>
      <c r="F28" s="337"/>
      <c r="H28" s="55"/>
      <c r="Y28" s="308"/>
      <c r="Z28" s="308"/>
      <c r="AA28" s="308"/>
      <c r="AB28" s="308"/>
      <c r="AC28" s="308"/>
      <c r="AD28" s="308"/>
      <c r="AE28" s="308"/>
      <c r="AF28" s="308"/>
      <c r="AG28" s="308"/>
      <c r="AH28" s="308"/>
      <c r="AI28" s="308"/>
      <c r="AJ28" s="308"/>
      <c r="AK28" s="308"/>
      <c r="AL28" s="308"/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</row>
    <row r="29" spans="1:685" x14ac:dyDescent="0.3">
      <c r="A29" s="308"/>
      <c r="B29" s="308"/>
      <c r="C29" s="308"/>
      <c r="E29" s="337"/>
      <c r="F29" s="337"/>
      <c r="H29" s="55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8"/>
      <c r="AQ29" s="308"/>
      <c r="AR29" s="308"/>
      <c r="AS29" s="308"/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</row>
    <row r="30" spans="1:685" x14ac:dyDescent="0.3">
      <c r="A30" s="308"/>
      <c r="B30" s="308"/>
      <c r="C30" s="308"/>
      <c r="E30" s="337"/>
      <c r="F30" s="337"/>
      <c r="H30" s="55"/>
      <c r="Y30" s="308"/>
      <c r="Z30" s="308"/>
      <c r="AA30" s="308"/>
      <c r="AB30" s="308"/>
      <c r="AC30" s="308"/>
      <c r="AD30" s="308"/>
      <c r="AE30" s="308"/>
      <c r="AF30" s="308"/>
      <c r="AG30" s="308"/>
      <c r="AH30" s="308"/>
      <c r="AI30" s="308"/>
      <c r="AJ30" s="308"/>
      <c r="AK30" s="308"/>
      <c r="AL30" s="308"/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</row>
    <row r="31" spans="1:685" x14ac:dyDescent="0.3">
      <c r="A31" s="308"/>
      <c r="B31" s="308"/>
      <c r="C31" s="308"/>
      <c r="E31" s="337"/>
      <c r="F31" s="337"/>
      <c r="H31" s="55"/>
      <c r="Y31" s="308"/>
      <c r="Z31" s="308"/>
      <c r="AA31" s="308"/>
      <c r="AB31" s="308"/>
      <c r="AC31" s="308"/>
      <c r="AD31" s="308"/>
      <c r="AE31" s="308"/>
      <c r="AF31" s="308"/>
      <c r="AG31" s="308"/>
      <c r="AH31" s="308"/>
      <c r="AI31" s="308"/>
      <c r="AJ31" s="308"/>
      <c r="AK31" s="308"/>
      <c r="AL31" s="308"/>
      <c r="AM31" s="308"/>
      <c r="AN31" s="308"/>
      <c r="AO31" s="308"/>
      <c r="AP31" s="308"/>
      <c r="AQ31" s="308"/>
      <c r="AR31" s="308"/>
      <c r="AS31" s="308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</row>
    <row r="32" spans="1:685" x14ac:dyDescent="0.3">
      <c r="A32" s="308"/>
      <c r="B32" s="308"/>
      <c r="C32" s="308"/>
      <c r="E32" s="337"/>
      <c r="F32" s="337"/>
      <c r="H32" s="55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8"/>
      <c r="AR32" s="308"/>
      <c r="AS32" s="308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</row>
    <row r="33" spans="1:59" x14ac:dyDescent="0.3">
      <c r="A33" s="308"/>
      <c r="B33" s="308"/>
      <c r="C33" s="308"/>
      <c r="E33" s="337"/>
      <c r="F33" s="337"/>
      <c r="H33" s="55"/>
      <c r="Y33" s="308"/>
      <c r="Z33" s="308"/>
      <c r="AA33" s="308"/>
      <c r="AB33" s="308"/>
      <c r="AC33" s="308"/>
      <c r="AD33" s="308"/>
      <c r="AE33" s="308"/>
      <c r="AF33" s="308"/>
      <c r="AG33" s="308"/>
      <c r="AH33" s="308"/>
      <c r="AI33" s="308"/>
      <c r="AJ33" s="308"/>
      <c r="AK33" s="308"/>
      <c r="AL33" s="308"/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</row>
    <row r="34" spans="1:59" x14ac:dyDescent="0.3">
      <c r="A34" s="308"/>
      <c r="B34" s="308"/>
      <c r="C34" s="308"/>
      <c r="E34" s="337"/>
      <c r="F34" s="337"/>
      <c r="H34" s="55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</row>
    <row r="35" spans="1:59" x14ac:dyDescent="0.3">
      <c r="A35" s="308"/>
      <c r="B35" s="308"/>
      <c r="C35" s="308"/>
      <c r="E35" s="337"/>
      <c r="F35" s="337"/>
      <c r="H35" s="55"/>
      <c r="Y35" s="308"/>
      <c r="Z35" s="308"/>
      <c r="AA35" s="308"/>
      <c r="AB35" s="308"/>
      <c r="AC35" s="308"/>
      <c r="AD35" s="308"/>
      <c r="AE35" s="308"/>
      <c r="AF35" s="308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</row>
    <row r="36" spans="1:59" x14ac:dyDescent="0.3">
      <c r="A36" s="308"/>
      <c r="B36" s="308"/>
      <c r="C36" s="308"/>
      <c r="E36" s="337"/>
      <c r="F36" s="337"/>
      <c r="H36" s="55"/>
      <c r="Y36" s="308"/>
      <c r="Z36" s="308"/>
      <c r="AA36" s="308"/>
      <c r="AB36" s="308"/>
      <c r="AC36" s="308"/>
      <c r="AD36" s="308"/>
      <c r="AE36" s="308"/>
      <c r="AF36" s="308"/>
      <c r="AG36" s="30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</row>
    <row r="37" spans="1:59" x14ac:dyDescent="0.3">
      <c r="A37" s="308"/>
      <c r="B37" s="308"/>
      <c r="C37" s="308"/>
      <c r="E37" s="337"/>
      <c r="F37" s="337"/>
      <c r="H37" s="55"/>
      <c r="Y37" s="308"/>
      <c r="Z37" s="308"/>
      <c r="AA37" s="308"/>
      <c r="AB37" s="308"/>
      <c r="AC37" s="308"/>
      <c r="AD37" s="308"/>
      <c r="AE37" s="308"/>
      <c r="AF37" s="308"/>
      <c r="AG37" s="308"/>
      <c r="AH37" s="308"/>
      <c r="AI37" s="308"/>
      <c r="AJ37" s="308"/>
      <c r="AK37" s="308"/>
      <c r="AL37" s="308"/>
      <c r="AM37" s="308"/>
      <c r="AN37" s="308"/>
      <c r="AO37" s="308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</row>
    <row r="38" spans="1:59" x14ac:dyDescent="0.3">
      <c r="A38" s="308"/>
      <c r="B38" s="308"/>
      <c r="C38" s="308"/>
      <c r="E38" s="337"/>
      <c r="F38" s="337"/>
      <c r="H38" s="55"/>
      <c r="Y38" s="308"/>
      <c r="Z38" s="308"/>
      <c r="AA38" s="308"/>
      <c r="AB38" s="308"/>
      <c r="AC38" s="308"/>
      <c r="AD38" s="308"/>
      <c r="AE38" s="308"/>
      <c r="AF38" s="308"/>
      <c r="AG38" s="308"/>
      <c r="AH38" s="308"/>
      <c r="AI38" s="308"/>
      <c r="AJ38" s="308"/>
      <c r="AK38" s="308"/>
      <c r="AL38" s="308"/>
      <c r="AM38" s="308"/>
      <c r="AN38" s="308"/>
      <c r="AO38" s="308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</row>
    <row r="39" spans="1:59" x14ac:dyDescent="0.3">
      <c r="A39" s="308"/>
      <c r="B39" s="308"/>
      <c r="C39" s="308"/>
      <c r="E39" s="337"/>
      <c r="F39" s="337"/>
      <c r="H39" s="55"/>
      <c r="Y39" s="308"/>
      <c r="Z39" s="308"/>
      <c r="AA39" s="308"/>
      <c r="AB39" s="308"/>
      <c r="AC39" s="308"/>
      <c r="AD39" s="308"/>
      <c r="AE39" s="308"/>
      <c r="AF39" s="308"/>
      <c r="AG39" s="308"/>
      <c r="AH39" s="308"/>
      <c r="AI39" s="308"/>
      <c r="AJ39" s="308"/>
      <c r="AK39" s="308"/>
      <c r="AL39" s="308"/>
      <c r="AM39" s="308"/>
      <c r="AN39" s="308"/>
      <c r="AO39" s="308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</row>
    <row r="40" spans="1:59" x14ac:dyDescent="0.3">
      <c r="A40" s="308"/>
      <c r="B40" s="308"/>
      <c r="C40" s="308"/>
      <c r="E40" s="337"/>
      <c r="F40" s="337"/>
      <c r="H40" s="55"/>
      <c r="Y40" s="308"/>
      <c r="Z40" s="308"/>
      <c r="AA40" s="308"/>
      <c r="AB40" s="308"/>
      <c r="AC40" s="308"/>
      <c r="AD40" s="308"/>
      <c r="AE40" s="308"/>
      <c r="AF40" s="308"/>
      <c r="AG40" s="308"/>
      <c r="AH40" s="308"/>
      <c r="AI40" s="308"/>
      <c r="AJ40" s="308"/>
      <c r="AK40" s="308"/>
      <c r="AL40" s="308"/>
      <c r="AM40" s="308"/>
      <c r="AN40" s="308"/>
      <c r="AO40" s="308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</row>
    <row r="41" spans="1:59" x14ac:dyDescent="0.3">
      <c r="A41" s="308"/>
      <c r="B41" s="308"/>
      <c r="C41" s="308"/>
      <c r="E41" s="337"/>
      <c r="F41" s="337"/>
      <c r="H41" s="55"/>
      <c r="Y41" s="308"/>
      <c r="Z41" s="308"/>
      <c r="AA41" s="308"/>
      <c r="AB41" s="308"/>
      <c r="AC41" s="308"/>
      <c r="AD41" s="308"/>
      <c r="AE41" s="308"/>
      <c r="AF41" s="308"/>
      <c r="AG41" s="308"/>
      <c r="AH41" s="308"/>
      <c r="AI41" s="308"/>
      <c r="AJ41" s="308"/>
      <c r="AK41" s="308"/>
      <c r="AL41" s="308"/>
      <c r="AM41" s="308"/>
      <c r="AN41" s="308"/>
      <c r="AO41" s="308"/>
      <c r="AP41" s="308"/>
      <c r="AQ41" s="308"/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</row>
    <row r="42" spans="1:59" x14ac:dyDescent="0.3">
      <c r="A42" s="308"/>
      <c r="B42" s="308"/>
      <c r="C42" s="308"/>
      <c r="E42" s="337"/>
      <c r="F42" s="337"/>
      <c r="H42" s="55"/>
      <c r="Y42" s="308"/>
      <c r="Z42" s="308"/>
      <c r="AA42" s="308"/>
      <c r="AB42" s="308"/>
      <c r="AC42" s="308"/>
      <c r="AD42" s="308"/>
      <c r="AE42" s="308"/>
      <c r="AF42" s="308"/>
      <c r="AG42" s="308"/>
      <c r="AH42" s="308"/>
      <c r="AI42" s="308"/>
      <c r="AJ42" s="308"/>
      <c r="AK42" s="308"/>
      <c r="AL42" s="308"/>
      <c r="AM42" s="308"/>
      <c r="AN42" s="308"/>
      <c r="AO42" s="308"/>
      <c r="AP42" s="308"/>
      <c r="AQ42" s="308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</row>
    <row r="43" spans="1:59" x14ac:dyDescent="0.3">
      <c r="A43" s="308"/>
      <c r="B43" s="308"/>
      <c r="C43" s="308"/>
      <c r="E43" s="337"/>
      <c r="F43" s="337"/>
      <c r="H43" s="55"/>
      <c r="Y43" s="308"/>
      <c r="Z43" s="308"/>
      <c r="AA43" s="308"/>
      <c r="AB43" s="308"/>
      <c r="AC43" s="308"/>
      <c r="AD43" s="308"/>
      <c r="AE43" s="308"/>
      <c r="AF43" s="308"/>
      <c r="AG43" s="308"/>
      <c r="AH43" s="308"/>
      <c r="AI43" s="308"/>
      <c r="AJ43" s="308"/>
      <c r="AK43" s="308"/>
      <c r="AL43" s="308"/>
      <c r="AM43" s="308"/>
      <c r="AN43" s="308"/>
      <c r="AO43" s="308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</row>
    <row r="44" spans="1:59" x14ac:dyDescent="0.3">
      <c r="A44" s="308"/>
      <c r="B44" s="308"/>
      <c r="C44" s="308"/>
      <c r="E44" s="337"/>
      <c r="F44" s="337"/>
      <c r="H44" s="55"/>
      <c r="Y44" s="308"/>
      <c r="Z44" s="308"/>
      <c r="AA44" s="308"/>
      <c r="AB44" s="308"/>
      <c r="AC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</row>
    <row r="45" spans="1:59" x14ac:dyDescent="0.3">
      <c r="A45" s="308"/>
      <c r="B45" s="308"/>
      <c r="C45" s="308"/>
      <c r="E45" s="337"/>
      <c r="F45" s="337"/>
      <c r="H45" s="55"/>
      <c r="Y45" s="308"/>
      <c r="Z45" s="308"/>
      <c r="AA45" s="308"/>
      <c r="AB45" s="308"/>
      <c r="AC45" s="308"/>
      <c r="AD45" s="308"/>
      <c r="AE45" s="308"/>
      <c r="AF45" s="308"/>
      <c r="AG45" s="308"/>
      <c r="AH45" s="308"/>
      <c r="AI45" s="308"/>
      <c r="AJ45" s="308"/>
      <c r="AK45" s="308"/>
      <c r="AL45" s="308"/>
      <c r="AM45" s="308"/>
      <c r="AN45" s="308"/>
      <c r="AO45" s="308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</row>
    <row r="46" spans="1:59" x14ac:dyDescent="0.3">
      <c r="A46" s="308"/>
      <c r="B46" s="308"/>
      <c r="C46" s="308"/>
      <c r="E46" s="337"/>
      <c r="F46" s="337"/>
      <c r="H46" s="55"/>
      <c r="Y46" s="308"/>
      <c r="Z46" s="308"/>
      <c r="AA46" s="308"/>
      <c r="AB46" s="308"/>
      <c r="AC46" s="308"/>
      <c r="AD46" s="308"/>
      <c r="AE46" s="308"/>
      <c r="AF46" s="308"/>
      <c r="AG46" s="308"/>
      <c r="AH46" s="308"/>
      <c r="AI46" s="308"/>
      <c r="AJ46" s="308"/>
      <c r="AK46" s="308"/>
      <c r="AL46" s="308"/>
      <c r="AM46" s="308"/>
      <c r="AN46" s="308"/>
      <c r="AO46" s="308"/>
      <c r="AP46" s="308"/>
      <c r="AQ46" s="308"/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</row>
    <row r="47" spans="1:59" x14ac:dyDescent="0.3">
      <c r="A47" s="308"/>
      <c r="B47" s="308"/>
      <c r="C47" s="308"/>
      <c r="E47" s="337"/>
      <c r="F47" s="337"/>
      <c r="H47" s="55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8"/>
      <c r="AJ47" s="308"/>
      <c r="AK47" s="308"/>
      <c r="AL47" s="308"/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</row>
    <row r="48" spans="1:59" x14ac:dyDescent="0.3">
      <c r="A48" s="308"/>
      <c r="B48" s="308"/>
      <c r="C48" s="308"/>
      <c r="E48" s="337"/>
      <c r="F48" s="337"/>
      <c r="H48" s="55"/>
      <c r="Y48" s="308"/>
      <c r="Z48" s="308"/>
      <c r="AA48" s="308"/>
      <c r="AB48" s="308"/>
      <c r="AC48" s="308"/>
      <c r="AD48" s="308"/>
      <c r="AE48" s="308"/>
      <c r="AF48" s="308"/>
      <c r="AG48" s="308"/>
      <c r="AH48" s="308"/>
      <c r="AI48" s="308"/>
      <c r="AJ48" s="308"/>
      <c r="AK48" s="308"/>
      <c r="AL48" s="308"/>
      <c r="AM48" s="308"/>
      <c r="AN48" s="308"/>
      <c r="AO48" s="308"/>
      <c r="AP48" s="308"/>
      <c r="AQ48" s="308"/>
      <c r="AR48" s="308"/>
      <c r="AS48" s="308"/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</row>
    <row r="49" spans="1:59" x14ac:dyDescent="0.3">
      <c r="A49" s="308"/>
      <c r="B49" s="308"/>
      <c r="C49" s="308"/>
      <c r="E49" s="337"/>
      <c r="F49" s="337"/>
      <c r="H49" s="55"/>
      <c r="Y49" s="308"/>
      <c r="Z49" s="308"/>
      <c r="AA49" s="308"/>
      <c r="AB49" s="308"/>
      <c r="AC49" s="308"/>
      <c r="AD49" s="308"/>
      <c r="AE49" s="308"/>
      <c r="AF49" s="308"/>
      <c r="AG49" s="308"/>
      <c r="AH49" s="308"/>
      <c r="AI49" s="308"/>
      <c r="AJ49" s="308"/>
      <c r="AK49" s="308"/>
      <c r="AL49" s="308"/>
      <c r="AM49" s="308"/>
      <c r="AN49" s="308"/>
      <c r="AO49" s="308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</row>
    <row r="50" spans="1:59" x14ac:dyDescent="0.3">
      <c r="A50" s="308"/>
      <c r="B50" s="308"/>
      <c r="C50" s="308"/>
      <c r="E50" s="337"/>
      <c r="F50" s="337"/>
      <c r="H50" s="55"/>
      <c r="Y50" s="308"/>
      <c r="Z50" s="308"/>
      <c r="AA50" s="308"/>
      <c r="AB50" s="308"/>
      <c r="AC50" s="308"/>
      <c r="AD50" s="308"/>
      <c r="AE50" s="308"/>
      <c r="AF50" s="308"/>
      <c r="AG50" s="308"/>
      <c r="AH50" s="308"/>
      <c r="AI50" s="308"/>
      <c r="AJ50" s="308"/>
      <c r="AK50" s="308"/>
      <c r="AL50" s="308"/>
      <c r="AM50" s="308"/>
      <c r="AN50" s="308"/>
      <c r="AO50" s="308"/>
      <c r="AP50" s="308"/>
      <c r="AQ50" s="308"/>
      <c r="AR50" s="308"/>
      <c r="AS50" s="308"/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</row>
    <row r="51" spans="1:59" x14ac:dyDescent="0.3">
      <c r="A51" s="308"/>
      <c r="B51" s="308"/>
      <c r="C51" s="308"/>
      <c r="E51" s="337"/>
      <c r="F51" s="337"/>
      <c r="H51" s="55"/>
      <c r="Y51" s="308"/>
      <c r="Z51" s="308"/>
      <c r="AA51" s="308"/>
      <c r="AB51" s="308"/>
      <c r="AC51" s="308"/>
      <c r="AD51" s="308"/>
      <c r="AE51" s="308"/>
      <c r="AF51" s="308"/>
      <c r="AG51" s="308"/>
      <c r="AH51" s="308"/>
      <c r="AI51" s="308"/>
      <c r="AJ51" s="308"/>
      <c r="AK51" s="308"/>
      <c r="AL51" s="308"/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</row>
    <row r="52" spans="1:59" x14ac:dyDescent="0.3">
      <c r="A52" s="308"/>
      <c r="B52" s="308"/>
      <c r="C52" s="308"/>
      <c r="E52" s="337"/>
      <c r="F52" s="337"/>
      <c r="H52" s="55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08"/>
      <c r="AJ52" s="30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</row>
    <row r="53" spans="1:59" x14ac:dyDescent="0.3">
      <c r="A53" s="308"/>
      <c r="B53" s="308"/>
      <c r="C53" s="308"/>
      <c r="E53" s="337"/>
      <c r="F53" s="337"/>
      <c r="H53" s="55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</row>
    <row r="54" spans="1:59" x14ac:dyDescent="0.3">
      <c r="A54" s="308"/>
      <c r="B54" s="308"/>
      <c r="C54" s="308"/>
      <c r="E54" s="337"/>
      <c r="F54" s="337"/>
      <c r="H54" s="55"/>
      <c r="Y54" s="308"/>
      <c r="Z54" s="308"/>
      <c r="AA54" s="308"/>
      <c r="AB54" s="308"/>
      <c r="AC54" s="308"/>
      <c r="AD54" s="308"/>
      <c r="AE54" s="308"/>
      <c r="AF54" s="308"/>
      <c r="AG54" s="308"/>
      <c r="AH54" s="308"/>
      <c r="AI54" s="308"/>
      <c r="AJ54" s="308"/>
      <c r="AK54" s="308"/>
      <c r="AL54" s="308"/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</row>
    <row r="55" spans="1:59" x14ac:dyDescent="0.3">
      <c r="A55" s="308"/>
      <c r="B55" s="308"/>
      <c r="C55" s="308"/>
      <c r="E55" s="337"/>
      <c r="F55" s="337"/>
      <c r="H55" s="55"/>
      <c r="Y55" s="308"/>
      <c r="Z55" s="308"/>
      <c r="AA55" s="308"/>
      <c r="AB55" s="308"/>
      <c r="AC55" s="308"/>
      <c r="AD55" s="308"/>
      <c r="AE55" s="308"/>
      <c r="AF55" s="308"/>
      <c r="AG55" s="308"/>
      <c r="AH55" s="308"/>
      <c r="AI55" s="308"/>
      <c r="AJ55" s="308"/>
      <c r="AK55" s="308"/>
      <c r="AL55" s="308"/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</row>
    <row r="56" spans="1:59" x14ac:dyDescent="0.3">
      <c r="A56" s="308"/>
      <c r="B56" s="308"/>
      <c r="C56" s="308"/>
      <c r="E56" s="337"/>
      <c r="F56" s="337"/>
      <c r="H56" s="55"/>
      <c r="Y56" s="308"/>
      <c r="Z56" s="308"/>
      <c r="AA56" s="308"/>
      <c r="AB56" s="308"/>
      <c r="AC56" s="308"/>
      <c r="AD56" s="308"/>
      <c r="AE56" s="308"/>
      <c r="AF56" s="308"/>
      <c r="AG56" s="308"/>
      <c r="AH56" s="308"/>
      <c r="AI56" s="308"/>
      <c r="AJ56" s="308"/>
      <c r="AK56" s="308"/>
      <c r="AL56" s="308"/>
      <c r="AM56" s="308"/>
      <c r="AN56" s="308"/>
      <c r="AO56" s="308"/>
      <c r="AP56" s="308"/>
      <c r="AQ56" s="308"/>
      <c r="AR56" s="308"/>
      <c r="AS56" s="308"/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</row>
    <row r="57" spans="1:59" x14ac:dyDescent="0.3">
      <c r="A57" s="308"/>
      <c r="B57" s="308"/>
      <c r="C57" s="308"/>
      <c r="E57" s="337"/>
      <c r="F57" s="337"/>
      <c r="H57" s="55"/>
      <c r="Y57" s="308"/>
      <c r="Z57" s="308"/>
      <c r="AA57" s="308"/>
      <c r="AB57" s="308"/>
      <c r="AC57" s="308"/>
      <c r="AD57" s="308"/>
      <c r="AE57" s="308"/>
      <c r="AF57" s="308"/>
      <c r="AG57" s="308"/>
      <c r="AH57" s="308"/>
    </row>
    <row r="58" spans="1:59" x14ac:dyDescent="0.3">
      <c r="A58" s="308"/>
      <c r="B58" s="308"/>
      <c r="C58" s="308"/>
      <c r="E58" s="337"/>
      <c r="F58" s="337"/>
      <c r="H58" s="55"/>
      <c r="Y58" s="308"/>
      <c r="Z58" s="308"/>
      <c r="AA58" s="308"/>
      <c r="AB58" s="308"/>
      <c r="AC58" s="308"/>
      <c r="AD58" s="308"/>
      <c r="AE58" s="308"/>
      <c r="AF58" s="308"/>
      <c r="AG58" s="308"/>
      <c r="AH58" s="308"/>
    </row>
    <row r="59" spans="1:59" x14ac:dyDescent="0.3">
      <c r="A59" s="308"/>
      <c r="B59" s="308"/>
      <c r="C59" s="308"/>
      <c r="E59" s="337"/>
      <c r="F59" s="337"/>
      <c r="H59" s="55"/>
      <c r="Y59" s="308"/>
      <c r="Z59" s="308"/>
      <c r="AA59" s="308"/>
      <c r="AB59" s="308"/>
      <c r="AC59" s="308"/>
      <c r="AD59" s="308"/>
      <c r="AE59" s="308"/>
      <c r="AF59" s="308"/>
      <c r="AG59" s="308"/>
      <c r="AH59" s="308"/>
    </row>
    <row r="60" spans="1:59" x14ac:dyDescent="0.3">
      <c r="A60" s="308"/>
      <c r="B60" s="308"/>
      <c r="C60" s="308"/>
      <c r="E60" s="337"/>
      <c r="F60" s="337"/>
      <c r="H60" s="55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</row>
    <row r="61" spans="1:59" x14ac:dyDescent="0.3">
      <c r="A61" s="308"/>
      <c r="B61" s="308"/>
      <c r="C61" s="308"/>
      <c r="E61" s="337"/>
      <c r="F61" s="337"/>
      <c r="H61" s="55"/>
      <c r="Y61" s="308"/>
      <c r="Z61" s="308"/>
      <c r="AA61" s="308"/>
      <c r="AB61" s="308"/>
      <c r="AC61" s="308"/>
      <c r="AD61" s="308"/>
      <c r="AE61" s="308"/>
      <c r="AF61" s="308"/>
      <c r="AG61" s="308"/>
      <c r="AH61" s="308"/>
    </row>
    <row r="62" spans="1:59" x14ac:dyDescent="0.3">
      <c r="A62" s="308"/>
      <c r="B62" s="308"/>
      <c r="C62" s="308"/>
      <c r="E62" s="337"/>
      <c r="F62" s="337"/>
      <c r="H62" s="55"/>
      <c r="Y62" s="308"/>
      <c r="Z62" s="308"/>
      <c r="AA62" s="308"/>
      <c r="AB62" s="308"/>
      <c r="AC62" s="308"/>
      <c r="AD62" s="308"/>
      <c r="AE62" s="308"/>
      <c r="AF62" s="308"/>
      <c r="AG62" s="308"/>
      <c r="AH62" s="308"/>
    </row>
    <row r="63" spans="1:59" x14ac:dyDescent="0.3">
      <c r="A63" s="308"/>
      <c r="B63" s="308"/>
      <c r="C63" s="308"/>
      <c r="E63" s="337"/>
      <c r="F63" s="337"/>
      <c r="H63" s="55"/>
      <c r="Y63" s="308"/>
      <c r="Z63" s="308"/>
      <c r="AA63" s="308"/>
      <c r="AB63" s="308"/>
      <c r="AC63" s="308"/>
      <c r="AD63" s="308"/>
      <c r="AE63" s="308"/>
      <c r="AF63" s="308"/>
      <c r="AG63" s="308"/>
      <c r="AH63" s="308"/>
    </row>
    <row r="64" spans="1:59" x14ac:dyDescent="0.3">
      <c r="A64" s="308"/>
      <c r="B64" s="308"/>
      <c r="C64" s="308"/>
      <c r="E64" s="337"/>
      <c r="F64" s="337"/>
      <c r="H64" s="55"/>
      <c r="Y64" s="308"/>
      <c r="Z64" s="308"/>
      <c r="AA64" s="308"/>
      <c r="AB64" s="308"/>
      <c r="AC64" s="308"/>
      <c r="AD64" s="308"/>
      <c r="AE64" s="308"/>
      <c r="AF64" s="308"/>
      <c r="AG64" s="308"/>
      <c r="AH64" s="308"/>
    </row>
    <row r="65" spans="1:34" x14ac:dyDescent="0.3">
      <c r="A65" s="308"/>
      <c r="B65" s="308"/>
      <c r="C65" s="308"/>
      <c r="E65" s="337"/>
      <c r="F65" s="337"/>
      <c r="H65" s="55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</row>
    <row r="66" spans="1:34" x14ac:dyDescent="0.3">
      <c r="A66" s="308"/>
      <c r="B66" s="308"/>
      <c r="C66" s="308"/>
      <c r="E66" s="337"/>
      <c r="F66" s="337"/>
      <c r="H66" s="55"/>
      <c r="Y66" s="308"/>
      <c r="Z66" s="308"/>
      <c r="AA66" s="308"/>
      <c r="AB66" s="308"/>
      <c r="AC66" s="308"/>
      <c r="AD66" s="308"/>
      <c r="AE66" s="308"/>
      <c r="AF66" s="308"/>
      <c r="AG66" s="308"/>
      <c r="AH66" s="308"/>
    </row>
    <row r="67" spans="1:34" x14ac:dyDescent="0.3">
      <c r="A67" s="308"/>
      <c r="B67" s="308"/>
      <c r="C67" s="308"/>
      <c r="E67" s="337"/>
      <c r="F67" s="337"/>
      <c r="H67" s="55"/>
      <c r="Y67" s="308"/>
      <c r="Z67" s="308"/>
      <c r="AA67" s="308"/>
      <c r="AB67" s="308"/>
      <c r="AC67" s="308"/>
      <c r="AD67" s="308"/>
      <c r="AE67" s="308"/>
      <c r="AF67" s="308"/>
      <c r="AG67" s="308"/>
      <c r="AH67" s="308"/>
    </row>
    <row r="68" spans="1:34" x14ac:dyDescent="0.3">
      <c r="A68" s="308"/>
      <c r="B68" s="308"/>
      <c r="C68" s="308"/>
      <c r="E68" s="337"/>
      <c r="F68" s="337"/>
      <c r="H68" s="55"/>
      <c r="Y68" s="308"/>
      <c r="Z68" s="308"/>
      <c r="AA68" s="308"/>
      <c r="AB68" s="308"/>
      <c r="AC68" s="308"/>
      <c r="AD68" s="308"/>
      <c r="AE68" s="308"/>
      <c r="AF68" s="308"/>
      <c r="AG68" s="308"/>
      <c r="AH68" s="308"/>
    </row>
    <row r="69" spans="1:34" x14ac:dyDescent="0.3">
      <c r="A69" s="308"/>
      <c r="B69" s="308"/>
      <c r="C69" s="308"/>
      <c r="E69" s="337"/>
      <c r="F69" s="337"/>
      <c r="H69" s="55"/>
      <c r="Y69" s="308"/>
      <c r="Z69" s="308"/>
      <c r="AA69" s="308"/>
      <c r="AB69" s="308"/>
      <c r="AC69" s="308"/>
      <c r="AD69" s="308"/>
      <c r="AE69" s="308"/>
      <c r="AF69" s="308"/>
      <c r="AG69" s="308"/>
      <c r="AH69" s="308"/>
    </row>
    <row r="70" spans="1:34" x14ac:dyDescent="0.3">
      <c r="A70" s="308"/>
      <c r="B70" s="308"/>
      <c r="C70" s="308"/>
      <c r="E70" s="337"/>
      <c r="F70" s="337"/>
      <c r="H70" s="55"/>
      <c r="Y70" s="308"/>
      <c r="Z70" s="308"/>
      <c r="AA70" s="308"/>
      <c r="AB70" s="308"/>
      <c r="AC70" s="308"/>
      <c r="AD70" s="308"/>
      <c r="AE70" s="308"/>
      <c r="AF70" s="308"/>
      <c r="AG70" s="308"/>
      <c r="AH70" s="308"/>
    </row>
    <row r="71" spans="1:34" x14ac:dyDescent="0.3">
      <c r="A71" s="308"/>
      <c r="B71" s="308"/>
      <c r="C71" s="308"/>
      <c r="E71" s="337"/>
      <c r="F71" s="337"/>
      <c r="H71" s="55"/>
      <c r="Y71" s="308"/>
      <c r="Z71" s="308"/>
      <c r="AA71" s="308"/>
      <c r="AB71" s="308"/>
      <c r="AC71" s="308"/>
      <c r="AD71" s="308"/>
      <c r="AE71" s="308"/>
      <c r="AF71" s="308"/>
      <c r="AG71" s="308"/>
      <c r="AH71" s="308"/>
    </row>
    <row r="72" spans="1:34" x14ac:dyDescent="0.3">
      <c r="A72" s="308"/>
      <c r="B72" s="308"/>
      <c r="C72" s="308"/>
      <c r="E72" s="337"/>
      <c r="F72" s="337"/>
      <c r="H72" s="55"/>
      <c r="Y72" s="308"/>
      <c r="Z72" s="308"/>
      <c r="AA72" s="308"/>
      <c r="AB72" s="308"/>
      <c r="AC72" s="308"/>
      <c r="AD72" s="308"/>
      <c r="AE72" s="308"/>
      <c r="AF72" s="308"/>
      <c r="AG72" s="308"/>
      <c r="AH72" s="308"/>
    </row>
    <row r="73" spans="1:34" x14ac:dyDescent="0.3">
      <c r="A73" s="308"/>
      <c r="B73" s="308"/>
      <c r="C73" s="308"/>
      <c r="E73" s="337"/>
      <c r="F73" s="337"/>
      <c r="H73" s="55"/>
      <c r="Y73" s="308"/>
      <c r="Z73" s="308"/>
      <c r="AA73" s="308"/>
      <c r="AB73" s="308"/>
      <c r="AC73" s="308"/>
      <c r="AD73" s="308"/>
      <c r="AE73" s="308"/>
      <c r="AF73" s="308"/>
      <c r="AG73" s="308"/>
      <c r="AH73" s="308"/>
    </row>
    <row r="74" spans="1:34" x14ac:dyDescent="0.3">
      <c r="A74" s="308"/>
      <c r="B74" s="308"/>
      <c r="C74" s="308"/>
      <c r="E74" s="337"/>
      <c r="F74" s="337"/>
      <c r="H74" s="55"/>
      <c r="Y74" s="308"/>
      <c r="Z74" s="308"/>
      <c r="AA74" s="308"/>
      <c r="AB74" s="308"/>
      <c r="AC74" s="308"/>
      <c r="AD74" s="308"/>
      <c r="AE74" s="308"/>
      <c r="AF74" s="308"/>
      <c r="AG74" s="308"/>
      <c r="AH74" s="308"/>
    </row>
    <row r="75" spans="1:34" x14ac:dyDescent="0.3">
      <c r="A75" s="308"/>
      <c r="B75" s="308"/>
      <c r="C75" s="308"/>
      <c r="E75" s="337"/>
      <c r="F75" s="337"/>
      <c r="H75" s="55"/>
      <c r="Y75" s="308"/>
      <c r="Z75" s="308"/>
      <c r="AA75" s="308"/>
      <c r="AB75" s="308"/>
      <c r="AC75" s="308"/>
      <c r="AD75" s="308"/>
      <c r="AE75" s="308"/>
      <c r="AF75" s="308"/>
      <c r="AG75" s="308"/>
      <c r="AH75" s="308"/>
    </row>
    <row r="76" spans="1:34" x14ac:dyDescent="0.3">
      <c r="A76" s="308"/>
      <c r="B76" s="308"/>
      <c r="C76" s="308"/>
      <c r="E76" s="337"/>
      <c r="F76" s="337"/>
      <c r="H76" s="55"/>
      <c r="Y76" s="308"/>
      <c r="Z76" s="308"/>
      <c r="AA76" s="308"/>
      <c r="AB76" s="308"/>
      <c r="AC76" s="308"/>
      <c r="AD76" s="308"/>
      <c r="AE76" s="308"/>
      <c r="AF76" s="308"/>
      <c r="AG76" s="308"/>
      <c r="AH76" s="308"/>
    </row>
    <row r="77" spans="1:34" x14ac:dyDescent="0.3">
      <c r="A77" s="308"/>
      <c r="B77" s="308"/>
      <c r="C77" s="308"/>
      <c r="E77" s="337"/>
      <c r="F77" s="337"/>
      <c r="H77" s="55"/>
      <c r="Y77" s="308"/>
      <c r="Z77" s="308"/>
      <c r="AA77" s="308"/>
      <c r="AB77" s="308"/>
      <c r="AC77" s="308"/>
      <c r="AD77" s="308"/>
      <c r="AE77" s="308"/>
      <c r="AF77" s="308"/>
      <c r="AG77" s="308"/>
      <c r="AH77" s="308"/>
    </row>
    <row r="78" spans="1:34" x14ac:dyDescent="0.3">
      <c r="A78" s="308"/>
      <c r="B78" s="308"/>
      <c r="C78" s="308"/>
      <c r="E78" s="337"/>
      <c r="F78" s="337"/>
      <c r="H78" s="55"/>
      <c r="Y78" s="308"/>
      <c r="Z78" s="308"/>
      <c r="AA78" s="308"/>
      <c r="AB78" s="308"/>
      <c r="AC78" s="308"/>
      <c r="AD78" s="308"/>
      <c r="AE78" s="308"/>
      <c r="AF78" s="308"/>
      <c r="AG78" s="308"/>
      <c r="AH78" s="308"/>
    </row>
    <row r="79" spans="1:34" x14ac:dyDescent="0.3">
      <c r="A79" s="308"/>
      <c r="B79" s="308"/>
      <c r="C79" s="308"/>
      <c r="E79" s="337"/>
      <c r="F79" s="337"/>
      <c r="H79" s="55"/>
      <c r="Y79" s="308"/>
      <c r="Z79" s="308"/>
      <c r="AA79" s="308"/>
      <c r="AB79" s="308"/>
      <c r="AC79" s="308"/>
      <c r="AD79" s="308"/>
      <c r="AE79" s="308"/>
      <c r="AF79" s="308"/>
      <c r="AG79" s="308"/>
      <c r="AH79" s="308"/>
    </row>
    <row r="80" spans="1:34" x14ac:dyDescent="0.3">
      <c r="A80" s="308"/>
      <c r="B80" s="308"/>
      <c r="C80" s="308"/>
      <c r="E80" s="337"/>
      <c r="F80" s="337"/>
      <c r="H80" s="55"/>
      <c r="Y80" s="308"/>
      <c r="Z80" s="308"/>
      <c r="AA80" s="308"/>
      <c r="AB80" s="308"/>
      <c r="AC80" s="308"/>
      <c r="AD80" s="308"/>
      <c r="AE80" s="308"/>
      <c r="AF80" s="308"/>
      <c r="AG80" s="308"/>
      <c r="AH80" s="308"/>
    </row>
    <row r="81" spans="1:34" x14ac:dyDescent="0.3">
      <c r="A81" s="308"/>
      <c r="B81" s="308"/>
      <c r="C81" s="308"/>
      <c r="E81" s="337"/>
      <c r="F81" s="337"/>
      <c r="H81" s="55"/>
      <c r="Y81" s="308"/>
      <c r="Z81" s="308"/>
      <c r="AA81" s="308"/>
      <c r="AB81" s="308"/>
      <c r="AC81" s="308"/>
      <c r="AD81" s="308"/>
      <c r="AE81" s="308"/>
      <c r="AF81" s="308"/>
      <c r="AG81" s="308"/>
      <c r="AH81" s="308"/>
    </row>
    <row r="82" spans="1:34" x14ac:dyDescent="0.3">
      <c r="A82" s="308"/>
      <c r="B82" s="308"/>
      <c r="C82" s="308"/>
      <c r="E82" s="337"/>
      <c r="F82" s="337"/>
      <c r="H82" s="55"/>
      <c r="Y82" s="308"/>
      <c r="Z82" s="308"/>
      <c r="AA82" s="308"/>
      <c r="AB82" s="308"/>
      <c r="AC82" s="308"/>
      <c r="AD82" s="308"/>
      <c r="AE82" s="308"/>
      <c r="AF82" s="308"/>
      <c r="AG82" s="308"/>
      <c r="AH82" s="308"/>
    </row>
    <row r="83" spans="1:34" x14ac:dyDescent="0.3">
      <c r="A83" s="308"/>
      <c r="B83" s="308"/>
      <c r="C83" s="308"/>
      <c r="E83" s="337"/>
      <c r="F83" s="337"/>
      <c r="H83" s="55"/>
      <c r="Y83" s="308"/>
      <c r="Z83" s="308"/>
      <c r="AA83" s="308"/>
      <c r="AB83" s="308"/>
      <c r="AC83" s="308"/>
      <c r="AD83" s="308"/>
      <c r="AE83" s="308"/>
      <c r="AF83" s="308"/>
      <c r="AG83" s="308"/>
      <c r="AH83" s="308"/>
    </row>
    <row r="84" spans="1:34" x14ac:dyDescent="0.3">
      <c r="A84" s="308"/>
      <c r="B84" s="308"/>
      <c r="C84" s="308"/>
      <c r="E84" s="337"/>
      <c r="F84" s="337"/>
      <c r="H84" s="55"/>
      <c r="Y84" s="308"/>
      <c r="Z84" s="308"/>
      <c r="AA84" s="308"/>
      <c r="AB84" s="308"/>
      <c r="AC84" s="308"/>
      <c r="AD84" s="308"/>
      <c r="AE84" s="308"/>
      <c r="AF84" s="308"/>
      <c r="AG84" s="308"/>
      <c r="AH84" s="308"/>
    </row>
    <row r="85" spans="1:34" x14ac:dyDescent="0.3">
      <c r="A85" s="308"/>
      <c r="B85" s="308"/>
      <c r="C85" s="308"/>
      <c r="E85" s="337"/>
      <c r="F85" s="337"/>
      <c r="H85" s="55"/>
      <c r="Y85" s="308"/>
      <c r="Z85" s="308"/>
      <c r="AA85" s="308"/>
      <c r="AB85" s="308"/>
      <c r="AC85" s="308"/>
      <c r="AD85" s="308"/>
      <c r="AE85" s="308"/>
      <c r="AF85" s="308"/>
      <c r="AG85" s="308"/>
      <c r="AH85" s="308"/>
    </row>
    <row r="86" spans="1:34" x14ac:dyDescent="0.3">
      <c r="A86" s="308"/>
      <c r="B86" s="308"/>
      <c r="C86" s="308"/>
      <c r="E86" s="337"/>
      <c r="F86" s="337"/>
      <c r="H86" s="55"/>
      <c r="Y86" s="308"/>
      <c r="Z86" s="308"/>
      <c r="AA86" s="308"/>
      <c r="AB86" s="308"/>
      <c r="AC86" s="308"/>
      <c r="AD86" s="308"/>
      <c r="AE86" s="308"/>
      <c r="AF86" s="308"/>
      <c r="AG86" s="308"/>
      <c r="AH86" s="308"/>
    </row>
    <row r="87" spans="1:34" x14ac:dyDescent="0.3">
      <c r="A87" s="308"/>
      <c r="B87" s="308"/>
      <c r="C87" s="308"/>
      <c r="E87" s="337"/>
      <c r="F87" s="337"/>
      <c r="H87" s="55"/>
      <c r="Y87" s="308"/>
      <c r="Z87" s="308"/>
      <c r="AA87" s="308"/>
      <c r="AB87" s="308"/>
      <c r="AC87" s="308"/>
      <c r="AD87" s="308"/>
      <c r="AE87" s="308"/>
      <c r="AF87" s="308"/>
      <c r="AG87" s="308"/>
      <c r="AH87" s="308"/>
    </row>
    <row r="88" spans="1:34" x14ac:dyDescent="0.3">
      <c r="A88" s="308"/>
      <c r="B88" s="308"/>
      <c r="C88" s="308"/>
      <c r="E88" s="337"/>
      <c r="F88" s="337"/>
      <c r="H88" s="55"/>
      <c r="Y88" s="308"/>
      <c r="Z88" s="308"/>
      <c r="AA88" s="308"/>
      <c r="AB88" s="308"/>
      <c r="AC88" s="308"/>
      <c r="AD88" s="308"/>
      <c r="AE88" s="308"/>
      <c r="AF88" s="308"/>
      <c r="AG88" s="308"/>
      <c r="AH88" s="308"/>
    </row>
    <row r="89" spans="1:34" x14ac:dyDescent="0.3">
      <c r="A89" s="308"/>
      <c r="B89" s="308"/>
      <c r="C89" s="308"/>
      <c r="E89" s="337"/>
      <c r="F89" s="337"/>
      <c r="H89" s="55"/>
      <c r="Y89" s="308"/>
      <c r="Z89" s="308"/>
      <c r="AA89" s="308"/>
      <c r="AB89" s="308"/>
      <c r="AC89" s="308"/>
      <c r="AD89" s="308"/>
      <c r="AE89" s="308"/>
      <c r="AF89" s="308"/>
      <c r="AG89" s="308"/>
      <c r="AH89" s="308"/>
    </row>
    <row r="90" spans="1:34" x14ac:dyDescent="0.3">
      <c r="A90" s="308"/>
      <c r="B90" s="308"/>
      <c r="C90" s="308"/>
      <c r="E90" s="337"/>
      <c r="F90" s="337"/>
      <c r="H90" s="55"/>
      <c r="Y90" s="308"/>
      <c r="Z90" s="308"/>
      <c r="AA90" s="308"/>
      <c r="AB90" s="308"/>
      <c r="AC90" s="308"/>
      <c r="AD90" s="308"/>
      <c r="AE90" s="308"/>
      <c r="AF90" s="308"/>
      <c r="AG90" s="308"/>
      <c r="AH90" s="308"/>
    </row>
    <row r="91" spans="1:34" x14ac:dyDescent="0.3">
      <c r="A91" s="308"/>
      <c r="B91" s="308"/>
      <c r="C91" s="308"/>
      <c r="E91" s="337"/>
      <c r="F91" s="337"/>
      <c r="H91" s="55"/>
      <c r="Y91" s="308"/>
      <c r="Z91" s="308"/>
      <c r="AA91" s="308"/>
      <c r="AB91" s="308"/>
      <c r="AC91" s="308"/>
      <c r="AD91" s="308"/>
      <c r="AE91" s="308"/>
      <c r="AF91" s="308"/>
      <c r="AG91" s="308"/>
      <c r="AH91" s="308"/>
    </row>
    <row r="92" spans="1:34" x14ac:dyDescent="0.3">
      <c r="A92" s="308"/>
      <c r="B92" s="308"/>
      <c r="C92" s="308"/>
      <c r="E92" s="337"/>
      <c r="F92" s="337"/>
      <c r="H92" s="55"/>
      <c r="Y92" s="308"/>
      <c r="Z92" s="308"/>
      <c r="AA92" s="308"/>
      <c r="AB92" s="308"/>
      <c r="AC92" s="308"/>
      <c r="AD92" s="308"/>
      <c r="AE92" s="308"/>
      <c r="AF92" s="308"/>
      <c r="AG92" s="308"/>
      <c r="AH92" s="308"/>
    </row>
    <row r="93" spans="1:34" x14ac:dyDescent="0.3">
      <c r="A93" s="308"/>
      <c r="B93" s="308"/>
      <c r="C93" s="308"/>
      <c r="E93" s="337"/>
      <c r="F93" s="337"/>
      <c r="H93" s="55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</row>
    <row r="94" spans="1:34" x14ac:dyDescent="0.3">
      <c r="A94" s="308"/>
      <c r="B94" s="308"/>
      <c r="C94" s="308"/>
      <c r="E94" s="337"/>
      <c r="F94" s="337"/>
      <c r="H94" s="55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</row>
    <row r="95" spans="1:34" x14ac:dyDescent="0.3">
      <c r="A95" s="308"/>
      <c r="B95" s="308"/>
      <c r="C95" s="308"/>
      <c r="E95" s="337"/>
      <c r="F95" s="337"/>
      <c r="H95" s="55"/>
      <c r="Y95" s="308"/>
      <c r="Z95" s="308"/>
      <c r="AA95" s="308"/>
      <c r="AB95" s="308"/>
      <c r="AC95" s="308"/>
      <c r="AD95" s="308"/>
      <c r="AE95" s="308"/>
      <c r="AF95" s="308"/>
      <c r="AG95" s="308"/>
      <c r="AH95" s="308"/>
    </row>
    <row r="96" spans="1:34" x14ac:dyDescent="0.3">
      <c r="A96" s="308"/>
      <c r="B96" s="308"/>
      <c r="C96" s="308"/>
      <c r="E96" s="337"/>
      <c r="F96" s="337"/>
      <c r="H96" s="55"/>
      <c r="Y96" s="308"/>
      <c r="Z96" s="308"/>
      <c r="AA96" s="308"/>
      <c r="AB96" s="308"/>
      <c r="AC96" s="308"/>
      <c r="AD96" s="308"/>
      <c r="AE96" s="308"/>
      <c r="AF96" s="308"/>
      <c r="AG96" s="308"/>
      <c r="AH96" s="308"/>
    </row>
    <row r="97" spans="1:34" x14ac:dyDescent="0.3">
      <c r="A97" s="308"/>
      <c r="B97" s="308"/>
      <c r="C97" s="308"/>
      <c r="E97" s="337"/>
      <c r="F97" s="337"/>
      <c r="H97" s="55"/>
      <c r="Y97" s="308"/>
      <c r="Z97" s="308"/>
      <c r="AA97" s="308"/>
      <c r="AB97" s="308"/>
      <c r="AC97" s="308"/>
      <c r="AD97" s="308"/>
      <c r="AE97" s="308"/>
      <c r="AF97" s="308"/>
      <c r="AG97" s="308"/>
      <c r="AH97" s="308"/>
    </row>
    <row r="98" spans="1:34" x14ac:dyDescent="0.3">
      <c r="A98" s="308"/>
      <c r="B98" s="308"/>
      <c r="C98" s="308"/>
      <c r="E98" s="337"/>
      <c r="F98" s="337"/>
      <c r="H98" s="55"/>
      <c r="Y98" s="308"/>
      <c r="Z98" s="308"/>
      <c r="AA98" s="308"/>
      <c r="AB98" s="308"/>
      <c r="AC98" s="308"/>
      <c r="AD98" s="308"/>
      <c r="AE98" s="308"/>
      <c r="AF98" s="308"/>
      <c r="AG98" s="308"/>
      <c r="AH98" s="308"/>
    </row>
    <row r="99" spans="1:34" x14ac:dyDescent="0.3">
      <c r="A99" s="308"/>
      <c r="B99" s="308"/>
      <c r="C99" s="308"/>
      <c r="E99" s="337"/>
      <c r="F99" s="337"/>
      <c r="H99" s="55"/>
      <c r="Y99" s="308"/>
      <c r="Z99" s="308"/>
      <c r="AA99" s="308"/>
      <c r="AB99" s="308"/>
      <c r="AC99" s="308"/>
      <c r="AD99" s="308"/>
      <c r="AE99" s="308"/>
      <c r="AF99" s="308"/>
      <c r="AG99" s="308"/>
      <c r="AH99" s="308"/>
    </row>
    <row r="100" spans="1:34" x14ac:dyDescent="0.3">
      <c r="A100" s="308"/>
      <c r="B100" s="308"/>
      <c r="C100" s="308"/>
      <c r="E100" s="337"/>
      <c r="F100" s="337"/>
      <c r="H100" s="55"/>
      <c r="Y100" s="308"/>
      <c r="Z100" s="308"/>
      <c r="AA100" s="308"/>
      <c r="AB100" s="308"/>
      <c r="AC100" s="308"/>
      <c r="AD100" s="308"/>
      <c r="AE100" s="308"/>
      <c r="AF100" s="308"/>
      <c r="AG100" s="308"/>
      <c r="AH100" s="308"/>
    </row>
    <row r="101" spans="1:34" x14ac:dyDescent="0.3">
      <c r="A101" s="308"/>
      <c r="B101" s="308"/>
      <c r="C101" s="308"/>
      <c r="E101" s="337"/>
      <c r="F101" s="337"/>
      <c r="H101" s="55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</row>
    <row r="102" spans="1:34" x14ac:dyDescent="0.3">
      <c r="A102" s="308"/>
      <c r="B102" s="308"/>
      <c r="C102" s="308"/>
      <c r="E102" s="337"/>
      <c r="F102" s="337"/>
      <c r="H102" s="55"/>
      <c r="Y102" s="308"/>
      <c r="Z102" s="308"/>
      <c r="AA102" s="308"/>
      <c r="AB102" s="308"/>
      <c r="AC102" s="308"/>
      <c r="AD102" s="308"/>
      <c r="AE102" s="308"/>
      <c r="AF102" s="308"/>
      <c r="AG102" s="308"/>
      <c r="AH102" s="308"/>
    </row>
    <row r="103" spans="1:34" x14ac:dyDescent="0.3">
      <c r="A103" s="308"/>
      <c r="B103" s="308"/>
      <c r="C103" s="308"/>
      <c r="E103" s="337"/>
      <c r="F103" s="337"/>
      <c r="H103" s="55"/>
      <c r="Y103" s="308"/>
      <c r="Z103" s="308"/>
      <c r="AA103" s="308"/>
      <c r="AB103" s="308"/>
      <c r="AC103" s="308"/>
      <c r="AD103" s="308"/>
      <c r="AE103" s="308"/>
      <c r="AF103" s="308"/>
      <c r="AG103" s="308"/>
      <c r="AH103" s="308"/>
    </row>
    <row r="104" spans="1:34" x14ac:dyDescent="0.3">
      <c r="A104" s="308"/>
      <c r="B104" s="308"/>
      <c r="C104" s="308"/>
      <c r="E104" s="337"/>
      <c r="F104" s="337"/>
      <c r="H104" s="55"/>
      <c r="Y104" s="308"/>
      <c r="Z104" s="308"/>
      <c r="AA104" s="308"/>
      <c r="AB104" s="308"/>
      <c r="AC104" s="308"/>
      <c r="AD104" s="308"/>
      <c r="AE104" s="308"/>
      <c r="AF104" s="308"/>
      <c r="AG104" s="308"/>
      <c r="AH104" s="308"/>
    </row>
    <row r="105" spans="1:34" x14ac:dyDescent="0.3">
      <c r="A105" s="308"/>
      <c r="B105" s="308"/>
      <c r="C105" s="308"/>
      <c r="E105" s="337"/>
      <c r="F105" s="337"/>
      <c r="H105" s="55"/>
      <c r="Y105" s="308"/>
      <c r="Z105" s="308"/>
      <c r="AA105" s="308"/>
      <c r="AB105" s="308"/>
      <c r="AC105" s="308"/>
      <c r="AD105" s="308"/>
      <c r="AE105" s="308"/>
      <c r="AF105" s="308"/>
      <c r="AG105" s="308"/>
      <c r="AH105" s="308"/>
    </row>
    <row r="106" spans="1:34" x14ac:dyDescent="0.3">
      <c r="A106" s="308"/>
      <c r="B106" s="308"/>
      <c r="C106" s="308"/>
      <c r="E106" s="337"/>
      <c r="F106" s="337"/>
      <c r="H106" s="55"/>
      <c r="Y106" s="308"/>
      <c r="Z106" s="308"/>
      <c r="AA106" s="308"/>
      <c r="AB106" s="308"/>
      <c r="AC106" s="308"/>
      <c r="AD106" s="308"/>
      <c r="AE106" s="308"/>
      <c r="AF106" s="308"/>
      <c r="AG106" s="308"/>
      <c r="AH106" s="308"/>
    </row>
    <row r="107" spans="1:34" x14ac:dyDescent="0.3">
      <c r="A107" s="308"/>
      <c r="B107" s="308"/>
      <c r="C107" s="308"/>
      <c r="E107" s="337"/>
      <c r="F107" s="337"/>
      <c r="H107" s="55"/>
      <c r="Y107" s="308"/>
      <c r="Z107" s="308"/>
      <c r="AA107" s="308"/>
      <c r="AB107" s="308"/>
      <c r="AC107" s="308"/>
      <c r="AD107" s="308"/>
      <c r="AE107" s="308"/>
      <c r="AF107" s="308"/>
      <c r="AG107" s="308"/>
      <c r="AH107" s="308"/>
    </row>
    <row r="108" spans="1:34" x14ac:dyDescent="0.3">
      <c r="A108" s="308"/>
      <c r="B108" s="308"/>
      <c r="C108" s="308"/>
      <c r="E108" s="337"/>
      <c r="F108" s="337"/>
      <c r="H108" s="55"/>
      <c r="Y108" s="308"/>
      <c r="Z108" s="308"/>
      <c r="AA108" s="308"/>
      <c r="AB108" s="308"/>
      <c r="AC108" s="308"/>
      <c r="AD108" s="308"/>
      <c r="AE108" s="308"/>
      <c r="AF108" s="308"/>
      <c r="AG108" s="308"/>
      <c r="AH108" s="308"/>
    </row>
    <row r="109" spans="1:34" x14ac:dyDescent="0.3">
      <c r="A109" s="308"/>
      <c r="B109" s="308"/>
      <c r="C109" s="308"/>
      <c r="E109" s="337"/>
      <c r="F109" s="337"/>
      <c r="H109" s="55"/>
      <c r="Y109" s="308"/>
      <c r="Z109" s="308"/>
      <c r="AA109" s="308"/>
      <c r="AB109" s="308"/>
      <c r="AC109" s="308"/>
      <c r="AD109" s="308"/>
      <c r="AE109" s="308"/>
      <c r="AF109" s="308"/>
      <c r="AG109" s="308"/>
      <c r="AH109" s="308"/>
    </row>
    <row r="110" spans="1:34" x14ac:dyDescent="0.3">
      <c r="A110" s="308"/>
      <c r="B110" s="308"/>
      <c r="C110" s="308"/>
      <c r="E110" s="337"/>
      <c r="F110" s="337"/>
      <c r="H110" s="55"/>
      <c r="Y110" s="308"/>
      <c r="Z110" s="308"/>
      <c r="AA110" s="308"/>
      <c r="AB110" s="308"/>
      <c r="AC110" s="308"/>
      <c r="AD110" s="308"/>
      <c r="AE110" s="308"/>
      <c r="AF110" s="308"/>
      <c r="AG110" s="308"/>
      <c r="AH110" s="308"/>
    </row>
    <row r="111" spans="1:34" x14ac:dyDescent="0.3">
      <c r="A111" s="308"/>
      <c r="B111" s="308"/>
      <c r="C111" s="308"/>
      <c r="E111" s="337"/>
      <c r="F111" s="337"/>
      <c r="H111" s="55"/>
      <c r="Y111" s="308"/>
      <c r="Z111" s="308"/>
      <c r="AA111" s="308"/>
      <c r="AB111" s="308"/>
      <c r="AC111" s="308"/>
      <c r="AD111" s="308"/>
      <c r="AE111" s="308"/>
      <c r="AF111" s="308"/>
      <c r="AG111" s="308"/>
      <c r="AH111" s="308"/>
    </row>
    <row r="112" spans="1:34" x14ac:dyDescent="0.3">
      <c r="A112" s="308"/>
      <c r="B112" s="308"/>
      <c r="C112" s="308"/>
      <c r="E112" s="337"/>
      <c r="F112" s="337"/>
      <c r="H112" s="55"/>
      <c r="Y112" s="308"/>
      <c r="Z112" s="308"/>
      <c r="AA112" s="308"/>
      <c r="AB112" s="308"/>
      <c r="AC112" s="308"/>
      <c r="AD112" s="308"/>
      <c r="AE112" s="308"/>
      <c r="AF112" s="308"/>
      <c r="AG112" s="308"/>
      <c r="AH112" s="308"/>
    </row>
    <row r="113" spans="1:34" x14ac:dyDescent="0.3">
      <c r="A113" s="308"/>
      <c r="B113" s="308"/>
      <c r="C113" s="308"/>
      <c r="E113" s="337"/>
      <c r="F113" s="337"/>
      <c r="H113" s="55"/>
      <c r="Y113" s="308"/>
      <c r="Z113" s="308"/>
      <c r="AA113" s="308"/>
      <c r="AB113" s="308"/>
      <c r="AC113" s="308"/>
      <c r="AD113" s="308"/>
      <c r="AE113" s="308"/>
      <c r="AF113" s="308"/>
      <c r="AG113" s="308"/>
      <c r="AH113" s="308"/>
    </row>
    <row r="114" spans="1:34" x14ac:dyDescent="0.3">
      <c r="A114" s="308"/>
      <c r="B114" s="308"/>
      <c r="C114" s="308"/>
      <c r="E114" s="337"/>
      <c r="F114" s="337"/>
      <c r="H114" s="55"/>
      <c r="Y114" s="308"/>
      <c r="Z114" s="308"/>
      <c r="AA114" s="308"/>
      <c r="AB114" s="308"/>
      <c r="AC114" s="308"/>
      <c r="AD114" s="308"/>
      <c r="AE114" s="308"/>
      <c r="AF114" s="308"/>
      <c r="AG114" s="308"/>
      <c r="AH114" s="308"/>
    </row>
    <row r="115" spans="1:34" x14ac:dyDescent="0.3">
      <c r="A115" s="308"/>
      <c r="B115" s="308"/>
      <c r="C115" s="308"/>
      <c r="E115" s="337"/>
      <c r="F115" s="337"/>
      <c r="H115" s="55"/>
      <c r="Y115" s="308"/>
      <c r="Z115" s="308"/>
      <c r="AA115" s="308"/>
      <c r="AB115" s="308"/>
      <c r="AC115" s="308"/>
      <c r="AD115" s="308"/>
      <c r="AE115" s="308"/>
      <c r="AF115" s="308"/>
      <c r="AG115" s="308"/>
      <c r="AH115" s="308"/>
    </row>
    <row r="116" spans="1:34" x14ac:dyDescent="0.3">
      <c r="A116" s="308"/>
      <c r="B116" s="308"/>
      <c r="C116" s="308"/>
      <c r="E116" s="337"/>
      <c r="F116" s="337"/>
      <c r="H116" s="55"/>
      <c r="Y116" s="308"/>
      <c r="Z116" s="308"/>
      <c r="AA116" s="308"/>
      <c r="AB116" s="308"/>
      <c r="AC116" s="308"/>
      <c r="AD116" s="308"/>
      <c r="AE116" s="308"/>
      <c r="AF116" s="308"/>
      <c r="AG116" s="308"/>
      <c r="AH116" s="308"/>
    </row>
    <row r="117" spans="1:34" x14ac:dyDescent="0.3">
      <c r="A117" s="308"/>
      <c r="B117" s="308"/>
      <c r="C117" s="308"/>
      <c r="E117" s="337"/>
      <c r="F117" s="337"/>
      <c r="H117" s="55"/>
      <c r="Y117" s="308"/>
      <c r="Z117" s="308"/>
      <c r="AA117" s="308"/>
      <c r="AB117" s="308"/>
      <c r="AC117" s="308"/>
      <c r="AD117" s="308"/>
      <c r="AE117" s="308"/>
      <c r="AF117" s="308"/>
      <c r="AG117" s="308"/>
      <c r="AH117" s="308"/>
    </row>
    <row r="118" spans="1:34" x14ac:dyDescent="0.3">
      <c r="A118" s="308"/>
      <c r="B118" s="308"/>
      <c r="C118" s="308"/>
      <c r="E118" s="337"/>
      <c r="F118" s="337"/>
      <c r="H118" s="55"/>
      <c r="Y118" s="308"/>
      <c r="Z118" s="308"/>
      <c r="AA118" s="308"/>
      <c r="AB118" s="308"/>
      <c r="AC118" s="308"/>
      <c r="AD118" s="308"/>
      <c r="AE118" s="308"/>
      <c r="AF118" s="308"/>
      <c r="AG118" s="308"/>
      <c r="AH118" s="308"/>
    </row>
    <row r="119" spans="1:34" x14ac:dyDescent="0.3">
      <c r="A119" s="308"/>
      <c r="B119" s="308"/>
      <c r="C119" s="308"/>
      <c r="E119" s="337"/>
      <c r="F119" s="337"/>
      <c r="H119" s="55"/>
      <c r="Y119" s="308"/>
      <c r="Z119" s="308"/>
      <c r="AA119" s="308"/>
      <c r="AB119" s="308"/>
      <c r="AC119" s="308"/>
      <c r="AD119" s="308"/>
      <c r="AE119" s="308"/>
      <c r="AF119" s="308"/>
      <c r="AG119" s="308"/>
      <c r="AH119" s="308"/>
    </row>
    <row r="120" spans="1:34" x14ac:dyDescent="0.3">
      <c r="A120" s="308"/>
      <c r="B120" s="308"/>
      <c r="C120" s="308"/>
      <c r="E120" s="337"/>
      <c r="F120" s="337"/>
      <c r="H120" s="55"/>
      <c r="Y120" s="308"/>
      <c r="Z120" s="308"/>
      <c r="AA120" s="308"/>
      <c r="AB120" s="308"/>
      <c r="AC120" s="308"/>
      <c r="AD120" s="308"/>
      <c r="AE120" s="308"/>
      <c r="AF120" s="308"/>
      <c r="AG120" s="308"/>
      <c r="AH120" s="308"/>
    </row>
    <row r="121" spans="1:34" x14ac:dyDescent="0.3">
      <c r="A121" s="308"/>
      <c r="B121" s="308"/>
      <c r="C121" s="308"/>
      <c r="E121" s="337"/>
      <c r="F121" s="337"/>
      <c r="H121" s="55"/>
      <c r="Y121" s="308"/>
      <c r="Z121" s="308"/>
      <c r="AA121" s="308"/>
      <c r="AB121" s="308"/>
      <c r="AC121" s="308"/>
      <c r="AD121" s="308"/>
      <c r="AE121" s="308"/>
      <c r="AF121" s="308"/>
      <c r="AG121" s="308"/>
      <c r="AH121" s="308"/>
    </row>
    <row r="122" spans="1:34" x14ac:dyDescent="0.3">
      <c r="A122" s="308"/>
      <c r="B122" s="308"/>
      <c r="C122" s="308"/>
      <c r="E122" s="337"/>
      <c r="F122" s="337"/>
      <c r="H122" s="55"/>
      <c r="Y122" s="308"/>
      <c r="Z122" s="308"/>
      <c r="AA122" s="308"/>
      <c r="AB122" s="308"/>
      <c r="AC122" s="308"/>
      <c r="AD122" s="308"/>
      <c r="AE122" s="308"/>
      <c r="AF122" s="308"/>
      <c r="AG122" s="308"/>
      <c r="AH122" s="308"/>
    </row>
    <row r="123" spans="1:34" x14ac:dyDescent="0.3">
      <c r="A123" s="308"/>
      <c r="B123" s="308"/>
      <c r="C123" s="308"/>
      <c r="E123" s="337"/>
      <c r="F123" s="337"/>
      <c r="H123" s="55"/>
      <c r="Y123" s="308"/>
      <c r="Z123" s="308"/>
      <c r="AA123" s="308"/>
      <c r="AB123" s="308"/>
      <c r="AC123" s="308"/>
      <c r="AD123" s="308"/>
      <c r="AE123" s="308"/>
      <c r="AF123" s="308"/>
      <c r="AG123" s="308"/>
      <c r="AH123" s="308"/>
    </row>
    <row r="124" spans="1:34" x14ac:dyDescent="0.3">
      <c r="A124" s="308"/>
      <c r="B124" s="308"/>
      <c r="C124" s="308"/>
      <c r="E124" s="337"/>
      <c r="F124" s="337"/>
      <c r="H124" s="55"/>
      <c r="Y124" s="308"/>
      <c r="Z124" s="308"/>
      <c r="AA124" s="308"/>
      <c r="AB124" s="308"/>
      <c r="AC124" s="308"/>
      <c r="AD124" s="308"/>
      <c r="AE124" s="308"/>
      <c r="AF124" s="308"/>
      <c r="AG124" s="308"/>
      <c r="AH124" s="308"/>
    </row>
    <row r="125" spans="1:34" x14ac:dyDescent="0.3">
      <c r="A125" s="308"/>
      <c r="B125" s="308"/>
      <c r="C125" s="308"/>
      <c r="E125" s="337"/>
      <c r="F125" s="337"/>
      <c r="H125" s="55"/>
      <c r="Y125" s="308"/>
      <c r="Z125" s="308"/>
      <c r="AA125" s="308"/>
      <c r="AB125" s="308"/>
      <c r="AC125" s="308"/>
      <c r="AD125" s="308"/>
      <c r="AE125" s="308"/>
      <c r="AF125" s="308"/>
      <c r="AG125" s="308"/>
      <c r="AH125" s="308"/>
    </row>
    <row r="126" spans="1:34" x14ac:dyDescent="0.3">
      <c r="A126" s="308"/>
      <c r="B126" s="308"/>
      <c r="C126" s="308"/>
      <c r="E126" s="337"/>
      <c r="F126" s="337"/>
      <c r="H126" s="55"/>
      <c r="Y126" s="308"/>
      <c r="Z126" s="308"/>
      <c r="AA126" s="308"/>
      <c r="AB126" s="308"/>
      <c r="AC126" s="308"/>
      <c r="AD126" s="308"/>
      <c r="AE126" s="308"/>
      <c r="AF126" s="308"/>
      <c r="AG126" s="308"/>
      <c r="AH126" s="308"/>
    </row>
    <row r="127" spans="1:34" x14ac:dyDescent="0.3">
      <c r="A127" s="308"/>
      <c r="B127" s="308"/>
      <c r="C127" s="308"/>
      <c r="E127" s="337"/>
      <c r="F127" s="337"/>
      <c r="H127" s="55"/>
      <c r="Y127" s="308"/>
      <c r="Z127" s="308"/>
      <c r="AA127" s="308"/>
      <c r="AB127" s="308"/>
      <c r="AC127" s="308"/>
      <c r="AD127" s="308"/>
      <c r="AE127" s="308"/>
      <c r="AF127" s="308"/>
      <c r="AG127" s="308"/>
      <c r="AH127" s="308"/>
    </row>
    <row r="128" spans="1:34" x14ac:dyDescent="0.3">
      <c r="A128" s="308"/>
      <c r="B128" s="308"/>
      <c r="C128" s="308"/>
      <c r="E128" s="337"/>
      <c r="F128" s="337"/>
      <c r="H128" s="55"/>
      <c r="Y128" s="308"/>
      <c r="Z128" s="308"/>
      <c r="AA128" s="308"/>
      <c r="AB128" s="308"/>
      <c r="AC128" s="308"/>
      <c r="AD128" s="308"/>
      <c r="AE128" s="308"/>
      <c r="AF128" s="308"/>
      <c r="AG128" s="308"/>
      <c r="AH128" s="308"/>
    </row>
    <row r="129" spans="1:34" x14ac:dyDescent="0.3">
      <c r="A129" s="308"/>
      <c r="B129" s="308"/>
      <c r="C129" s="308"/>
      <c r="E129" s="337"/>
      <c r="F129" s="337"/>
      <c r="H129" s="55"/>
      <c r="Y129" s="308"/>
      <c r="Z129" s="308"/>
      <c r="AA129" s="308"/>
      <c r="AB129" s="308"/>
      <c r="AC129" s="308"/>
      <c r="AD129" s="308"/>
      <c r="AE129" s="308"/>
      <c r="AF129" s="308"/>
      <c r="AG129" s="308"/>
      <c r="AH129" s="308"/>
    </row>
    <row r="130" spans="1:34" x14ac:dyDescent="0.3">
      <c r="A130" s="308"/>
      <c r="B130" s="308"/>
      <c r="C130" s="308"/>
      <c r="E130" s="337"/>
      <c r="F130" s="337"/>
      <c r="H130" s="55"/>
      <c r="Y130" s="308"/>
      <c r="Z130" s="308"/>
      <c r="AA130" s="308"/>
      <c r="AB130" s="308"/>
      <c r="AC130" s="308"/>
      <c r="AD130" s="308"/>
      <c r="AE130" s="308"/>
      <c r="AF130" s="308"/>
      <c r="AG130" s="308"/>
      <c r="AH130" s="308"/>
    </row>
    <row r="131" spans="1:34" x14ac:dyDescent="0.3">
      <c r="A131" s="308"/>
      <c r="B131" s="308"/>
      <c r="C131" s="308"/>
      <c r="E131" s="337"/>
      <c r="F131" s="337"/>
      <c r="H131" s="55"/>
      <c r="Y131" s="308"/>
      <c r="Z131" s="308"/>
      <c r="AA131" s="308"/>
      <c r="AB131" s="308"/>
      <c r="AC131" s="308"/>
      <c r="AD131" s="308"/>
      <c r="AE131" s="308"/>
      <c r="AF131" s="308"/>
      <c r="AG131" s="308"/>
      <c r="AH131" s="308"/>
    </row>
    <row r="132" spans="1:34" x14ac:dyDescent="0.3">
      <c r="A132" s="308"/>
      <c r="B132" s="308"/>
      <c r="C132" s="308"/>
      <c r="E132" s="337"/>
      <c r="F132" s="337"/>
      <c r="H132" s="55"/>
      <c r="Y132" s="308"/>
      <c r="Z132" s="308"/>
      <c r="AA132" s="308"/>
      <c r="AB132" s="308"/>
      <c r="AC132" s="308"/>
      <c r="AD132" s="308"/>
      <c r="AE132" s="308"/>
      <c r="AF132" s="308"/>
      <c r="AG132" s="308"/>
      <c r="AH132" s="308"/>
    </row>
    <row r="133" spans="1:34" x14ac:dyDescent="0.3">
      <c r="A133" s="308"/>
      <c r="B133" s="308"/>
      <c r="C133" s="308"/>
      <c r="E133" s="337"/>
      <c r="F133" s="337"/>
      <c r="H133" s="55"/>
      <c r="Y133" s="308"/>
      <c r="Z133" s="308"/>
      <c r="AA133" s="308"/>
      <c r="AB133" s="308"/>
      <c r="AC133" s="308"/>
      <c r="AD133" s="308"/>
      <c r="AE133" s="308"/>
      <c r="AF133" s="308"/>
      <c r="AG133" s="308"/>
      <c r="AH133" s="308"/>
    </row>
    <row r="134" spans="1:34" x14ac:dyDescent="0.3">
      <c r="A134" s="308"/>
      <c r="B134" s="308"/>
      <c r="C134" s="308"/>
      <c r="E134" s="337"/>
      <c r="F134" s="337"/>
      <c r="H134" s="55"/>
      <c r="Y134" s="308"/>
      <c r="Z134" s="308"/>
      <c r="AA134" s="308"/>
      <c r="AB134" s="308"/>
      <c r="AC134" s="308"/>
      <c r="AD134" s="308"/>
      <c r="AE134" s="308"/>
      <c r="AF134" s="308"/>
      <c r="AG134" s="308"/>
      <c r="AH134" s="308"/>
    </row>
    <row r="135" spans="1:34" x14ac:dyDescent="0.3">
      <c r="A135" s="308"/>
      <c r="B135" s="308"/>
      <c r="C135" s="308"/>
      <c r="E135" s="337"/>
      <c r="F135" s="337"/>
      <c r="H135" s="55"/>
      <c r="Y135" s="308"/>
      <c r="Z135" s="308"/>
      <c r="AA135" s="308"/>
      <c r="AB135" s="308"/>
      <c r="AC135" s="308"/>
      <c r="AD135" s="308"/>
      <c r="AE135" s="308"/>
      <c r="AF135" s="308"/>
      <c r="AG135" s="308"/>
      <c r="AH135" s="308"/>
    </row>
    <row r="136" spans="1:34" x14ac:dyDescent="0.3">
      <c r="A136" s="308"/>
      <c r="B136" s="308"/>
      <c r="C136" s="308"/>
      <c r="E136" s="337"/>
      <c r="F136" s="337"/>
      <c r="H136" s="55"/>
      <c r="Y136" s="308"/>
      <c r="Z136" s="308"/>
      <c r="AA136" s="308"/>
      <c r="AB136" s="308"/>
      <c r="AC136" s="308"/>
      <c r="AD136" s="308"/>
      <c r="AE136" s="308"/>
      <c r="AF136" s="308"/>
      <c r="AG136" s="308"/>
      <c r="AH136" s="308"/>
    </row>
    <row r="137" spans="1:34" x14ac:dyDescent="0.3">
      <c r="A137" s="308"/>
      <c r="B137" s="308"/>
      <c r="C137" s="308"/>
      <c r="E137" s="337"/>
      <c r="F137" s="337"/>
      <c r="H137" s="55"/>
      <c r="Y137" s="308"/>
      <c r="Z137" s="308"/>
      <c r="AA137" s="308"/>
      <c r="AB137" s="308"/>
      <c r="AC137" s="308"/>
      <c r="AD137" s="308"/>
      <c r="AE137" s="308"/>
      <c r="AF137" s="308"/>
      <c r="AG137" s="308"/>
      <c r="AH137" s="308"/>
    </row>
    <row r="138" spans="1:34" x14ac:dyDescent="0.3">
      <c r="A138" s="308"/>
      <c r="B138" s="308"/>
      <c r="C138" s="308"/>
      <c r="E138" s="337"/>
      <c r="F138" s="337"/>
      <c r="H138" s="55"/>
      <c r="Y138" s="308"/>
      <c r="Z138" s="308"/>
      <c r="AA138" s="308"/>
      <c r="AB138" s="308"/>
      <c r="AC138" s="308"/>
      <c r="AD138" s="308"/>
      <c r="AE138" s="308"/>
      <c r="AF138" s="308"/>
      <c r="AG138" s="308"/>
      <c r="AH138" s="308"/>
    </row>
    <row r="139" spans="1:34" x14ac:dyDescent="0.3">
      <c r="A139" s="308"/>
      <c r="B139" s="308"/>
      <c r="C139" s="308"/>
      <c r="E139" s="337"/>
      <c r="F139" s="337"/>
      <c r="H139" s="55"/>
      <c r="Y139" s="308"/>
      <c r="Z139" s="308"/>
      <c r="AA139" s="308"/>
      <c r="AB139" s="308"/>
      <c r="AC139" s="308"/>
      <c r="AD139" s="308"/>
      <c r="AE139" s="308"/>
      <c r="AF139" s="308"/>
      <c r="AG139" s="308"/>
      <c r="AH139" s="308"/>
    </row>
    <row r="140" spans="1:34" x14ac:dyDescent="0.3">
      <c r="A140" s="308"/>
      <c r="B140" s="308"/>
      <c r="C140" s="308"/>
      <c r="E140" s="337"/>
      <c r="F140" s="337"/>
      <c r="H140" s="55"/>
      <c r="Y140" s="308"/>
      <c r="Z140" s="308"/>
      <c r="AA140" s="308"/>
      <c r="AB140" s="308"/>
      <c r="AC140" s="308"/>
      <c r="AD140" s="308"/>
      <c r="AE140" s="308"/>
      <c r="AF140" s="308"/>
      <c r="AG140" s="308"/>
      <c r="AH140" s="308"/>
    </row>
    <row r="141" spans="1:34" x14ac:dyDescent="0.3">
      <c r="A141" s="308"/>
      <c r="B141" s="308"/>
      <c r="C141" s="308"/>
      <c r="E141" s="337"/>
      <c r="F141" s="337"/>
      <c r="H141" s="55"/>
      <c r="Y141" s="308"/>
      <c r="Z141" s="308"/>
      <c r="AA141" s="308"/>
      <c r="AB141" s="308"/>
      <c r="AC141" s="308"/>
      <c r="AD141" s="308"/>
      <c r="AE141" s="308"/>
      <c r="AF141" s="308"/>
      <c r="AG141" s="308"/>
      <c r="AH141" s="308"/>
    </row>
    <row r="142" spans="1:34" x14ac:dyDescent="0.3">
      <c r="A142" s="308"/>
      <c r="B142" s="308"/>
      <c r="C142" s="308"/>
      <c r="E142" s="337"/>
      <c r="F142" s="337"/>
      <c r="H142" s="55"/>
      <c r="Y142" s="308"/>
      <c r="Z142" s="308"/>
      <c r="AA142" s="308"/>
      <c r="AB142" s="308"/>
      <c r="AC142" s="308"/>
      <c r="AD142" s="308"/>
      <c r="AE142" s="308"/>
      <c r="AF142" s="308"/>
      <c r="AG142" s="308"/>
      <c r="AH142" s="308"/>
    </row>
    <row r="143" spans="1:34" x14ac:dyDescent="0.3">
      <c r="A143" s="308"/>
      <c r="B143" s="308"/>
      <c r="C143" s="308"/>
      <c r="E143" s="337"/>
      <c r="F143" s="337"/>
      <c r="H143" s="55"/>
      <c r="Y143" s="308"/>
      <c r="Z143" s="308"/>
      <c r="AA143" s="308"/>
      <c r="AB143" s="308"/>
      <c r="AC143" s="308"/>
      <c r="AD143" s="308"/>
      <c r="AE143" s="308"/>
      <c r="AF143" s="308"/>
      <c r="AG143" s="308"/>
      <c r="AH143" s="308"/>
    </row>
    <row r="144" spans="1:34" x14ac:dyDescent="0.3">
      <c r="A144" s="308"/>
      <c r="B144" s="308"/>
      <c r="C144" s="308"/>
      <c r="E144" s="337"/>
      <c r="F144" s="337"/>
      <c r="H144" s="55"/>
      <c r="Y144" s="308"/>
      <c r="Z144" s="308"/>
      <c r="AA144" s="308"/>
      <c r="AB144" s="308"/>
      <c r="AC144" s="308"/>
      <c r="AD144" s="308"/>
      <c r="AE144" s="308"/>
      <c r="AF144" s="308"/>
      <c r="AG144" s="308"/>
      <c r="AH144" s="308"/>
    </row>
    <row r="145" spans="1:34" x14ac:dyDescent="0.3">
      <c r="A145" s="308"/>
      <c r="B145" s="308"/>
      <c r="C145" s="308"/>
      <c r="E145" s="337"/>
      <c r="F145" s="337"/>
      <c r="H145" s="55"/>
      <c r="Y145" s="308"/>
      <c r="Z145" s="308"/>
      <c r="AA145" s="308"/>
      <c r="AB145" s="308"/>
      <c r="AC145" s="308"/>
      <c r="AD145" s="308"/>
      <c r="AE145" s="308"/>
      <c r="AF145" s="308"/>
      <c r="AG145" s="308"/>
      <c r="AH145" s="308"/>
    </row>
    <row r="146" spans="1:34" x14ac:dyDescent="0.3">
      <c r="A146" s="308"/>
      <c r="B146" s="308"/>
      <c r="C146" s="308"/>
      <c r="E146" s="337"/>
      <c r="F146" s="337"/>
      <c r="H146" s="55"/>
      <c r="Y146" s="308"/>
      <c r="Z146" s="308"/>
      <c r="AA146" s="308"/>
      <c r="AB146" s="308"/>
      <c r="AC146" s="308"/>
      <c r="AD146" s="308"/>
      <c r="AE146" s="308"/>
      <c r="AF146" s="308"/>
      <c r="AG146" s="308"/>
      <c r="AH146" s="308"/>
    </row>
    <row r="147" spans="1:34" x14ac:dyDescent="0.3">
      <c r="A147" s="308"/>
      <c r="B147" s="308"/>
      <c r="C147" s="308"/>
      <c r="E147" s="337"/>
      <c r="F147" s="337"/>
      <c r="H147" s="55"/>
      <c r="Y147" s="308"/>
      <c r="Z147" s="308"/>
      <c r="AA147" s="308"/>
      <c r="AB147" s="308"/>
      <c r="AC147" s="308"/>
      <c r="AD147" s="308"/>
      <c r="AE147" s="308"/>
      <c r="AF147" s="308"/>
      <c r="AG147" s="308"/>
      <c r="AH147" s="308"/>
    </row>
    <row r="148" spans="1:34" x14ac:dyDescent="0.3">
      <c r="A148" s="308"/>
      <c r="B148" s="308"/>
      <c r="C148" s="308"/>
      <c r="E148" s="337"/>
      <c r="F148" s="337"/>
      <c r="H148" s="55"/>
      <c r="Y148" s="308"/>
      <c r="Z148" s="308"/>
      <c r="AA148" s="308"/>
      <c r="AB148" s="308"/>
      <c r="AC148" s="308"/>
      <c r="AD148" s="308"/>
      <c r="AE148" s="308"/>
      <c r="AF148" s="308"/>
      <c r="AG148" s="308"/>
      <c r="AH148" s="308"/>
    </row>
    <row r="149" spans="1:34" x14ac:dyDescent="0.3">
      <c r="A149" s="308"/>
      <c r="B149" s="308"/>
      <c r="C149" s="308"/>
      <c r="E149" s="337"/>
      <c r="F149" s="337"/>
      <c r="H149" s="55"/>
      <c r="Y149" s="308"/>
      <c r="Z149" s="308"/>
      <c r="AA149" s="308"/>
      <c r="AB149" s="308"/>
      <c r="AC149" s="308"/>
      <c r="AD149" s="308"/>
      <c r="AE149" s="308"/>
      <c r="AF149" s="308"/>
      <c r="AG149" s="308"/>
      <c r="AH149" s="308"/>
    </row>
    <row r="150" spans="1:34" x14ac:dyDescent="0.3">
      <c r="A150" s="308"/>
      <c r="B150" s="308"/>
      <c r="C150" s="308"/>
      <c r="E150" s="337"/>
      <c r="F150" s="337"/>
      <c r="H150" s="55"/>
      <c r="Y150" s="308"/>
      <c r="Z150" s="308"/>
      <c r="AA150" s="308"/>
      <c r="AB150" s="308"/>
      <c r="AC150" s="308"/>
      <c r="AD150" s="308"/>
      <c r="AE150" s="308"/>
      <c r="AF150" s="308"/>
      <c r="AG150" s="308"/>
      <c r="AH150" s="308"/>
    </row>
    <row r="151" spans="1:34" x14ac:dyDescent="0.3">
      <c r="A151" s="308"/>
      <c r="B151" s="308"/>
      <c r="C151" s="308"/>
      <c r="E151" s="337"/>
      <c r="F151" s="337"/>
      <c r="H151" s="55"/>
      <c r="Y151" s="308"/>
      <c r="Z151" s="308"/>
      <c r="AA151" s="308"/>
      <c r="AB151" s="308"/>
      <c r="AC151" s="308"/>
      <c r="AD151" s="308"/>
      <c r="AE151" s="308"/>
      <c r="AF151" s="308"/>
      <c r="AG151" s="308"/>
      <c r="AH151" s="308"/>
    </row>
    <row r="152" spans="1:34" x14ac:dyDescent="0.3">
      <c r="A152" s="308"/>
      <c r="B152" s="308"/>
      <c r="C152" s="308"/>
      <c r="E152" s="337"/>
      <c r="F152" s="337"/>
      <c r="H152" s="55"/>
      <c r="Y152" s="308"/>
      <c r="Z152" s="308"/>
      <c r="AA152" s="308"/>
      <c r="AB152" s="308"/>
      <c r="AC152" s="308"/>
      <c r="AD152" s="308"/>
      <c r="AE152" s="308"/>
      <c r="AF152" s="308"/>
      <c r="AG152" s="308"/>
      <c r="AH152" s="308"/>
    </row>
    <row r="153" spans="1:34" x14ac:dyDescent="0.3">
      <c r="A153" s="308"/>
      <c r="B153" s="308"/>
      <c r="C153" s="308"/>
      <c r="E153" s="337"/>
      <c r="F153" s="337"/>
      <c r="H153" s="55"/>
      <c r="Y153" s="308"/>
      <c r="Z153" s="308"/>
      <c r="AA153" s="308"/>
      <c r="AB153" s="308"/>
      <c r="AC153" s="308"/>
      <c r="AD153" s="308"/>
      <c r="AE153" s="308"/>
      <c r="AF153" s="308"/>
      <c r="AG153" s="308"/>
      <c r="AH153" s="308"/>
    </row>
    <row r="154" spans="1:34" x14ac:dyDescent="0.3">
      <c r="A154" s="308"/>
      <c r="B154" s="308"/>
      <c r="C154" s="308"/>
      <c r="E154" s="337"/>
      <c r="F154" s="337"/>
      <c r="H154" s="55"/>
      <c r="Y154" s="308"/>
      <c r="Z154" s="308"/>
      <c r="AA154" s="308"/>
      <c r="AB154" s="308"/>
      <c r="AC154" s="308"/>
      <c r="AD154" s="308"/>
      <c r="AE154" s="308"/>
      <c r="AF154" s="308"/>
      <c r="AG154" s="308"/>
      <c r="AH154" s="308"/>
    </row>
    <row r="155" spans="1:34" x14ac:dyDescent="0.3">
      <c r="A155" s="308"/>
      <c r="B155" s="308"/>
      <c r="C155" s="308"/>
      <c r="E155" s="337"/>
      <c r="F155" s="337"/>
      <c r="H155" s="55"/>
      <c r="Y155" s="308"/>
      <c r="Z155" s="308"/>
      <c r="AA155" s="308"/>
      <c r="AB155" s="308"/>
      <c r="AC155" s="308"/>
      <c r="AD155" s="308"/>
      <c r="AE155" s="308"/>
      <c r="AF155" s="308"/>
      <c r="AG155" s="308"/>
      <c r="AH155" s="308"/>
    </row>
    <row r="156" spans="1:34" x14ac:dyDescent="0.3">
      <c r="A156" s="308"/>
      <c r="B156" s="308"/>
      <c r="C156" s="308"/>
      <c r="E156" s="337"/>
      <c r="F156" s="337"/>
      <c r="H156" s="55"/>
      <c r="Y156" s="308"/>
      <c r="Z156" s="308"/>
      <c r="AA156" s="308"/>
      <c r="AB156" s="308"/>
      <c r="AC156" s="308"/>
      <c r="AD156" s="308"/>
      <c r="AE156" s="308"/>
      <c r="AF156" s="308"/>
      <c r="AG156" s="308"/>
      <c r="AH156" s="308"/>
    </row>
    <row r="157" spans="1:34" x14ac:dyDescent="0.3">
      <c r="A157" s="308"/>
      <c r="B157" s="308"/>
      <c r="C157" s="308"/>
      <c r="E157" s="337"/>
      <c r="F157" s="337"/>
      <c r="H157" s="55"/>
      <c r="Y157" s="308"/>
      <c r="Z157" s="308"/>
      <c r="AA157" s="308"/>
      <c r="AB157" s="308"/>
      <c r="AC157" s="308"/>
      <c r="AD157" s="308"/>
      <c r="AE157" s="308"/>
      <c r="AF157" s="308"/>
      <c r="AG157" s="308"/>
      <c r="AH157" s="308"/>
    </row>
    <row r="158" spans="1:34" x14ac:dyDescent="0.3">
      <c r="A158" s="308"/>
      <c r="B158" s="308"/>
      <c r="C158" s="308"/>
      <c r="E158" s="337"/>
      <c r="F158" s="337"/>
      <c r="H158" s="55"/>
      <c r="Y158" s="308"/>
      <c r="Z158" s="308"/>
      <c r="AA158" s="308"/>
      <c r="AB158" s="308"/>
      <c r="AC158" s="308"/>
      <c r="AD158" s="308"/>
      <c r="AE158" s="308"/>
      <c r="AF158" s="308"/>
      <c r="AG158" s="308"/>
      <c r="AH158" s="308"/>
    </row>
    <row r="159" spans="1:34" x14ac:dyDescent="0.3">
      <c r="A159" s="308"/>
      <c r="B159" s="308"/>
      <c r="C159" s="308"/>
      <c r="E159" s="337"/>
      <c r="F159" s="337"/>
      <c r="H159" s="55"/>
      <c r="Y159" s="308"/>
      <c r="Z159" s="308"/>
      <c r="AA159" s="308"/>
      <c r="AB159" s="308"/>
      <c r="AC159" s="308"/>
      <c r="AD159" s="308"/>
      <c r="AE159" s="308"/>
      <c r="AF159" s="308"/>
      <c r="AG159" s="308"/>
      <c r="AH159" s="308"/>
    </row>
    <row r="160" spans="1:34" x14ac:dyDescent="0.3">
      <c r="A160" s="308"/>
      <c r="B160" s="308"/>
      <c r="C160" s="308"/>
      <c r="E160" s="337"/>
      <c r="F160" s="337"/>
      <c r="Y160" s="308"/>
      <c r="Z160" s="308"/>
      <c r="AA160" s="308"/>
      <c r="AB160" s="308"/>
      <c r="AC160" s="308"/>
      <c r="AD160" s="308"/>
      <c r="AE160" s="308"/>
      <c r="AF160" s="308"/>
      <c r="AG160" s="308"/>
      <c r="AH160" s="308"/>
    </row>
    <row r="161" spans="1:34" x14ac:dyDescent="0.3">
      <c r="A161" s="308"/>
      <c r="B161" s="308"/>
      <c r="C161" s="308"/>
      <c r="E161" s="337"/>
      <c r="F161" s="337"/>
      <c r="Y161" s="308"/>
      <c r="Z161" s="308"/>
      <c r="AA161" s="308"/>
      <c r="AB161" s="308"/>
      <c r="AC161" s="308"/>
      <c r="AD161" s="308"/>
      <c r="AE161" s="308"/>
      <c r="AF161" s="308"/>
      <c r="AG161" s="308"/>
      <c r="AH161" s="308"/>
    </row>
    <row r="162" spans="1:34" x14ac:dyDescent="0.3">
      <c r="A162" s="308"/>
      <c r="B162" s="308"/>
      <c r="C162" s="308"/>
      <c r="E162" s="337"/>
      <c r="F162" s="337"/>
      <c r="Y162" s="308"/>
      <c r="Z162" s="308"/>
      <c r="AA162" s="308"/>
      <c r="AB162" s="308"/>
      <c r="AC162" s="308"/>
      <c r="AD162" s="308"/>
      <c r="AE162" s="308"/>
      <c r="AF162" s="308"/>
      <c r="AG162" s="308"/>
      <c r="AH162" s="308"/>
    </row>
    <row r="163" spans="1:34" x14ac:dyDescent="0.3">
      <c r="A163" s="308"/>
      <c r="B163" s="308"/>
      <c r="C163" s="308"/>
      <c r="E163" s="337"/>
      <c r="F163" s="337"/>
      <c r="Y163" s="308"/>
      <c r="Z163" s="308"/>
      <c r="AA163" s="308"/>
      <c r="AB163" s="308"/>
      <c r="AC163" s="308"/>
      <c r="AD163" s="308"/>
      <c r="AE163" s="308"/>
      <c r="AF163" s="308"/>
      <c r="AG163" s="308"/>
      <c r="AH163" s="308"/>
    </row>
    <row r="164" spans="1:34" x14ac:dyDescent="0.3">
      <c r="A164" s="308"/>
      <c r="B164" s="308"/>
      <c r="C164" s="308"/>
      <c r="E164" s="337"/>
      <c r="F164" s="337"/>
      <c r="Y164" s="308"/>
      <c r="Z164" s="308"/>
      <c r="AA164" s="308"/>
      <c r="AB164" s="308"/>
      <c r="AC164" s="308"/>
      <c r="AD164" s="308"/>
      <c r="AE164" s="308"/>
      <c r="AF164" s="308"/>
      <c r="AG164" s="308"/>
      <c r="AH164" s="308"/>
    </row>
    <row r="165" spans="1:34" x14ac:dyDescent="0.3">
      <c r="A165" s="308"/>
      <c r="B165" s="308"/>
      <c r="C165" s="308"/>
      <c r="E165" s="337"/>
      <c r="F165" s="337"/>
      <c r="Y165" s="308"/>
      <c r="Z165" s="308"/>
      <c r="AA165" s="308"/>
      <c r="AB165" s="308"/>
      <c r="AC165" s="308"/>
      <c r="AD165" s="308"/>
      <c r="AE165" s="308"/>
      <c r="AF165" s="308"/>
      <c r="AG165" s="308"/>
      <c r="AH165" s="308"/>
    </row>
    <row r="166" spans="1:34" x14ac:dyDescent="0.3">
      <c r="A166" s="308"/>
      <c r="B166" s="308"/>
      <c r="C166" s="308"/>
      <c r="E166" s="337"/>
      <c r="F166" s="337"/>
      <c r="Y166" s="308"/>
      <c r="Z166" s="308"/>
      <c r="AA166" s="308"/>
      <c r="AB166" s="308"/>
      <c r="AC166" s="308"/>
      <c r="AD166" s="308"/>
      <c r="AE166" s="308"/>
      <c r="AF166" s="308"/>
      <c r="AG166" s="308"/>
      <c r="AH166" s="308"/>
    </row>
    <row r="167" spans="1:34" x14ac:dyDescent="0.3">
      <c r="A167" s="308"/>
      <c r="B167" s="308"/>
      <c r="C167" s="308"/>
      <c r="E167" s="337"/>
      <c r="F167" s="337"/>
      <c r="Y167" s="308"/>
      <c r="Z167" s="308"/>
      <c r="AA167" s="308"/>
      <c r="AB167" s="308"/>
      <c r="AC167" s="308"/>
      <c r="AD167" s="308"/>
      <c r="AE167" s="308"/>
      <c r="AF167" s="308"/>
      <c r="AG167" s="308"/>
      <c r="AH167" s="308"/>
    </row>
    <row r="168" spans="1:34" x14ac:dyDescent="0.3">
      <c r="A168" s="308"/>
      <c r="B168" s="308"/>
      <c r="C168" s="308"/>
      <c r="E168" s="337"/>
      <c r="F168" s="337"/>
      <c r="Y168" s="308"/>
      <c r="Z168" s="308"/>
      <c r="AA168" s="308"/>
      <c r="AB168" s="308"/>
      <c r="AC168" s="308"/>
      <c r="AD168" s="308"/>
      <c r="AE168" s="308"/>
      <c r="AF168" s="308"/>
      <c r="AG168" s="308"/>
      <c r="AH168" s="308"/>
    </row>
    <row r="169" spans="1:34" x14ac:dyDescent="0.3">
      <c r="A169" s="308"/>
      <c r="B169" s="308"/>
      <c r="C169" s="308"/>
      <c r="E169" s="337"/>
      <c r="F169" s="337"/>
      <c r="Y169" s="308"/>
      <c r="Z169" s="308"/>
      <c r="AA169" s="308"/>
      <c r="AB169" s="308"/>
      <c r="AC169" s="308"/>
      <c r="AD169" s="308"/>
      <c r="AE169" s="308"/>
      <c r="AF169" s="308"/>
      <c r="AG169" s="308"/>
      <c r="AH169" s="308"/>
    </row>
    <row r="170" spans="1:34" x14ac:dyDescent="0.3">
      <c r="A170" s="308"/>
      <c r="B170" s="308"/>
      <c r="C170" s="308"/>
      <c r="E170" s="337"/>
      <c r="F170" s="337"/>
      <c r="Y170" s="308"/>
      <c r="Z170" s="308"/>
      <c r="AA170" s="308"/>
      <c r="AB170" s="308"/>
      <c r="AC170" s="308"/>
      <c r="AD170" s="308"/>
      <c r="AE170" s="308"/>
      <c r="AF170" s="308"/>
      <c r="AG170" s="308"/>
      <c r="AH170" s="308"/>
    </row>
    <row r="171" spans="1:34" x14ac:dyDescent="0.3">
      <c r="A171" s="308"/>
      <c r="B171" s="308"/>
      <c r="C171" s="308"/>
      <c r="E171" s="337"/>
      <c r="F171" s="337"/>
      <c r="Y171" s="308"/>
      <c r="Z171" s="308"/>
      <c r="AA171" s="308"/>
      <c r="AB171" s="308"/>
      <c r="AC171" s="308"/>
      <c r="AD171" s="308"/>
      <c r="AE171" s="308"/>
      <c r="AF171" s="308"/>
      <c r="AG171" s="308"/>
      <c r="AH171" s="308"/>
    </row>
    <row r="172" spans="1:34" x14ac:dyDescent="0.3">
      <c r="A172" s="308"/>
      <c r="B172" s="308"/>
      <c r="C172" s="308"/>
      <c r="E172" s="337"/>
      <c r="F172" s="337"/>
      <c r="Y172" s="308"/>
      <c r="Z172" s="308"/>
      <c r="AA172" s="308"/>
      <c r="AB172" s="308"/>
      <c r="AC172" s="308"/>
      <c r="AD172" s="308"/>
      <c r="AE172" s="308"/>
      <c r="AF172" s="308"/>
      <c r="AG172" s="308"/>
      <c r="AH172" s="308"/>
    </row>
    <row r="173" spans="1:34" x14ac:dyDescent="0.3">
      <c r="A173" s="308"/>
      <c r="B173" s="308"/>
      <c r="C173" s="308"/>
      <c r="E173" s="337"/>
      <c r="F173" s="337"/>
      <c r="Y173" s="308"/>
      <c r="Z173" s="308"/>
      <c r="AA173" s="308"/>
      <c r="AB173" s="308"/>
      <c r="AC173" s="308"/>
      <c r="AD173" s="308"/>
      <c r="AE173" s="308"/>
      <c r="AF173" s="308"/>
      <c r="AG173" s="308"/>
      <c r="AH173" s="308"/>
    </row>
    <row r="174" spans="1:34" x14ac:dyDescent="0.3">
      <c r="A174" s="308"/>
      <c r="B174" s="308"/>
      <c r="C174" s="308"/>
      <c r="E174" s="337"/>
      <c r="F174" s="337"/>
      <c r="Y174" s="308"/>
      <c r="Z174" s="308"/>
      <c r="AA174" s="308"/>
      <c r="AB174" s="308"/>
      <c r="AC174" s="308"/>
      <c r="AD174" s="308"/>
      <c r="AE174" s="308"/>
      <c r="AF174" s="308"/>
      <c r="AG174" s="308"/>
      <c r="AH174" s="308"/>
    </row>
    <row r="175" spans="1:34" x14ac:dyDescent="0.3">
      <c r="A175" s="308"/>
      <c r="B175" s="308"/>
      <c r="C175" s="308"/>
      <c r="E175" s="337"/>
      <c r="F175" s="337"/>
      <c r="Y175" s="308"/>
      <c r="Z175" s="308"/>
      <c r="AA175" s="308"/>
      <c r="AB175" s="308"/>
      <c r="AC175" s="308"/>
      <c r="AD175" s="308"/>
      <c r="AE175" s="308"/>
      <c r="AF175" s="308"/>
      <c r="AG175" s="308"/>
      <c r="AH175" s="308"/>
    </row>
    <row r="176" spans="1:34" x14ac:dyDescent="0.3">
      <c r="A176" s="308"/>
      <c r="B176" s="308"/>
      <c r="C176" s="308"/>
      <c r="E176" s="337"/>
      <c r="F176" s="337"/>
      <c r="Y176" s="308"/>
      <c r="Z176" s="308"/>
      <c r="AA176" s="308"/>
      <c r="AB176" s="308"/>
      <c r="AC176" s="308"/>
      <c r="AD176" s="308"/>
      <c r="AE176" s="308"/>
      <c r="AF176" s="308"/>
      <c r="AG176" s="308"/>
      <c r="AH176" s="308"/>
    </row>
    <row r="177" spans="1:34" x14ac:dyDescent="0.3">
      <c r="A177" s="308"/>
      <c r="B177" s="308"/>
      <c r="C177" s="308"/>
      <c r="E177" s="337"/>
      <c r="F177" s="337"/>
      <c r="Y177" s="308"/>
      <c r="Z177" s="308"/>
      <c r="AA177" s="308"/>
      <c r="AB177" s="308"/>
      <c r="AC177" s="308"/>
      <c r="AD177" s="308"/>
      <c r="AE177" s="308"/>
      <c r="AF177" s="308"/>
      <c r="AG177" s="308"/>
      <c r="AH177" s="308"/>
    </row>
    <row r="178" spans="1:34" x14ac:dyDescent="0.3">
      <c r="A178" s="308"/>
      <c r="B178" s="308"/>
      <c r="C178" s="308"/>
      <c r="E178" s="337"/>
      <c r="F178" s="337"/>
      <c r="Y178" s="308"/>
      <c r="Z178" s="308"/>
      <c r="AA178" s="308"/>
      <c r="AB178" s="308"/>
      <c r="AC178" s="308"/>
      <c r="AD178" s="308"/>
      <c r="AE178" s="308"/>
      <c r="AF178" s="308"/>
      <c r="AG178" s="308"/>
      <c r="AH178" s="308"/>
    </row>
    <row r="179" spans="1:34" x14ac:dyDescent="0.3">
      <c r="A179" s="308"/>
      <c r="B179" s="308"/>
      <c r="C179" s="308"/>
      <c r="E179" s="337"/>
      <c r="F179" s="337"/>
      <c r="Y179" s="308"/>
      <c r="Z179" s="308"/>
      <c r="AA179" s="308"/>
      <c r="AB179" s="308"/>
      <c r="AC179" s="308"/>
      <c r="AD179" s="308"/>
      <c r="AE179" s="308"/>
      <c r="AF179" s="308"/>
      <c r="AG179" s="308"/>
      <c r="AH179" s="308"/>
    </row>
    <row r="180" spans="1:34" x14ac:dyDescent="0.3">
      <c r="A180" s="308"/>
      <c r="B180" s="308"/>
      <c r="C180" s="308"/>
      <c r="E180" s="337"/>
      <c r="F180" s="337"/>
      <c r="Y180" s="308"/>
      <c r="Z180" s="308"/>
      <c r="AA180" s="308"/>
      <c r="AB180" s="308"/>
      <c r="AC180" s="308"/>
      <c r="AD180" s="308"/>
      <c r="AE180" s="308"/>
      <c r="AF180" s="308"/>
      <c r="AG180" s="308"/>
      <c r="AH180" s="308"/>
    </row>
    <row r="181" spans="1:34" x14ac:dyDescent="0.3">
      <c r="A181" s="308"/>
      <c r="B181" s="308"/>
      <c r="C181" s="308"/>
      <c r="E181" s="337"/>
      <c r="F181" s="337"/>
      <c r="Y181" s="308"/>
      <c r="Z181" s="308"/>
      <c r="AA181" s="308"/>
      <c r="AB181" s="308"/>
      <c r="AC181" s="308"/>
      <c r="AD181" s="308"/>
      <c r="AE181" s="308"/>
      <c r="AF181" s="308"/>
      <c r="AG181" s="308"/>
      <c r="AH181" s="308"/>
    </row>
    <row r="182" spans="1:34" x14ac:dyDescent="0.3">
      <c r="A182" s="308"/>
      <c r="B182" s="308"/>
      <c r="C182" s="308"/>
      <c r="E182" s="337"/>
      <c r="F182" s="337"/>
      <c r="Y182" s="308"/>
      <c r="Z182" s="308"/>
      <c r="AA182" s="308"/>
      <c r="AB182" s="308"/>
      <c r="AC182" s="308"/>
      <c r="AD182" s="308"/>
      <c r="AE182" s="308"/>
      <c r="AF182" s="308"/>
      <c r="AG182" s="308"/>
      <c r="AH182" s="308"/>
    </row>
    <row r="183" spans="1:34" x14ac:dyDescent="0.3">
      <c r="A183" s="308"/>
      <c r="B183" s="308"/>
      <c r="C183" s="308"/>
      <c r="E183" s="337"/>
      <c r="F183" s="337"/>
      <c r="Y183" s="308"/>
      <c r="Z183" s="308"/>
      <c r="AA183" s="308"/>
      <c r="AB183" s="308"/>
      <c r="AC183" s="308"/>
      <c r="AD183" s="308"/>
      <c r="AE183" s="308"/>
      <c r="AF183" s="308"/>
      <c r="AG183" s="308"/>
      <c r="AH183" s="308"/>
    </row>
    <row r="184" spans="1:34" x14ac:dyDescent="0.3">
      <c r="A184" s="308"/>
      <c r="B184" s="308"/>
      <c r="C184" s="308"/>
      <c r="E184" s="337"/>
      <c r="F184" s="337"/>
      <c r="Y184" s="308"/>
      <c r="Z184" s="308"/>
      <c r="AA184" s="308"/>
      <c r="AB184" s="308"/>
      <c r="AC184" s="308"/>
      <c r="AD184" s="308"/>
      <c r="AE184" s="308"/>
      <c r="AF184" s="308"/>
      <c r="AG184" s="308"/>
      <c r="AH184" s="308"/>
    </row>
    <row r="185" spans="1:34" x14ac:dyDescent="0.3">
      <c r="A185" s="308"/>
      <c r="B185" s="308"/>
      <c r="C185" s="308"/>
      <c r="E185" s="337"/>
      <c r="F185" s="337"/>
      <c r="Y185" s="308"/>
      <c r="Z185" s="308"/>
      <c r="AA185" s="308"/>
      <c r="AB185" s="308"/>
      <c r="AC185" s="308"/>
      <c r="AD185" s="308"/>
      <c r="AE185" s="308"/>
      <c r="AF185" s="308"/>
      <c r="AG185" s="308"/>
      <c r="AH185" s="308"/>
    </row>
    <row r="186" spans="1:34" x14ac:dyDescent="0.3">
      <c r="A186" s="308"/>
      <c r="B186" s="308"/>
      <c r="C186" s="308"/>
      <c r="E186" s="337"/>
      <c r="F186" s="337"/>
      <c r="Y186" s="308"/>
      <c r="Z186" s="308"/>
      <c r="AA186" s="308"/>
      <c r="AB186" s="308"/>
      <c r="AC186" s="308"/>
      <c r="AD186" s="308"/>
      <c r="AE186" s="308"/>
      <c r="AF186" s="308"/>
      <c r="AG186" s="308"/>
      <c r="AH186" s="308"/>
    </row>
    <row r="187" spans="1:34" x14ac:dyDescent="0.3">
      <c r="A187" s="308"/>
      <c r="B187" s="308"/>
      <c r="C187" s="308"/>
      <c r="E187" s="337"/>
      <c r="F187" s="337"/>
      <c r="Y187" s="308"/>
      <c r="Z187" s="308"/>
      <c r="AA187" s="308"/>
      <c r="AB187" s="308"/>
      <c r="AC187" s="308"/>
      <c r="AD187" s="308"/>
      <c r="AE187" s="308"/>
      <c r="AF187" s="308"/>
      <c r="AG187" s="308"/>
      <c r="AH187" s="308"/>
    </row>
    <row r="188" spans="1:34" x14ac:dyDescent="0.3">
      <c r="A188" s="308"/>
      <c r="B188" s="308"/>
      <c r="C188" s="308"/>
      <c r="E188" s="337"/>
      <c r="F188" s="337"/>
      <c r="Y188" s="308"/>
      <c r="Z188" s="308"/>
      <c r="AA188" s="308"/>
      <c r="AB188" s="308"/>
      <c r="AC188" s="308"/>
      <c r="AD188" s="308"/>
      <c r="AE188" s="308"/>
      <c r="AF188" s="308"/>
      <c r="AG188" s="308"/>
      <c r="AH188" s="308"/>
    </row>
    <row r="189" spans="1:34" x14ac:dyDescent="0.3">
      <c r="A189" s="308"/>
      <c r="B189" s="308"/>
      <c r="C189" s="308"/>
      <c r="E189" s="337"/>
      <c r="F189" s="337"/>
      <c r="Y189" s="308"/>
      <c r="Z189" s="308"/>
      <c r="AA189" s="308"/>
      <c r="AB189" s="308"/>
      <c r="AC189" s="308"/>
      <c r="AD189" s="308"/>
      <c r="AE189" s="308"/>
      <c r="AF189" s="308"/>
      <c r="AG189" s="308"/>
      <c r="AH189" s="308"/>
    </row>
    <row r="190" spans="1:34" x14ac:dyDescent="0.3">
      <c r="A190" s="308"/>
      <c r="B190" s="308"/>
      <c r="C190" s="308"/>
      <c r="E190" s="337"/>
      <c r="F190" s="337"/>
      <c r="Y190" s="308"/>
      <c r="Z190" s="308"/>
      <c r="AA190" s="308"/>
      <c r="AB190" s="308"/>
      <c r="AC190" s="308"/>
      <c r="AD190" s="308"/>
      <c r="AE190" s="308"/>
      <c r="AF190" s="308"/>
      <c r="AG190" s="308"/>
      <c r="AH190" s="308"/>
    </row>
    <row r="191" spans="1:34" x14ac:dyDescent="0.3">
      <c r="A191" s="308"/>
      <c r="B191" s="308"/>
      <c r="C191" s="308"/>
      <c r="E191" s="337"/>
      <c r="F191" s="337"/>
      <c r="Y191" s="308"/>
      <c r="Z191" s="308"/>
      <c r="AA191" s="308"/>
      <c r="AB191" s="308"/>
      <c r="AC191" s="308"/>
      <c r="AD191" s="308"/>
      <c r="AE191" s="308"/>
      <c r="AF191" s="308"/>
      <c r="AG191" s="308"/>
      <c r="AH191" s="308"/>
    </row>
    <row r="192" spans="1:34" x14ac:dyDescent="0.3">
      <c r="A192" s="308"/>
      <c r="B192" s="308"/>
      <c r="C192" s="308"/>
      <c r="E192" s="337"/>
      <c r="F192" s="337"/>
      <c r="Y192" s="308"/>
      <c r="Z192" s="308"/>
      <c r="AA192" s="308"/>
      <c r="AB192" s="308"/>
      <c r="AC192" s="308"/>
      <c r="AD192" s="308"/>
      <c r="AE192" s="308"/>
      <c r="AF192" s="308"/>
      <c r="AG192" s="308"/>
      <c r="AH192" s="308"/>
    </row>
    <row r="193" spans="1:34" x14ac:dyDescent="0.3">
      <c r="A193" s="308"/>
      <c r="B193" s="308"/>
      <c r="C193" s="308"/>
      <c r="E193" s="337"/>
      <c r="F193" s="337"/>
      <c r="Y193" s="308"/>
      <c r="Z193" s="308"/>
      <c r="AA193" s="308"/>
      <c r="AB193" s="308"/>
      <c r="AC193" s="308"/>
      <c r="AD193" s="308"/>
      <c r="AE193" s="308"/>
      <c r="AF193" s="308"/>
      <c r="AG193" s="308"/>
      <c r="AH193" s="308"/>
    </row>
    <row r="194" spans="1:34" x14ac:dyDescent="0.3">
      <c r="A194" s="308"/>
      <c r="B194" s="308"/>
      <c r="C194" s="308"/>
      <c r="E194" s="337"/>
      <c r="F194" s="337"/>
      <c r="Y194" s="308"/>
      <c r="Z194" s="308"/>
      <c r="AA194" s="308"/>
      <c r="AB194" s="308"/>
      <c r="AC194" s="308"/>
      <c r="AD194" s="308"/>
      <c r="AE194" s="308"/>
      <c r="AF194" s="308"/>
      <c r="AG194" s="308"/>
      <c r="AH194" s="308"/>
    </row>
    <row r="195" spans="1:34" x14ac:dyDescent="0.3">
      <c r="A195" s="308"/>
      <c r="B195" s="308"/>
      <c r="C195" s="308"/>
      <c r="E195" s="337"/>
      <c r="F195" s="337"/>
      <c r="Y195" s="308"/>
      <c r="Z195" s="308"/>
      <c r="AA195" s="308"/>
      <c r="AB195" s="308"/>
      <c r="AC195" s="308"/>
      <c r="AD195" s="308"/>
      <c r="AE195" s="308"/>
      <c r="AF195" s="308"/>
      <c r="AG195" s="308"/>
      <c r="AH195" s="308"/>
    </row>
    <row r="196" spans="1:34" x14ac:dyDescent="0.3">
      <c r="A196" s="308"/>
      <c r="B196" s="308"/>
      <c r="C196" s="308"/>
      <c r="E196" s="337"/>
      <c r="F196" s="337"/>
      <c r="Y196" s="308"/>
      <c r="Z196" s="308"/>
      <c r="AA196" s="308"/>
      <c r="AB196" s="308"/>
      <c r="AC196" s="308"/>
      <c r="AD196" s="308"/>
      <c r="AE196" s="308"/>
      <c r="AF196" s="308"/>
      <c r="AG196" s="308"/>
      <c r="AH196" s="308"/>
    </row>
    <row r="197" spans="1:34" x14ac:dyDescent="0.3">
      <c r="A197" s="308"/>
      <c r="B197" s="308"/>
      <c r="C197" s="308"/>
      <c r="E197" s="337"/>
      <c r="F197" s="337"/>
      <c r="Y197" s="308"/>
      <c r="Z197" s="308"/>
      <c r="AA197" s="308"/>
      <c r="AB197" s="308"/>
      <c r="AC197" s="308"/>
      <c r="AD197" s="308"/>
      <c r="AE197" s="308"/>
      <c r="AF197" s="308"/>
      <c r="AG197" s="308"/>
      <c r="AH197" s="308"/>
    </row>
    <row r="198" spans="1:34" x14ac:dyDescent="0.3">
      <c r="A198" s="308"/>
      <c r="B198" s="308"/>
      <c r="C198" s="308"/>
      <c r="E198" s="337"/>
      <c r="F198" s="337"/>
      <c r="Y198" s="308"/>
      <c r="Z198" s="308"/>
      <c r="AA198" s="308"/>
      <c r="AB198" s="308"/>
      <c r="AC198" s="308"/>
      <c r="AD198" s="308"/>
      <c r="AE198" s="308"/>
      <c r="AF198" s="308"/>
      <c r="AG198" s="308"/>
      <c r="AH198" s="308"/>
    </row>
    <row r="199" spans="1:34" x14ac:dyDescent="0.3">
      <c r="A199" s="308"/>
      <c r="B199" s="308"/>
      <c r="C199" s="308"/>
      <c r="E199" s="337"/>
      <c r="F199" s="337"/>
      <c r="Y199" s="308"/>
      <c r="Z199" s="308"/>
      <c r="AA199" s="308"/>
      <c r="AB199" s="308"/>
      <c r="AC199" s="308"/>
      <c r="AD199" s="308"/>
      <c r="AE199" s="308"/>
      <c r="AF199" s="308"/>
      <c r="AG199" s="308"/>
      <c r="AH199" s="308"/>
    </row>
    <row r="200" spans="1:34" x14ac:dyDescent="0.3">
      <c r="A200" s="308"/>
      <c r="B200" s="308"/>
      <c r="C200" s="308"/>
      <c r="E200" s="337"/>
      <c r="F200" s="337"/>
      <c r="Y200" s="308"/>
      <c r="Z200" s="308"/>
      <c r="AA200" s="308"/>
      <c r="AB200" s="308"/>
      <c r="AC200" s="308"/>
      <c r="AD200" s="308"/>
      <c r="AE200" s="308"/>
      <c r="AF200" s="308"/>
      <c r="AG200" s="308"/>
      <c r="AH200" s="308"/>
    </row>
    <row r="201" spans="1:34" x14ac:dyDescent="0.3">
      <c r="A201" s="308"/>
      <c r="B201" s="308"/>
      <c r="C201" s="308"/>
      <c r="E201" s="337"/>
      <c r="F201" s="337"/>
      <c r="Y201" s="308"/>
      <c r="Z201" s="308"/>
      <c r="AA201" s="308"/>
      <c r="AB201" s="308"/>
      <c r="AC201" s="308"/>
      <c r="AD201" s="308"/>
      <c r="AE201" s="308"/>
      <c r="AF201" s="308"/>
      <c r="AG201" s="308"/>
      <c r="AH201" s="308"/>
    </row>
    <row r="202" spans="1:34" x14ac:dyDescent="0.3">
      <c r="A202" s="308"/>
      <c r="B202" s="308"/>
      <c r="C202" s="308"/>
      <c r="E202" s="337"/>
      <c r="F202" s="337"/>
      <c r="Y202" s="308"/>
      <c r="Z202" s="308"/>
      <c r="AA202" s="308"/>
      <c r="AB202" s="308"/>
      <c r="AC202" s="308"/>
      <c r="AD202" s="308"/>
      <c r="AE202" s="308"/>
      <c r="AF202" s="308"/>
      <c r="AG202" s="308"/>
      <c r="AH202" s="308"/>
    </row>
    <row r="203" spans="1:34" x14ac:dyDescent="0.3">
      <c r="A203" s="308"/>
      <c r="B203" s="308"/>
      <c r="C203" s="308"/>
      <c r="E203" s="337"/>
      <c r="F203" s="337"/>
      <c r="Y203" s="308"/>
      <c r="Z203" s="308"/>
      <c r="AA203" s="308"/>
      <c r="AB203" s="308"/>
      <c r="AC203" s="308"/>
      <c r="AD203" s="308"/>
      <c r="AE203" s="308"/>
      <c r="AF203" s="308"/>
      <c r="AG203" s="308"/>
      <c r="AH203" s="308"/>
    </row>
    <row r="204" spans="1:34" x14ac:dyDescent="0.3">
      <c r="A204" s="308"/>
      <c r="B204" s="308"/>
      <c r="C204" s="308"/>
      <c r="E204" s="337"/>
      <c r="F204" s="337"/>
      <c r="Y204" s="308"/>
      <c r="Z204" s="308"/>
      <c r="AA204" s="308"/>
      <c r="AB204" s="308"/>
      <c r="AC204" s="308"/>
      <c r="AD204" s="308"/>
      <c r="AE204" s="308"/>
      <c r="AF204" s="308"/>
      <c r="AG204" s="308"/>
      <c r="AH204" s="308"/>
    </row>
    <row r="205" spans="1:34" x14ac:dyDescent="0.3">
      <c r="A205" s="308"/>
      <c r="B205" s="308"/>
      <c r="C205" s="308"/>
      <c r="E205" s="337"/>
      <c r="F205" s="337"/>
      <c r="Y205" s="308"/>
      <c r="Z205" s="308"/>
      <c r="AA205" s="308"/>
      <c r="AB205" s="308"/>
      <c r="AC205" s="308"/>
      <c r="AD205" s="308"/>
      <c r="AE205" s="308"/>
      <c r="AF205" s="308"/>
      <c r="AG205" s="308"/>
      <c r="AH205" s="308"/>
    </row>
    <row r="206" spans="1:34" x14ac:dyDescent="0.3">
      <c r="A206" s="308"/>
      <c r="B206" s="308"/>
      <c r="C206" s="308"/>
      <c r="E206" s="337"/>
      <c r="F206" s="337"/>
      <c r="Y206" s="308"/>
      <c r="Z206" s="308"/>
      <c r="AA206" s="308"/>
      <c r="AB206" s="308"/>
      <c r="AC206" s="308"/>
      <c r="AD206" s="308"/>
      <c r="AE206" s="308"/>
      <c r="AF206" s="308"/>
      <c r="AG206" s="308"/>
      <c r="AH206" s="308"/>
    </row>
    <row r="207" spans="1:34" x14ac:dyDescent="0.3">
      <c r="A207" s="308"/>
      <c r="B207" s="308"/>
      <c r="C207" s="308"/>
      <c r="E207" s="337"/>
      <c r="F207" s="337"/>
      <c r="Y207" s="308"/>
      <c r="Z207" s="308"/>
      <c r="AA207" s="308"/>
      <c r="AB207" s="308"/>
      <c r="AC207" s="308"/>
      <c r="AD207" s="308"/>
      <c r="AE207" s="308"/>
      <c r="AF207" s="308"/>
      <c r="AG207" s="308"/>
      <c r="AH207" s="308"/>
    </row>
    <row r="208" spans="1:34" x14ac:dyDescent="0.3">
      <c r="A208" s="308"/>
      <c r="B208" s="308"/>
      <c r="C208" s="308"/>
      <c r="E208" s="337"/>
      <c r="F208" s="337"/>
      <c r="Y208" s="308"/>
      <c r="Z208" s="308"/>
      <c r="AA208" s="308"/>
      <c r="AB208" s="308"/>
      <c r="AC208" s="308"/>
      <c r="AD208" s="308"/>
      <c r="AE208" s="308"/>
      <c r="AF208" s="308"/>
      <c r="AG208" s="308"/>
      <c r="AH208" s="308"/>
    </row>
    <row r="209" spans="1:34" x14ac:dyDescent="0.3">
      <c r="A209" s="308"/>
      <c r="B209" s="308"/>
      <c r="C209" s="308"/>
      <c r="E209" s="337"/>
      <c r="F209" s="337"/>
      <c r="Y209" s="308"/>
      <c r="Z209" s="308"/>
      <c r="AA209" s="308"/>
      <c r="AB209" s="308"/>
      <c r="AC209" s="308"/>
      <c r="AD209" s="308"/>
      <c r="AE209" s="308"/>
      <c r="AF209" s="308"/>
      <c r="AG209" s="308"/>
      <c r="AH209" s="308"/>
    </row>
    <row r="210" spans="1:34" x14ac:dyDescent="0.3">
      <c r="A210" s="308"/>
      <c r="B210" s="308"/>
      <c r="C210" s="308"/>
      <c r="E210" s="337"/>
      <c r="F210" s="337"/>
      <c r="Y210" s="308"/>
      <c r="Z210" s="308"/>
      <c r="AA210" s="308"/>
      <c r="AB210" s="308"/>
      <c r="AC210" s="308"/>
      <c r="AD210" s="308"/>
      <c r="AE210" s="308"/>
      <c r="AF210" s="308"/>
      <c r="AG210" s="308"/>
      <c r="AH210" s="308"/>
    </row>
    <row r="211" spans="1:34" x14ac:dyDescent="0.3">
      <c r="A211" s="308"/>
      <c r="B211" s="308"/>
      <c r="C211" s="308"/>
      <c r="E211" s="337"/>
      <c r="F211" s="337"/>
      <c r="Y211" s="308"/>
      <c r="Z211" s="308"/>
      <c r="AA211" s="308"/>
      <c r="AB211" s="308"/>
      <c r="AC211" s="308"/>
      <c r="AD211" s="308"/>
      <c r="AE211" s="308"/>
      <c r="AF211" s="308"/>
      <c r="AG211" s="308"/>
      <c r="AH211" s="308"/>
    </row>
    <row r="212" spans="1:34" x14ac:dyDescent="0.3">
      <c r="A212" s="308"/>
      <c r="B212" s="308"/>
      <c r="C212" s="308"/>
      <c r="E212" s="337"/>
      <c r="F212" s="337"/>
      <c r="Y212" s="308"/>
      <c r="Z212" s="308"/>
      <c r="AA212" s="308"/>
      <c r="AB212" s="308"/>
      <c r="AC212" s="308"/>
      <c r="AD212" s="308"/>
      <c r="AE212" s="308"/>
      <c r="AF212" s="308"/>
      <c r="AG212" s="308"/>
      <c r="AH212" s="308"/>
    </row>
    <row r="213" spans="1:34" x14ac:dyDescent="0.3">
      <c r="A213" s="308"/>
      <c r="B213" s="308"/>
      <c r="C213" s="308"/>
      <c r="E213" s="337"/>
      <c r="F213" s="337"/>
      <c r="Y213" s="308"/>
      <c r="Z213" s="308"/>
      <c r="AA213" s="308"/>
      <c r="AB213" s="308"/>
      <c r="AC213" s="308"/>
      <c r="AD213" s="308"/>
      <c r="AE213" s="308"/>
      <c r="AF213" s="308"/>
      <c r="AG213" s="308"/>
      <c r="AH213" s="308"/>
    </row>
    <row r="214" spans="1:34" x14ac:dyDescent="0.3">
      <c r="A214" s="308"/>
      <c r="B214" s="308"/>
      <c r="C214" s="308"/>
      <c r="E214" s="337"/>
      <c r="F214" s="337"/>
      <c r="Y214" s="308"/>
      <c r="Z214" s="308"/>
      <c r="AA214" s="308"/>
      <c r="AB214" s="308"/>
      <c r="AC214" s="308"/>
      <c r="AD214" s="308"/>
      <c r="AE214" s="308"/>
      <c r="AF214" s="308"/>
      <c r="AG214" s="308"/>
      <c r="AH214" s="308"/>
    </row>
    <row r="215" spans="1:34" x14ac:dyDescent="0.3">
      <c r="A215" s="308"/>
      <c r="B215" s="308"/>
      <c r="C215" s="308"/>
      <c r="E215" s="337"/>
      <c r="F215" s="337"/>
      <c r="Y215" s="308"/>
      <c r="Z215" s="308"/>
      <c r="AA215" s="308"/>
      <c r="AB215" s="308"/>
      <c r="AC215" s="308"/>
      <c r="AD215" s="308"/>
      <c r="AE215" s="308"/>
      <c r="AF215" s="308"/>
      <c r="AG215" s="308"/>
      <c r="AH215" s="308"/>
    </row>
    <row r="216" spans="1:34" x14ac:dyDescent="0.3">
      <c r="A216" s="308"/>
      <c r="B216" s="308"/>
      <c r="C216" s="308"/>
      <c r="E216" s="337"/>
      <c r="F216" s="337"/>
      <c r="Y216" s="308"/>
      <c r="Z216" s="308"/>
      <c r="AA216" s="308"/>
      <c r="AB216" s="308"/>
      <c r="AC216" s="308"/>
      <c r="AD216" s="308"/>
      <c r="AE216" s="308"/>
      <c r="AF216" s="308"/>
      <c r="AG216" s="308"/>
      <c r="AH216" s="308"/>
    </row>
    <row r="217" spans="1:34" x14ac:dyDescent="0.3">
      <c r="A217" s="308"/>
      <c r="B217" s="308"/>
      <c r="C217" s="308"/>
      <c r="E217" s="337"/>
      <c r="F217" s="337"/>
      <c r="Y217" s="308"/>
      <c r="Z217" s="308"/>
      <c r="AA217" s="308"/>
      <c r="AB217" s="308"/>
      <c r="AC217" s="308"/>
      <c r="AD217" s="308"/>
      <c r="AE217" s="308"/>
      <c r="AF217" s="308"/>
      <c r="AG217" s="308"/>
      <c r="AH217" s="308"/>
    </row>
    <row r="218" spans="1:34" x14ac:dyDescent="0.3">
      <c r="A218" s="308"/>
      <c r="B218" s="308"/>
      <c r="C218" s="308"/>
      <c r="E218" s="337"/>
      <c r="F218" s="337"/>
      <c r="Y218" s="308"/>
      <c r="Z218" s="308"/>
      <c r="AA218" s="308"/>
      <c r="AB218" s="308"/>
      <c r="AC218" s="308"/>
      <c r="AD218" s="308"/>
      <c r="AE218" s="308"/>
      <c r="AF218" s="308"/>
      <c r="AG218" s="308"/>
      <c r="AH218" s="308"/>
    </row>
    <row r="219" spans="1:34" x14ac:dyDescent="0.3">
      <c r="A219" s="308"/>
      <c r="B219" s="308"/>
      <c r="C219" s="308"/>
      <c r="E219" s="337"/>
      <c r="F219" s="337"/>
      <c r="Y219" s="308"/>
      <c r="Z219" s="308"/>
      <c r="AA219" s="308"/>
      <c r="AB219" s="308"/>
      <c r="AC219" s="308"/>
      <c r="AD219" s="308"/>
      <c r="AE219" s="308"/>
      <c r="AF219" s="308"/>
      <c r="AG219" s="308"/>
      <c r="AH219" s="308"/>
    </row>
    <row r="220" spans="1:34" x14ac:dyDescent="0.3">
      <c r="A220" s="308"/>
      <c r="B220" s="308"/>
      <c r="C220" s="308"/>
      <c r="E220" s="337"/>
      <c r="F220" s="337"/>
      <c r="Y220" s="308"/>
      <c r="Z220" s="308"/>
      <c r="AA220" s="308"/>
      <c r="AB220" s="308"/>
      <c r="AC220" s="308"/>
      <c r="AD220" s="308"/>
      <c r="AE220" s="308"/>
      <c r="AF220" s="308"/>
      <c r="AG220" s="308"/>
      <c r="AH220" s="308"/>
    </row>
    <row r="221" spans="1:34" x14ac:dyDescent="0.3">
      <c r="A221" s="308"/>
      <c r="B221" s="308"/>
      <c r="C221" s="308"/>
      <c r="E221" s="337"/>
      <c r="F221" s="337"/>
      <c r="Y221" s="308"/>
      <c r="Z221" s="308"/>
      <c r="AA221" s="308"/>
      <c r="AB221" s="308"/>
      <c r="AC221" s="308"/>
      <c r="AD221" s="308"/>
      <c r="AE221" s="308"/>
      <c r="AF221" s="308"/>
      <c r="AG221" s="308"/>
      <c r="AH221" s="308"/>
    </row>
    <row r="222" spans="1:34" x14ac:dyDescent="0.3">
      <c r="A222" s="308"/>
      <c r="B222" s="308"/>
      <c r="C222" s="308"/>
      <c r="E222" s="337"/>
      <c r="F222" s="337"/>
      <c r="Y222" s="308"/>
      <c r="Z222" s="308"/>
      <c r="AA222" s="308"/>
      <c r="AB222" s="308"/>
      <c r="AC222" s="308"/>
      <c r="AD222" s="308"/>
      <c r="AE222" s="308"/>
      <c r="AF222" s="308"/>
      <c r="AG222" s="308"/>
      <c r="AH222" s="308"/>
    </row>
    <row r="223" spans="1:34" x14ac:dyDescent="0.3">
      <c r="A223" s="308"/>
      <c r="B223" s="308"/>
      <c r="C223" s="308"/>
      <c r="E223" s="337"/>
      <c r="F223" s="337"/>
      <c r="Y223" s="308"/>
      <c r="Z223" s="308"/>
      <c r="AA223" s="308"/>
      <c r="AB223" s="308"/>
      <c r="AC223" s="308"/>
      <c r="AD223" s="308"/>
      <c r="AE223" s="308"/>
      <c r="AF223" s="308"/>
      <c r="AG223" s="308"/>
      <c r="AH223" s="308"/>
    </row>
    <row r="224" spans="1:34" x14ac:dyDescent="0.3">
      <c r="A224" s="308"/>
      <c r="B224" s="308"/>
      <c r="C224" s="308"/>
      <c r="E224" s="337"/>
      <c r="F224" s="337"/>
      <c r="Y224" s="308"/>
      <c r="Z224" s="308"/>
      <c r="AA224" s="308"/>
      <c r="AB224" s="308"/>
      <c r="AC224" s="308"/>
      <c r="AD224" s="308"/>
      <c r="AE224" s="308"/>
      <c r="AF224" s="308"/>
      <c r="AG224" s="308"/>
      <c r="AH224" s="308"/>
    </row>
    <row r="225" spans="1:34" x14ac:dyDescent="0.3">
      <c r="A225" s="308"/>
      <c r="B225" s="308"/>
      <c r="C225" s="308"/>
      <c r="E225" s="337"/>
      <c r="F225" s="337"/>
      <c r="Y225" s="308"/>
      <c r="Z225" s="308"/>
      <c r="AA225" s="308"/>
      <c r="AB225" s="308"/>
      <c r="AC225" s="308"/>
      <c r="AD225" s="308"/>
      <c r="AE225" s="308"/>
      <c r="AF225" s="308"/>
      <c r="AG225" s="308"/>
      <c r="AH225" s="308"/>
    </row>
    <row r="226" spans="1:34" x14ac:dyDescent="0.3">
      <c r="A226" s="308"/>
      <c r="B226" s="308"/>
      <c r="C226" s="308"/>
      <c r="E226" s="337"/>
      <c r="F226" s="337"/>
      <c r="Y226" s="308"/>
      <c r="Z226" s="308"/>
      <c r="AA226" s="308"/>
      <c r="AB226" s="308"/>
      <c r="AC226" s="308"/>
      <c r="AD226" s="308"/>
      <c r="AE226" s="308"/>
      <c r="AF226" s="308"/>
      <c r="AG226" s="308"/>
      <c r="AH226" s="308"/>
    </row>
    <row r="227" spans="1:34" x14ac:dyDescent="0.3">
      <c r="A227" s="308"/>
      <c r="B227" s="308"/>
      <c r="C227" s="308"/>
      <c r="E227" s="337"/>
      <c r="F227" s="337"/>
      <c r="Y227" s="308"/>
      <c r="Z227" s="308"/>
      <c r="AA227" s="308"/>
      <c r="AB227" s="308"/>
      <c r="AC227" s="308"/>
      <c r="AD227" s="308"/>
      <c r="AE227" s="308"/>
      <c r="AF227" s="308"/>
      <c r="AG227" s="308"/>
      <c r="AH227" s="308"/>
    </row>
    <row r="228" spans="1:34" x14ac:dyDescent="0.3">
      <c r="A228" s="308"/>
      <c r="B228" s="308"/>
      <c r="C228" s="308"/>
      <c r="E228" s="337"/>
      <c r="F228" s="337"/>
      <c r="Y228" s="308"/>
      <c r="Z228" s="308"/>
      <c r="AA228" s="308"/>
      <c r="AB228" s="308"/>
      <c r="AC228" s="308"/>
      <c r="AD228" s="308"/>
      <c r="AE228" s="308"/>
      <c r="AF228" s="308"/>
      <c r="AG228" s="308"/>
      <c r="AH228" s="308"/>
    </row>
    <row r="229" spans="1:34" x14ac:dyDescent="0.3">
      <c r="A229" s="308"/>
      <c r="B229" s="308"/>
      <c r="C229" s="308"/>
      <c r="E229" s="337"/>
      <c r="F229" s="337"/>
      <c r="Y229" s="308"/>
      <c r="Z229" s="308"/>
      <c r="AA229" s="308"/>
      <c r="AB229" s="308"/>
      <c r="AC229" s="308"/>
      <c r="AD229" s="308"/>
      <c r="AE229" s="308"/>
      <c r="AF229" s="308"/>
      <c r="AG229" s="308"/>
      <c r="AH229" s="308"/>
    </row>
    <row r="230" spans="1:34" x14ac:dyDescent="0.3">
      <c r="A230" s="308"/>
      <c r="B230" s="308"/>
      <c r="C230" s="308"/>
      <c r="E230" s="337"/>
      <c r="F230" s="337"/>
      <c r="Y230" s="308"/>
      <c r="Z230" s="308"/>
      <c r="AA230" s="308"/>
      <c r="AB230" s="308"/>
      <c r="AC230" s="308"/>
      <c r="AD230" s="308"/>
      <c r="AE230" s="308"/>
      <c r="AF230" s="308"/>
      <c r="AG230" s="308"/>
      <c r="AH230" s="308"/>
    </row>
    <row r="231" spans="1:34" x14ac:dyDescent="0.3">
      <c r="A231" s="308"/>
      <c r="B231" s="308"/>
      <c r="C231" s="308"/>
      <c r="E231" s="337"/>
      <c r="F231" s="337"/>
      <c r="Y231" s="308"/>
      <c r="Z231" s="308"/>
      <c r="AA231" s="308"/>
      <c r="AB231" s="308"/>
      <c r="AC231" s="308"/>
      <c r="AD231" s="308"/>
      <c r="AE231" s="308"/>
      <c r="AF231" s="308"/>
      <c r="AG231" s="308"/>
      <c r="AH231" s="308"/>
    </row>
    <row r="232" spans="1:34" x14ac:dyDescent="0.3">
      <c r="A232" s="308"/>
      <c r="B232" s="308"/>
      <c r="C232" s="308"/>
      <c r="E232" s="337"/>
      <c r="F232" s="337"/>
      <c r="Y232" s="308"/>
      <c r="Z232" s="308"/>
      <c r="AA232" s="308"/>
      <c r="AB232" s="308"/>
      <c r="AC232" s="308"/>
      <c r="AD232" s="308"/>
      <c r="AE232" s="308"/>
      <c r="AF232" s="308"/>
      <c r="AG232" s="308"/>
      <c r="AH232" s="308"/>
    </row>
    <row r="233" spans="1:34" x14ac:dyDescent="0.3">
      <c r="A233" s="308"/>
      <c r="B233" s="308"/>
      <c r="C233" s="308"/>
      <c r="E233" s="337"/>
      <c r="F233" s="337"/>
    </row>
    <row r="234" spans="1:34" x14ac:dyDescent="0.3">
      <c r="A234" s="308"/>
      <c r="B234" s="308"/>
      <c r="C234" s="308"/>
      <c r="E234" s="337"/>
      <c r="F234" s="337"/>
    </row>
    <row r="235" spans="1:34" x14ac:dyDescent="0.3">
      <c r="A235" s="308"/>
      <c r="B235" s="308"/>
      <c r="C235" s="308"/>
      <c r="E235" s="337"/>
      <c r="F235" s="337"/>
    </row>
    <row r="236" spans="1:34" x14ac:dyDescent="0.3">
      <c r="A236" s="308"/>
      <c r="B236" s="308"/>
      <c r="C236" s="308"/>
      <c r="E236" s="337"/>
      <c r="F236" s="337"/>
    </row>
    <row r="237" spans="1:34" x14ac:dyDescent="0.3">
      <c r="A237" s="308"/>
      <c r="B237" s="308"/>
      <c r="C237" s="308"/>
      <c r="E237" s="337"/>
      <c r="F237" s="337"/>
    </row>
    <row r="238" spans="1:34" x14ac:dyDescent="0.3">
      <c r="A238" s="308"/>
      <c r="B238" s="308"/>
      <c r="C238" s="308"/>
      <c r="E238" s="337"/>
      <c r="F238" s="337"/>
    </row>
    <row r="239" spans="1:34" x14ac:dyDescent="0.3">
      <c r="A239" s="308"/>
      <c r="B239" s="308"/>
      <c r="C239" s="308"/>
      <c r="E239" s="337"/>
      <c r="F239" s="337"/>
    </row>
    <row r="240" spans="1:34" x14ac:dyDescent="0.3">
      <c r="A240" s="308"/>
      <c r="B240" s="308"/>
      <c r="C240" s="308"/>
      <c r="E240" s="337"/>
      <c r="F240" s="337"/>
    </row>
    <row r="241" spans="1:686" x14ac:dyDescent="0.3">
      <c r="A241" s="308"/>
      <c r="B241" s="308"/>
      <c r="C241" s="308"/>
      <c r="E241" s="337"/>
      <c r="F241" s="337"/>
    </row>
    <row r="242" spans="1:686" x14ac:dyDescent="0.3">
      <c r="A242" s="308"/>
      <c r="B242" s="308"/>
      <c r="C242" s="308"/>
      <c r="E242" s="337"/>
      <c r="F242" s="337"/>
    </row>
    <row r="243" spans="1:686" x14ac:dyDescent="0.3">
      <c r="A243" s="308"/>
      <c r="B243" s="308"/>
      <c r="C243" s="308"/>
      <c r="E243" s="337"/>
      <c r="F243" s="337"/>
    </row>
    <row r="244" spans="1:686" s="308" customFormat="1" x14ac:dyDescent="0.3">
      <c r="E244" s="337"/>
      <c r="F244" s="337"/>
      <c r="G244" s="171"/>
      <c r="H244" s="1"/>
      <c r="Y244" s="309"/>
      <c r="Z244" s="309"/>
      <c r="AA244" s="309"/>
      <c r="AB244" s="309"/>
      <c r="AC244" s="309"/>
      <c r="AD244" s="309"/>
      <c r="AE244" s="309"/>
      <c r="AF244" s="309"/>
      <c r="AG244" s="309"/>
      <c r="AH244" s="309"/>
      <c r="AI244" s="309"/>
      <c r="AJ244" s="309"/>
      <c r="AK244" s="309"/>
      <c r="AL244" s="309"/>
      <c r="AM244" s="309"/>
      <c r="AN244" s="309"/>
      <c r="AO244" s="309"/>
      <c r="AP244" s="309"/>
      <c r="AQ244" s="309"/>
      <c r="AR244" s="309"/>
      <c r="AS244" s="309"/>
      <c r="AT244" s="309"/>
      <c r="AU244" s="309"/>
      <c r="AV244" s="309"/>
      <c r="AW244" s="309"/>
      <c r="AX244" s="309"/>
      <c r="AY244" s="309"/>
      <c r="AZ244" s="309"/>
      <c r="BA244" s="309"/>
      <c r="BB244" s="309"/>
      <c r="BC244" s="309"/>
      <c r="BD244" s="309"/>
      <c r="BE244" s="309"/>
      <c r="BF244" s="309"/>
      <c r="BG244" s="309"/>
      <c r="BH244" s="309"/>
      <c r="BI244" s="309"/>
      <c r="BJ244" s="309"/>
      <c r="BK244" s="309"/>
      <c r="BL244" s="309"/>
      <c r="BM244" s="309"/>
      <c r="BN244" s="309"/>
      <c r="BO244" s="309"/>
      <c r="BP244" s="309"/>
      <c r="BQ244" s="309"/>
      <c r="BR244" s="309"/>
      <c r="BS244" s="309"/>
      <c r="BT244" s="309"/>
      <c r="BU244" s="309"/>
      <c r="BV244" s="309"/>
      <c r="BW244" s="309"/>
      <c r="BX244" s="309"/>
      <c r="BY244" s="309"/>
      <c r="BZ244" s="309"/>
      <c r="CA244" s="309"/>
      <c r="CB244" s="309"/>
      <c r="CC244" s="309"/>
      <c r="CD244" s="309"/>
      <c r="CE244" s="309"/>
      <c r="CF244" s="309"/>
      <c r="CG244" s="309"/>
      <c r="CH244" s="309"/>
      <c r="CI244" s="309"/>
      <c r="CJ244" s="309"/>
      <c r="CK244" s="309"/>
      <c r="CL244" s="309"/>
      <c r="CM244" s="309"/>
      <c r="CN244" s="309"/>
      <c r="CO244" s="309"/>
      <c r="CP244" s="309"/>
      <c r="CQ244" s="309"/>
      <c r="CR244" s="309"/>
      <c r="CS244" s="309"/>
      <c r="CT244" s="309"/>
      <c r="CU244" s="309"/>
      <c r="CV244" s="309"/>
      <c r="CW244" s="309"/>
      <c r="CX244" s="309"/>
      <c r="CY244" s="309"/>
      <c r="CZ244" s="309"/>
      <c r="DA244" s="309"/>
      <c r="DB244" s="309"/>
      <c r="DC244" s="309"/>
      <c r="DD244" s="309"/>
      <c r="DE244" s="309"/>
      <c r="DF244" s="309"/>
      <c r="DG244" s="309"/>
      <c r="DH244" s="309"/>
      <c r="DI244" s="309"/>
      <c r="DJ244" s="309"/>
      <c r="DK244" s="309"/>
      <c r="DL244" s="309"/>
      <c r="DM244" s="309"/>
      <c r="DN244" s="309"/>
      <c r="DO244" s="309"/>
      <c r="DP244" s="309"/>
      <c r="DQ244" s="309"/>
      <c r="DR244" s="309"/>
      <c r="DS244" s="309"/>
      <c r="DT244" s="309"/>
      <c r="DU244" s="309"/>
      <c r="DV244" s="309"/>
      <c r="DW244" s="309"/>
      <c r="DX244" s="309"/>
      <c r="DY244" s="309"/>
      <c r="DZ244" s="309"/>
      <c r="EA244" s="309"/>
      <c r="EB244" s="309"/>
      <c r="EC244" s="309"/>
      <c r="ED244" s="309"/>
      <c r="EE244" s="309"/>
      <c r="EF244" s="309"/>
      <c r="EG244" s="309"/>
      <c r="EH244" s="309"/>
      <c r="EI244" s="309"/>
      <c r="EJ244" s="309"/>
      <c r="EK244" s="309"/>
      <c r="EL244" s="309"/>
      <c r="EM244" s="309"/>
      <c r="EN244" s="309"/>
      <c r="EO244" s="309"/>
      <c r="EP244" s="309"/>
      <c r="EQ244" s="309"/>
      <c r="ER244" s="309"/>
      <c r="ES244" s="309"/>
      <c r="ET244" s="309"/>
      <c r="EU244" s="309"/>
      <c r="EV244" s="309"/>
      <c r="EW244" s="309"/>
      <c r="EX244" s="309"/>
      <c r="EY244" s="309"/>
      <c r="EZ244" s="309"/>
      <c r="FA244" s="309"/>
      <c r="FB244" s="309"/>
      <c r="FC244" s="309"/>
      <c r="FD244" s="309"/>
      <c r="FE244" s="309"/>
      <c r="FF244" s="309"/>
      <c r="FG244" s="309"/>
      <c r="FH244" s="309"/>
      <c r="FI244" s="309"/>
      <c r="FJ244" s="309"/>
      <c r="FK244" s="309"/>
      <c r="FL244" s="309"/>
      <c r="FM244" s="309"/>
      <c r="FN244" s="309"/>
      <c r="FO244" s="309"/>
      <c r="FP244" s="309"/>
      <c r="FQ244" s="309"/>
      <c r="FR244" s="309"/>
      <c r="FS244" s="309"/>
      <c r="FT244" s="309"/>
      <c r="FU244" s="309"/>
      <c r="FV244" s="309"/>
      <c r="FW244" s="309"/>
      <c r="FX244" s="309"/>
      <c r="FY244" s="309"/>
      <c r="FZ244" s="309"/>
      <c r="GA244" s="309"/>
      <c r="GB244" s="309"/>
      <c r="GC244" s="309"/>
      <c r="GD244" s="309"/>
      <c r="GE244" s="309"/>
      <c r="GF244" s="309"/>
      <c r="GG244" s="309"/>
      <c r="GH244" s="309"/>
      <c r="GI244" s="309"/>
      <c r="GJ244" s="309"/>
      <c r="GK244" s="309"/>
      <c r="GL244" s="309"/>
      <c r="GM244" s="309"/>
      <c r="GN244" s="309"/>
      <c r="GO244" s="309"/>
      <c r="GP244" s="309"/>
      <c r="GQ244" s="309"/>
      <c r="GR244" s="309"/>
      <c r="GS244" s="309"/>
      <c r="GT244" s="309"/>
      <c r="GU244" s="309"/>
      <c r="GV244" s="309"/>
      <c r="GW244" s="309"/>
      <c r="GX244" s="309"/>
      <c r="GY244" s="309"/>
      <c r="GZ244" s="309"/>
      <c r="HA244" s="309"/>
      <c r="HB244" s="309"/>
      <c r="HC244" s="309"/>
      <c r="HD244" s="309"/>
      <c r="HE244" s="309"/>
      <c r="HF244" s="309"/>
      <c r="HG244" s="309"/>
      <c r="HH244" s="309"/>
      <c r="HI244" s="309"/>
      <c r="HJ244" s="309"/>
      <c r="HK244" s="309"/>
      <c r="HL244" s="309"/>
      <c r="HM244" s="309"/>
      <c r="HN244" s="309"/>
      <c r="HO244" s="309"/>
      <c r="HP244" s="309"/>
      <c r="HQ244" s="309"/>
      <c r="HR244" s="309"/>
      <c r="HS244" s="309"/>
      <c r="HT244" s="309"/>
      <c r="HU244" s="309"/>
      <c r="HV244" s="309"/>
      <c r="HW244" s="309"/>
      <c r="HX244" s="309"/>
      <c r="HY244" s="309"/>
      <c r="HZ244" s="309"/>
      <c r="IA244" s="309"/>
      <c r="IB244" s="309"/>
      <c r="IC244" s="309"/>
      <c r="ID244" s="309"/>
      <c r="IE244" s="309"/>
      <c r="IF244" s="309"/>
      <c r="IG244" s="309"/>
      <c r="IH244" s="309"/>
      <c r="II244" s="309"/>
      <c r="IJ244" s="309"/>
      <c r="IK244" s="309"/>
      <c r="IL244" s="309"/>
      <c r="IM244" s="309"/>
      <c r="IN244" s="309"/>
      <c r="IO244" s="309"/>
      <c r="IP244" s="309"/>
      <c r="IQ244" s="309"/>
      <c r="IR244" s="309"/>
      <c r="IS244" s="309"/>
      <c r="IT244" s="309"/>
      <c r="IU244" s="309"/>
      <c r="IV244" s="309"/>
      <c r="IW244" s="309"/>
      <c r="IX244" s="309"/>
      <c r="IY244" s="309"/>
      <c r="IZ244" s="309"/>
      <c r="JA244" s="309"/>
      <c r="JB244" s="309"/>
      <c r="JC244" s="309"/>
      <c r="JD244" s="309"/>
      <c r="JE244" s="309"/>
      <c r="JF244" s="309"/>
      <c r="JG244" s="309"/>
      <c r="JH244" s="309"/>
      <c r="JI244" s="309"/>
      <c r="JJ244" s="309"/>
      <c r="JK244" s="309"/>
      <c r="JL244" s="309"/>
      <c r="JM244" s="309"/>
      <c r="JN244" s="309"/>
      <c r="JO244" s="309"/>
      <c r="JP244" s="309"/>
      <c r="JQ244" s="309"/>
      <c r="JR244" s="309"/>
      <c r="JS244" s="309"/>
      <c r="JT244" s="309"/>
      <c r="JU244" s="309"/>
      <c r="JV244" s="309"/>
      <c r="JW244" s="309"/>
      <c r="JX244" s="309"/>
      <c r="JY244" s="309"/>
      <c r="JZ244" s="309"/>
      <c r="KA244" s="309"/>
      <c r="KB244" s="309"/>
      <c r="KC244" s="309"/>
      <c r="KD244" s="309"/>
      <c r="KE244" s="309"/>
      <c r="KF244" s="309"/>
      <c r="KG244" s="309"/>
      <c r="KH244" s="309"/>
      <c r="KI244" s="309"/>
      <c r="KJ244" s="309"/>
      <c r="KK244" s="309"/>
      <c r="KL244" s="309"/>
      <c r="KM244" s="309"/>
      <c r="KN244" s="309"/>
      <c r="KO244" s="309"/>
      <c r="KP244" s="309"/>
      <c r="KQ244" s="309"/>
      <c r="KR244" s="309"/>
      <c r="KS244" s="309"/>
      <c r="KT244" s="309"/>
      <c r="KU244" s="309"/>
      <c r="KV244" s="309"/>
      <c r="KW244" s="309"/>
      <c r="KX244" s="309"/>
      <c r="KY244" s="309"/>
      <c r="KZ244" s="309"/>
      <c r="LA244" s="309"/>
      <c r="LB244" s="309"/>
      <c r="LC244" s="309"/>
      <c r="LD244" s="309"/>
      <c r="LE244" s="309"/>
      <c r="LF244" s="309"/>
      <c r="LG244" s="309"/>
      <c r="LH244" s="309"/>
      <c r="LI244" s="309"/>
      <c r="LJ244" s="309"/>
      <c r="LK244" s="309"/>
      <c r="LL244" s="309"/>
      <c r="LM244" s="309"/>
      <c r="LN244" s="309"/>
      <c r="LO244" s="309"/>
      <c r="LP244" s="309"/>
      <c r="LQ244" s="309"/>
      <c r="LR244" s="309"/>
      <c r="LS244" s="309"/>
      <c r="LT244" s="309"/>
      <c r="LU244" s="309"/>
      <c r="LV244" s="309"/>
      <c r="LW244" s="309"/>
      <c r="LX244" s="309"/>
      <c r="LY244" s="309"/>
      <c r="LZ244" s="309"/>
      <c r="MA244" s="309"/>
      <c r="MB244" s="309"/>
      <c r="MC244" s="309"/>
      <c r="MD244" s="309"/>
      <c r="ME244" s="309"/>
      <c r="MF244" s="309"/>
      <c r="MG244" s="309"/>
      <c r="MH244" s="309"/>
      <c r="MI244" s="309"/>
      <c r="MJ244" s="309"/>
      <c r="MK244" s="309"/>
      <c r="ML244" s="309"/>
      <c r="MM244" s="309"/>
      <c r="MN244" s="309"/>
      <c r="MO244" s="309"/>
      <c r="MP244" s="309"/>
      <c r="MQ244" s="309"/>
      <c r="MR244" s="309"/>
      <c r="MS244" s="309"/>
      <c r="MT244" s="309"/>
      <c r="MU244" s="309"/>
      <c r="MV244" s="309"/>
      <c r="MW244" s="309"/>
      <c r="MX244" s="309"/>
      <c r="MY244" s="309"/>
      <c r="MZ244" s="309"/>
      <c r="NA244" s="309"/>
      <c r="NB244" s="309"/>
      <c r="NC244" s="309"/>
      <c r="ND244" s="309"/>
      <c r="NE244" s="309"/>
      <c r="NF244" s="309"/>
      <c r="NG244" s="309"/>
      <c r="NH244" s="309"/>
      <c r="NI244" s="309"/>
      <c r="NJ244" s="309"/>
      <c r="NK244" s="309"/>
      <c r="NL244" s="309"/>
      <c r="NM244" s="309"/>
      <c r="NN244" s="309"/>
      <c r="NO244" s="309"/>
      <c r="NP244" s="309"/>
      <c r="NQ244" s="309"/>
      <c r="NR244" s="309"/>
      <c r="NS244" s="309"/>
      <c r="NT244" s="309"/>
      <c r="NU244" s="309"/>
      <c r="NV244" s="309"/>
      <c r="NW244" s="309"/>
      <c r="NX244" s="309"/>
      <c r="NY244" s="309"/>
      <c r="NZ244" s="309"/>
      <c r="OA244" s="309"/>
      <c r="OB244" s="309"/>
      <c r="OC244" s="309"/>
      <c r="OD244" s="309"/>
      <c r="OE244" s="309"/>
      <c r="OF244" s="309"/>
      <c r="OG244" s="309"/>
      <c r="OH244" s="309"/>
      <c r="OI244" s="309"/>
      <c r="OJ244" s="309"/>
      <c r="OK244" s="309"/>
      <c r="OL244" s="309"/>
      <c r="OM244" s="309"/>
      <c r="ON244" s="309"/>
      <c r="OO244" s="309"/>
      <c r="OP244" s="309"/>
      <c r="OQ244" s="309"/>
      <c r="OR244" s="309"/>
      <c r="OS244" s="309"/>
      <c r="OT244" s="309"/>
      <c r="OU244" s="309"/>
      <c r="OV244" s="309"/>
      <c r="OW244" s="309"/>
      <c r="OX244" s="309"/>
      <c r="OY244" s="309"/>
      <c r="OZ244" s="309"/>
      <c r="PA244" s="309"/>
      <c r="PB244" s="309"/>
      <c r="PC244" s="309"/>
      <c r="PD244" s="309"/>
      <c r="PE244" s="309"/>
      <c r="PF244" s="309"/>
      <c r="PG244" s="309"/>
      <c r="PH244" s="309"/>
      <c r="PI244" s="309"/>
      <c r="PJ244" s="309"/>
      <c r="PK244" s="309"/>
      <c r="PL244" s="309"/>
      <c r="PM244" s="309"/>
      <c r="PN244" s="309"/>
      <c r="PO244" s="309"/>
      <c r="PP244" s="309"/>
      <c r="PQ244" s="309"/>
      <c r="PR244" s="309"/>
      <c r="PS244" s="309"/>
      <c r="PT244" s="309"/>
      <c r="PU244" s="309"/>
      <c r="PV244" s="309"/>
      <c r="PW244" s="309"/>
      <c r="PX244" s="309"/>
      <c r="PY244" s="309"/>
      <c r="PZ244" s="309"/>
      <c r="QA244" s="309"/>
      <c r="QB244" s="309"/>
      <c r="QC244" s="309"/>
      <c r="QD244" s="309"/>
      <c r="QE244" s="309"/>
      <c r="QF244" s="309"/>
      <c r="QG244" s="309"/>
      <c r="QH244" s="309"/>
      <c r="QI244" s="309"/>
      <c r="QJ244" s="309"/>
      <c r="QK244" s="309"/>
      <c r="QL244" s="309"/>
      <c r="QM244" s="309"/>
      <c r="QN244" s="309"/>
      <c r="QO244" s="309"/>
      <c r="QP244" s="309"/>
      <c r="QQ244" s="309"/>
      <c r="QR244" s="309"/>
      <c r="QS244" s="309"/>
      <c r="QT244" s="309"/>
      <c r="QU244" s="309"/>
      <c r="QV244" s="309"/>
      <c r="QW244" s="309"/>
      <c r="QX244" s="309"/>
      <c r="QY244" s="309"/>
      <c r="QZ244" s="309"/>
      <c r="RA244" s="309"/>
      <c r="RB244" s="309"/>
      <c r="RC244" s="309"/>
      <c r="RD244" s="309"/>
      <c r="RE244" s="309"/>
      <c r="RF244" s="309"/>
      <c r="RG244" s="309"/>
      <c r="RH244" s="309"/>
      <c r="RI244" s="309"/>
      <c r="RJ244" s="309"/>
      <c r="RK244" s="309"/>
      <c r="RL244" s="309"/>
      <c r="RM244" s="309"/>
      <c r="RN244" s="309"/>
      <c r="RO244" s="309"/>
      <c r="RP244" s="309"/>
      <c r="RQ244" s="309"/>
      <c r="RR244" s="309"/>
      <c r="RS244" s="309"/>
      <c r="RT244" s="309"/>
      <c r="RU244" s="309"/>
      <c r="RV244" s="309"/>
      <c r="RW244" s="309"/>
      <c r="RX244" s="309"/>
      <c r="RY244" s="309"/>
      <c r="RZ244" s="309"/>
      <c r="SA244" s="309"/>
      <c r="SB244" s="309"/>
      <c r="SC244" s="309"/>
      <c r="SD244" s="309"/>
      <c r="SE244" s="309"/>
      <c r="SF244" s="309"/>
      <c r="SG244" s="309"/>
      <c r="SH244" s="309"/>
      <c r="SI244" s="309"/>
      <c r="SJ244" s="309"/>
      <c r="SK244" s="309"/>
      <c r="SL244" s="309"/>
      <c r="SM244" s="309"/>
      <c r="SN244" s="309"/>
      <c r="SO244" s="309"/>
      <c r="SP244" s="309"/>
      <c r="SQ244" s="309"/>
      <c r="SR244" s="309"/>
      <c r="SS244" s="309"/>
      <c r="ST244" s="309"/>
      <c r="SU244" s="309"/>
      <c r="SV244" s="309"/>
      <c r="SW244" s="309"/>
      <c r="SX244" s="309"/>
      <c r="SY244" s="309"/>
      <c r="SZ244" s="309"/>
      <c r="TA244" s="309"/>
      <c r="TB244" s="309"/>
      <c r="TC244" s="309"/>
      <c r="TD244" s="309"/>
      <c r="TE244" s="309"/>
      <c r="TF244" s="309"/>
      <c r="TG244" s="309"/>
      <c r="TH244" s="309"/>
      <c r="TI244" s="309"/>
      <c r="TJ244" s="309"/>
      <c r="TK244" s="309"/>
      <c r="TL244" s="309"/>
      <c r="TM244" s="309"/>
      <c r="TN244" s="309"/>
      <c r="TO244" s="309"/>
      <c r="TP244" s="309"/>
      <c r="TQ244" s="309"/>
      <c r="TR244" s="309"/>
      <c r="TS244" s="309"/>
      <c r="TT244" s="309"/>
      <c r="TU244" s="309"/>
      <c r="TV244" s="309"/>
      <c r="TW244" s="309"/>
      <c r="TX244" s="309"/>
      <c r="TY244" s="309"/>
      <c r="TZ244" s="309"/>
      <c r="UA244" s="309"/>
      <c r="UB244" s="309"/>
      <c r="UC244" s="309"/>
      <c r="UD244" s="309"/>
      <c r="UE244" s="309"/>
      <c r="UF244" s="309"/>
      <c r="UG244" s="309"/>
      <c r="UH244" s="309"/>
      <c r="UI244" s="309"/>
      <c r="UJ244" s="309"/>
      <c r="UK244" s="309"/>
      <c r="UL244" s="309"/>
      <c r="UM244" s="309"/>
      <c r="UN244" s="309"/>
      <c r="UO244" s="309"/>
      <c r="UP244" s="309"/>
      <c r="UQ244" s="309"/>
      <c r="UR244" s="309"/>
      <c r="US244" s="309"/>
      <c r="UT244" s="309"/>
      <c r="UU244" s="309"/>
      <c r="UV244" s="309"/>
      <c r="UW244" s="309"/>
      <c r="UX244" s="309"/>
      <c r="UY244" s="309"/>
      <c r="UZ244" s="309"/>
      <c r="VA244" s="309"/>
      <c r="VB244" s="309"/>
      <c r="VC244" s="309"/>
      <c r="VD244" s="309"/>
      <c r="VE244" s="309"/>
      <c r="VF244" s="309"/>
      <c r="VG244" s="309"/>
      <c r="VH244" s="309"/>
      <c r="VI244" s="309"/>
      <c r="VJ244" s="309"/>
      <c r="VK244" s="309"/>
      <c r="VL244" s="309"/>
      <c r="VM244" s="309"/>
      <c r="VN244" s="309"/>
      <c r="VO244" s="309"/>
      <c r="VP244" s="309"/>
      <c r="VQ244" s="309"/>
      <c r="VR244" s="309"/>
      <c r="VS244" s="309"/>
      <c r="VT244" s="309"/>
      <c r="VU244" s="309"/>
      <c r="VV244" s="309"/>
      <c r="VW244" s="309"/>
      <c r="VX244" s="309"/>
      <c r="VY244" s="309"/>
      <c r="VZ244" s="309"/>
      <c r="WA244" s="309"/>
      <c r="WB244" s="309"/>
      <c r="WC244" s="309"/>
      <c r="WD244" s="309"/>
      <c r="WE244" s="309"/>
      <c r="WF244" s="309"/>
      <c r="WG244" s="309"/>
      <c r="WH244" s="309"/>
      <c r="WI244" s="309"/>
      <c r="WJ244" s="309"/>
      <c r="WK244" s="309"/>
      <c r="WL244" s="309"/>
      <c r="WM244" s="309"/>
      <c r="WN244" s="309"/>
      <c r="WO244" s="309"/>
      <c r="WP244" s="309"/>
      <c r="WQ244" s="309"/>
      <c r="WR244" s="309"/>
      <c r="WS244" s="309"/>
      <c r="WT244" s="309"/>
      <c r="WU244" s="309"/>
      <c r="WV244" s="309"/>
      <c r="WW244" s="309"/>
      <c r="WX244" s="309"/>
      <c r="WY244" s="309"/>
      <c r="WZ244" s="309"/>
      <c r="XA244" s="309"/>
      <c r="XB244" s="309"/>
      <c r="XC244" s="309"/>
      <c r="XD244" s="309"/>
      <c r="XE244" s="309"/>
      <c r="XF244" s="309"/>
      <c r="XG244" s="309"/>
      <c r="XH244" s="309"/>
      <c r="XI244" s="309"/>
      <c r="XJ244" s="309"/>
      <c r="XK244" s="309"/>
      <c r="XL244" s="309"/>
      <c r="XM244" s="309"/>
      <c r="XN244" s="309"/>
      <c r="XO244" s="309"/>
      <c r="XP244" s="309"/>
      <c r="XQ244" s="309"/>
      <c r="XR244" s="309"/>
      <c r="XS244" s="309"/>
      <c r="XT244" s="309"/>
      <c r="XU244" s="309"/>
      <c r="XV244" s="309"/>
      <c r="XW244" s="309"/>
      <c r="XX244" s="309"/>
      <c r="XY244" s="309"/>
      <c r="XZ244" s="309"/>
      <c r="YA244" s="309"/>
      <c r="YB244" s="309"/>
      <c r="YC244" s="309"/>
      <c r="YD244" s="309"/>
      <c r="YE244" s="309"/>
      <c r="YF244" s="309"/>
      <c r="YG244" s="309"/>
      <c r="YH244" s="309"/>
      <c r="YI244" s="309"/>
      <c r="YJ244" s="309"/>
      <c r="YK244" s="309"/>
      <c r="YL244" s="309"/>
      <c r="YM244" s="309"/>
      <c r="YN244" s="309"/>
      <c r="YO244" s="309"/>
      <c r="YP244" s="309"/>
      <c r="YQ244" s="309"/>
      <c r="YR244" s="309"/>
      <c r="YS244" s="309"/>
      <c r="YT244" s="309"/>
      <c r="YU244" s="309"/>
      <c r="YV244" s="309"/>
      <c r="YW244" s="309"/>
      <c r="YX244" s="309"/>
      <c r="YY244" s="309"/>
      <c r="YZ244" s="309"/>
      <c r="ZA244" s="309"/>
      <c r="ZB244" s="309"/>
      <c r="ZC244" s="309"/>
      <c r="ZD244" s="309"/>
      <c r="ZE244" s="309"/>
      <c r="ZF244" s="309"/>
      <c r="ZG244" s="309"/>
      <c r="ZH244" s="309"/>
      <c r="ZI244" s="309"/>
      <c r="ZJ244" s="309"/>
    </row>
    <row r="245" spans="1:686" s="308" customFormat="1" x14ac:dyDescent="0.3">
      <c r="E245" s="337"/>
      <c r="F245" s="337"/>
      <c r="G245" s="171"/>
      <c r="H245" s="1"/>
      <c r="Y245" s="309"/>
      <c r="Z245" s="309"/>
      <c r="AA245" s="309"/>
      <c r="AB245" s="309"/>
      <c r="AC245" s="309"/>
      <c r="AD245" s="309"/>
      <c r="AE245" s="309"/>
      <c r="AF245" s="309"/>
      <c r="AG245" s="309"/>
      <c r="AH245" s="309"/>
      <c r="AI245" s="309"/>
      <c r="AJ245" s="309"/>
      <c r="AK245" s="309"/>
      <c r="AL245" s="309"/>
      <c r="AM245" s="309"/>
      <c r="AN245" s="309"/>
      <c r="AO245" s="309"/>
      <c r="AP245" s="309"/>
      <c r="AQ245" s="309"/>
      <c r="AR245" s="309"/>
      <c r="AS245" s="309"/>
      <c r="AT245" s="309"/>
      <c r="AU245" s="309"/>
      <c r="AV245" s="309"/>
      <c r="AW245" s="309"/>
      <c r="AX245" s="309"/>
      <c r="AY245" s="309"/>
      <c r="AZ245" s="309"/>
      <c r="BA245" s="309"/>
      <c r="BB245" s="309"/>
      <c r="BC245" s="309"/>
      <c r="BD245" s="309"/>
      <c r="BE245" s="309"/>
      <c r="BF245" s="309"/>
      <c r="BG245" s="309"/>
      <c r="BH245" s="309"/>
      <c r="BI245" s="309"/>
      <c r="BJ245" s="309"/>
      <c r="BK245" s="309"/>
      <c r="BL245" s="309"/>
      <c r="BM245" s="309"/>
      <c r="BN245" s="309"/>
      <c r="BO245" s="309"/>
      <c r="BP245" s="309"/>
      <c r="BQ245" s="309"/>
      <c r="BR245" s="309"/>
      <c r="BS245" s="309"/>
      <c r="BT245" s="309"/>
      <c r="BU245" s="309"/>
      <c r="BV245" s="309"/>
      <c r="BW245" s="309"/>
      <c r="BX245" s="309"/>
      <c r="BY245" s="309"/>
      <c r="BZ245" s="309"/>
      <c r="CA245" s="309"/>
      <c r="CB245" s="309"/>
      <c r="CC245" s="309"/>
      <c r="CD245" s="309"/>
      <c r="CE245" s="309"/>
      <c r="CF245" s="309"/>
      <c r="CG245" s="309"/>
      <c r="CH245" s="309"/>
      <c r="CI245" s="309"/>
      <c r="CJ245" s="309"/>
      <c r="CK245" s="309"/>
      <c r="CL245" s="309"/>
      <c r="CM245" s="309"/>
      <c r="CN245" s="309"/>
      <c r="CO245" s="309"/>
      <c r="CP245" s="309"/>
      <c r="CQ245" s="309"/>
      <c r="CR245" s="309"/>
      <c r="CS245" s="309"/>
      <c r="CT245" s="309"/>
      <c r="CU245" s="309"/>
      <c r="CV245" s="309"/>
      <c r="CW245" s="309"/>
      <c r="CX245" s="309"/>
      <c r="CY245" s="309"/>
      <c r="CZ245" s="309"/>
      <c r="DA245" s="309"/>
      <c r="DB245" s="309"/>
      <c r="DC245" s="309"/>
      <c r="DD245" s="309"/>
      <c r="DE245" s="309"/>
      <c r="DF245" s="309"/>
      <c r="DG245" s="309"/>
      <c r="DH245" s="309"/>
      <c r="DI245" s="309"/>
      <c r="DJ245" s="309"/>
      <c r="DK245" s="309"/>
      <c r="DL245" s="309"/>
      <c r="DM245" s="309"/>
      <c r="DN245" s="309"/>
      <c r="DO245" s="309"/>
      <c r="DP245" s="309"/>
      <c r="DQ245" s="309"/>
      <c r="DR245" s="309"/>
      <c r="DS245" s="309"/>
      <c r="DT245" s="309"/>
      <c r="DU245" s="309"/>
      <c r="DV245" s="309"/>
      <c r="DW245" s="309"/>
      <c r="DX245" s="309"/>
      <c r="DY245" s="309"/>
      <c r="DZ245" s="309"/>
      <c r="EA245" s="309"/>
      <c r="EB245" s="309"/>
      <c r="EC245" s="309"/>
      <c r="ED245" s="309"/>
      <c r="EE245" s="309"/>
      <c r="EF245" s="309"/>
      <c r="EG245" s="309"/>
      <c r="EH245" s="309"/>
      <c r="EI245" s="309"/>
      <c r="EJ245" s="309"/>
      <c r="EK245" s="309"/>
      <c r="EL245" s="309"/>
      <c r="EM245" s="309"/>
      <c r="EN245" s="309"/>
      <c r="EO245" s="309"/>
      <c r="EP245" s="309"/>
      <c r="EQ245" s="309"/>
      <c r="ER245" s="309"/>
      <c r="ES245" s="309"/>
      <c r="ET245" s="309"/>
      <c r="EU245" s="309"/>
      <c r="EV245" s="309"/>
      <c r="EW245" s="309"/>
      <c r="EX245" s="309"/>
      <c r="EY245" s="309"/>
      <c r="EZ245" s="309"/>
      <c r="FA245" s="309"/>
      <c r="FB245" s="309"/>
      <c r="FC245" s="309"/>
      <c r="FD245" s="309"/>
      <c r="FE245" s="309"/>
      <c r="FF245" s="309"/>
      <c r="FG245" s="309"/>
      <c r="FH245" s="309"/>
      <c r="FI245" s="309"/>
      <c r="FJ245" s="309"/>
      <c r="FK245" s="309"/>
      <c r="FL245" s="309"/>
      <c r="FM245" s="309"/>
      <c r="FN245" s="309"/>
      <c r="FO245" s="309"/>
      <c r="FP245" s="309"/>
      <c r="FQ245" s="309"/>
      <c r="FR245" s="309"/>
      <c r="FS245" s="309"/>
      <c r="FT245" s="309"/>
      <c r="FU245" s="309"/>
      <c r="FV245" s="309"/>
      <c r="FW245" s="309"/>
      <c r="FX245" s="309"/>
      <c r="FY245" s="309"/>
      <c r="FZ245" s="309"/>
      <c r="GA245" s="309"/>
      <c r="GB245" s="309"/>
      <c r="GC245" s="309"/>
      <c r="GD245" s="309"/>
      <c r="GE245" s="309"/>
      <c r="GF245" s="309"/>
      <c r="GG245" s="309"/>
      <c r="GH245" s="309"/>
      <c r="GI245" s="309"/>
      <c r="GJ245" s="309"/>
      <c r="GK245" s="309"/>
      <c r="GL245" s="309"/>
      <c r="GM245" s="309"/>
      <c r="GN245" s="309"/>
      <c r="GO245" s="309"/>
      <c r="GP245" s="309"/>
      <c r="GQ245" s="309"/>
      <c r="GR245" s="309"/>
      <c r="GS245" s="309"/>
      <c r="GT245" s="309"/>
      <c r="GU245" s="309"/>
      <c r="GV245" s="309"/>
      <c r="GW245" s="309"/>
      <c r="GX245" s="309"/>
      <c r="GY245" s="309"/>
      <c r="GZ245" s="309"/>
      <c r="HA245" s="309"/>
      <c r="HB245" s="309"/>
      <c r="HC245" s="309"/>
      <c r="HD245" s="309"/>
      <c r="HE245" s="309"/>
      <c r="HF245" s="309"/>
      <c r="HG245" s="309"/>
      <c r="HH245" s="309"/>
      <c r="HI245" s="309"/>
      <c r="HJ245" s="309"/>
      <c r="HK245" s="309"/>
      <c r="HL245" s="309"/>
      <c r="HM245" s="309"/>
      <c r="HN245" s="309"/>
      <c r="HO245" s="309"/>
      <c r="HP245" s="309"/>
      <c r="HQ245" s="309"/>
      <c r="HR245" s="309"/>
      <c r="HS245" s="309"/>
      <c r="HT245" s="309"/>
      <c r="HU245" s="309"/>
      <c r="HV245" s="309"/>
      <c r="HW245" s="309"/>
      <c r="HX245" s="309"/>
      <c r="HY245" s="309"/>
      <c r="HZ245" s="309"/>
      <c r="IA245" s="309"/>
      <c r="IB245" s="309"/>
      <c r="IC245" s="309"/>
      <c r="ID245" s="309"/>
      <c r="IE245" s="309"/>
      <c r="IF245" s="309"/>
      <c r="IG245" s="309"/>
      <c r="IH245" s="309"/>
      <c r="II245" s="309"/>
      <c r="IJ245" s="309"/>
      <c r="IK245" s="309"/>
      <c r="IL245" s="309"/>
      <c r="IM245" s="309"/>
      <c r="IN245" s="309"/>
      <c r="IO245" s="309"/>
      <c r="IP245" s="309"/>
      <c r="IQ245" s="309"/>
      <c r="IR245" s="309"/>
      <c r="IS245" s="309"/>
      <c r="IT245" s="309"/>
      <c r="IU245" s="309"/>
      <c r="IV245" s="309"/>
      <c r="IW245" s="309"/>
      <c r="IX245" s="309"/>
      <c r="IY245" s="309"/>
      <c r="IZ245" s="309"/>
      <c r="JA245" s="309"/>
      <c r="JB245" s="309"/>
      <c r="JC245" s="309"/>
      <c r="JD245" s="309"/>
      <c r="JE245" s="309"/>
      <c r="JF245" s="309"/>
      <c r="JG245" s="309"/>
      <c r="JH245" s="309"/>
      <c r="JI245" s="309"/>
      <c r="JJ245" s="309"/>
      <c r="JK245" s="309"/>
      <c r="JL245" s="309"/>
      <c r="JM245" s="309"/>
      <c r="JN245" s="309"/>
      <c r="JO245" s="309"/>
      <c r="JP245" s="309"/>
      <c r="JQ245" s="309"/>
      <c r="JR245" s="309"/>
      <c r="JS245" s="309"/>
      <c r="JT245" s="309"/>
      <c r="JU245" s="309"/>
      <c r="JV245" s="309"/>
      <c r="JW245" s="309"/>
      <c r="JX245" s="309"/>
      <c r="JY245" s="309"/>
      <c r="JZ245" s="309"/>
      <c r="KA245" s="309"/>
      <c r="KB245" s="309"/>
      <c r="KC245" s="309"/>
      <c r="KD245" s="309"/>
      <c r="KE245" s="309"/>
      <c r="KF245" s="309"/>
      <c r="KG245" s="309"/>
      <c r="KH245" s="309"/>
      <c r="KI245" s="309"/>
      <c r="KJ245" s="309"/>
      <c r="KK245" s="309"/>
      <c r="KL245" s="309"/>
      <c r="KM245" s="309"/>
      <c r="KN245" s="309"/>
      <c r="KO245" s="309"/>
      <c r="KP245" s="309"/>
      <c r="KQ245" s="309"/>
      <c r="KR245" s="309"/>
      <c r="KS245" s="309"/>
      <c r="KT245" s="309"/>
      <c r="KU245" s="309"/>
      <c r="KV245" s="309"/>
      <c r="KW245" s="309"/>
      <c r="KX245" s="309"/>
      <c r="KY245" s="309"/>
      <c r="KZ245" s="309"/>
      <c r="LA245" s="309"/>
      <c r="LB245" s="309"/>
      <c r="LC245" s="309"/>
      <c r="LD245" s="309"/>
      <c r="LE245" s="309"/>
      <c r="LF245" s="309"/>
      <c r="LG245" s="309"/>
      <c r="LH245" s="309"/>
      <c r="LI245" s="309"/>
      <c r="LJ245" s="309"/>
      <c r="LK245" s="309"/>
      <c r="LL245" s="309"/>
      <c r="LM245" s="309"/>
      <c r="LN245" s="309"/>
      <c r="LO245" s="309"/>
      <c r="LP245" s="309"/>
      <c r="LQ245" s="309"/>
      <c r="LR245" s="309"/>
      <c r="LS245" s="309"/>
      <c r="LT245" s="309"/>
      <c r="LU245" s="309"/>
      <c r="LV245" s="309"/>
      <c r="LW245" s="309"/>
      <c r="LX245" s="309"/>
      <c r="LY245" s="309"/>
      <c r="LZ245" s="309"/>
      <c r="MA245" s="309"/>
      <c r="MB245" s="309"/>
      <c r="MC245" s="309"/>
      <c r="MD245" s="309"/>
      <c r="ME245" s="309"/>
      <c r="MF245" s="309"/>
      <c r="MG245" s="309"/>
      <c r="MH245" s="309"/>
      <c r="MI245" s="309"/>
      <c r="MJ245" s="309"/>
      <c r="MK245" s="309"/>
      <c r="ML245" s="309"/>
      <c r="MM245" s="309"/>
      <c r="MN245" s="309"/>
      <c r="MO245" s="309"/>
      <c r="MP245" s="309"/>
      <c r="MQ245" s="309"/>
      <c r="MR245" s="309"/>
      <c r="MS245" s="309"/>
      <c r="MT245" s="309"/>
      <c r="MU245" s="309"/>
      <c r="MV245" s="309"/>
      <c r="MW245" s="309"/>
      <c r="MX245" s="309"/>
      <c r="MY245" s="309"/>
      <c r="MZ245" s="309"/>
      <c r="NA245" s="309"/>
      <c r="NB245" s="309"/>
      <c r="NC245" s="309"/>
      <c r="ND245" s="309"/>
      <c r="NE245" s="309"/>
      <c r="NF245" s="309"/>
      <c r="NG245" s="309"/>
      <c r="NH245" s="309"/>
      <c r="NI245" s="309"/>
      <c r="NJ245" s="309"/>
      <c r="NK245" s="309"/>
      <c r="NL245" s="309"/>
      <c r="NM245" s="309"/>
      <c r="NN245" s="309"/>
      <c r="NO245" s="309"/>
      <c r="NP245" s="309"/>
      <c r="NQ245" s="309"/>
      <c r="NR245" s="309"/>
      <c r="NS245" s="309"/>
      <c r="NT245" s="309"/>
      <c r="NU245" s="309"/>
      <c r="NV245" s="309"/>
      <c r="NW245" s="309"/>
      <c r="NX245" s="309"/>
      <c r="NY245" s="309"/>
      <c r="NZ245" s="309"/>
      <c r="OA245" s="309"/>
      <c r="OB245" s="309"/>
      <c r="OC245" s="309"/>
      <c r="OD245" s="309"/>
      <c r="OE245" s="309"/>
      <c r="OF245" s="309"/>
      <c r="OG245" s="309"/>
      <c r="OH245" s="309"/>
      <c r="OI245" s="309"/>
      <c r="OJ245" s="309"/>
      <c r="OK245" s="309"/>
      <c r="OL245" s="309"/>
      <c r="OM245" s="309"/>
      <c r="ON245" s="309"/>
      <c r="OO245" s="309"/>
      <c r="OP245" s="309"/>
      <c r="OQ245" s="309"/>
      <c r="OR245" s="309"/>
      <c r="OS245" s="309"/>
      <c r="OT245" s="309"/>
      <c r="OU245" s="309"/>
      <c r="OV245" s="309"/>
      <c r="OW245" s="309"/>
      <c r="OX245" s="309"/>
      <c r="OY245" s="309"/>
      <c r="OZ245" s="309"/>
      <c r="PA245" s="309"/>
      <c r="PB245" s="309"/>
      <c r="PC245" s="309"/>
      <c r="PD245" s="309"/>
      <c r="PE245" s="309"/>
      <c r="PF245" s="309"/>
      <c r="PG245" s="309"/>
      <c r="PH245" s="309"/>
      <c r="PI245" s="309"/>
      <c r="PJ245" s="309"/>
      <c r="PK245" s="309"/>
      <c r="PL245" s="309"/>
      <c r="PM245" s="309"/>
      <c r="PN245" s="309"/>
      <c r="PO245" s="309"/>
      <c r="PP245" s="309"/>
      <c r="PQ245" s="309"/>
      <c r="PR245" s="309"/>
      <c r="PS245" s="309"/>
      <c r="PT245" s="309"/>
      <c r="PU245" s="309"/>
      <c r="PV245" s="309"/>
      <c r="PW245" s="309"/>
      <c r="PX245" s="309"/>
      <c r="PY245" s="309"/>
      <c r="PZ245" s="309"/>
      <c r="QA245" s="309"/>
      <c r="QB245" s="309"/>
      <c r="QC245" s="309"/>
      <c r="QD245" s="309"/>
      <c r="QE245" s="309"/>
      <c r="QF245" s="309"/>
      <c r="QG245" s="309"/>
      <c r="QH245" s="309"/>
      <c r="QI245" s="309"/>
      <c r="QJ245" s="309"/>
      <c r="QK245" s="309"/>
      <c r="QL245" s="309"/>
      <c r="QM245" s="309"/>
      <c r="QN245" s="309"/>
      <c r="QO245" s="309"/>
      <c r="QP245" s="309"/>
      <c r="QQ245" s="309"/>
      <c r="QR245" s="309"/>
      <c r="QS245" s="309"/>
      <c r="QT245" s="309"/>
      <c r="QU245" s="309"/>
      <c r="QV245" s="309"/>
      <c r="QW245" s="309"/>
      <c r="QX245" s="309"/>
      <c r="QY245" s="309"/>
      <c r="QZ245" s="309"/>
      <c r="RA245" s="309"/>
      <c r="RB245" s="309"/>
      <c r="RC245" s="309"/>
      <c r="RD245" s="309"/>
      <c r="RE245" s="309"/>
      <c r="RF245" s="309"/>
      <c r="RG245" s="309"/>
      <c r="RH245" s="309"/>
      <c r="RI245" s="309"/>
      <c r="RJ245" s="309"/>
      <c r="RK245" s="309"/>
      <c r="RL245" s="309"/>
      <c r="RM245" s="309"/>
      <c r="RN245" s="309"/>
      <c r="RO245" s="309"/>
      <c r="RP245" s="309"/>
      <c r="RQ245" s="309"/>
      <c r="RR245" s="309"/>
      <c r="RS245" s="309"/>
      <c r="RT245" s="309"/>
      <c r="RU245" s="309"/>
      <c r="RV245" s="309"/>
      <c r="RW245" s="309"/>
      <c r="RX245" s="309"/>
      <c r="RY245" s="309"/>
      <c r="RZ245" s="309"/>
      <c r="SA245" s="309"/>
      <c r="SB245" s="309"/>
      <c r="SC245" s="309"/>
      <c r="SD245" s="309"/>
      <c r="SE245" s="309"/>
      <c r="SF245" s="309"/>
      <c r="SG245" s="309"/>
      <c r="SH245" s="309"/>
      <c r="SI245" s="309"/>
      <c r="SJ245" s="309"/>
      <c r="SK245" s="309"/>
      <c r="SL245" s="309"/>
      <c r="SM245" s="309"/>
      <c r="SN245" s="309"/>
      <c r="SO245" s="309"/>
      <c r="SP245" s="309"/>
      <c r="SQ245" s="309"/>
      <c r="SR245" s="309"/>
      <c r="SS245" s="309"/>
      <c r="ST245" s="309"/>
      <c r="SU245" s="309"/>
      <c r="SV245" s="309"/>
      <c r="SW245" s="309"/>
      <c r="SX245" s="309"/>
      <c r="SY245" s="309"/>
      <c r="SZ245" s="309"/>
      <c r="TA245" s="309"/>
      <c r="TB245" s="309"/>
      <c r="TC245" s="309"/>
      <c r="TD245" s="309"/>
      <c r="TE245" s="309"/>
      <c r="TF245" s="309"/>
      <c r="TG245" s="309"/>
      <c r="TH245" s="309"/>
      <c r="TI245" s="309"/>
      <c r="TJ245" s="309"/>
      <c r="TK245" s="309"/>
      <c r="TL245" s="309"/>
      <c r="TM245" s="309"/>
      <c r="TN245" s="309"/>
      <c r="TO245" s="309"/>
      <c r="TP245" s="309"/>
      <c r="TQ245" s="309"/>
      <c r="TR245" s="309"/>
      <c r="TS245" s="309"/>
      <c r="TT245" s="309"/>
      <c r="TU245" s="309"/>
      <c r="TV245" s="309"/>
      <c r="TW245" s="309"/>
      <c r="TX245" s="309"/>
      <c r="TY245" s="309"/>
      <c r="TZ245" s="309"/>
      <c r="UA245" s="309"/>
      <c r="UB245" s="309"/>
      <c r="UC245" s="309"/>
      <c r="UD245" s="309"/>
      <c r="UE245" s="309"/>
      <c r="UF245" s="309"/>
      <c r="UG245" s="309"/>
      <c r="UH245" s="309"/>
      <c r="UI245" s="309"/>
      <c r="UJ245" s="309"/>
      <c r="UK245" s="309"/>
      <c r="UL245" s="309"/>
      <c r="UM245" s="309"/>
      <c r="UN245" s="309"/>
      <c r="UO245" s="309"/>
      <c r="UP245" s="309"/>
      <c r="UQ245" s="309"/>
      <c r="UR245" s="309"/>
      <c r="US245" s="309"/>
      <c r="UT245" s="309"/>
      <c r="UU245" s="309"/>
      <c r="UV245" s="309"/>
      <c r="UW245" s="309"/>
      <c r="UX245" s="309"/>
      <c r="UY245" s="309"/>
      <c r="UZ245" s="309"/>
      <c r="VA245" s="309"/>
      <c r="VB245" s="309"/>
      <c r="VC245" s="309"/>
      <c r="VD245" s="309"/>
      <c r="VE245" s="309"/>
      <c r="VF245" s="309"/>
      <c r="VG245" s="309"/>
      <c r="VH245" s="309"/>
      <c r="VI245" s="309"/>
      <c r="VJ245" s="309"/>
      <c r="VK245" s="309"/>
      <c r="VL245" s="309"/>
      <c r="VM245" s="309"/>
      <c r="VN245" s="309"/>
      <c r="VO245" s="309"/>
      <c r="VP245" s="309"/>
      <c r="VQ245" s="309"/>
      <c r="VR245" s="309"/>
      <c r="VS245" s="309"/>
      <c r="VT245" s="309"/>
      <c r="VU245" s="309"/>
      <c r="VV245" s="309"/>
      <c r="VW245" s="309"/>
      <c r="VX245" s="309"/>
      <c r="VY245" s="309"/>
      <c r="VZ245" s="309"/>
      <c r="WA245" s="309"/>
      <c r="WB245" s="309"/>
      <c r="WC245" s="309"/>
      <c r="WD245" s="309"/>
      <c r="WE245" s="309"/>
      <c r="WF245" s="309"/>
      <c r="WG245" s="309"/>
      <c r="WH245" s="309"/>
      <c r="WI245" s="309"/>
      <c r="WJ245" s="309"/>
      <c r="WK245" s="309"/>
      <c r="WL245" s="309"/>
      <c r="WM245" s="309"/>
      <c r="WN245" s="309"/>
      <c r="WO245" s="309"/>
      <c r="WP245" s="309"/>
      <c r="WQ245" s="309"/>
      <c r="WR245" s="309"/>
      <c r="WS245" s="309"/>
      <c r="WT245" s="309"/>
      <c r="WU245" s="309"/>
      <c r="WV245" s="309"/>
      <c r="WW245" s="309"/>
      <c r="WX245" s="309"/>
      <c r="WY245" s="309"/>
      <c r="WZ245" s="309"/>
      <c r="XA245" s="309"/>
      <c r="XB245" s="309"/>
      <c r="XC245" s="309"/>
      <c r="XD245" s="309"/>
      <c r="XE245" s="309"/>
      <c r="XF245" s="309"/>
      <c r="XG245" s="309"/>
      <c r="XH245" s="309"/>
      <c r="XI245" s="309"/>
      <c r="XJ245" s="309"/>
      <c r="XK245" s="309"/>
      <c r="XL245" s="309"/>
      <c r="XM245" s="309"/>
      <c r="XN245" s="309"/>
      <c r="XO245" s="309"/>
      <c r="XP245" s="309"/>
      <c r="XQ245" s="309"/>
      <c r="XR245" s="309"/>
      <c r="XS245" s="309"/>
      <c r="XT245" s="309"/>
      <c r="XU245" s="309"/>
      <c r="XV245" s="309"/>
      <c r="XW245" s="309"/>
      <c r="XX245" s="309"/>
      <c r="XY245" s="309"/>
      <c r="XZ245" s="309"/>
      <c r="YA245" s="309"/>
      <c r="YB245" s="309"/>
      <c r="YC245" s="309"/>
      <c r="YD245" s="309"/>
      <c r="YE245" s="309"/>
      <c r="YF245" s="309"/>
      <c r="YG245" s="309"/>
      <c r="YH245" s="309"/>
      <c r="YI245" s="309"/>
      <c r="YJ245" s="309"/>
      <c r="YK245" s="309"/>
      <c r="YL245" s="309"/>
      <c r="YM245" s="309"/>
      <c r="YN245" s="309"/>
      <c r="YO245" s="309"/>
      <c r="YP245" s="309"/>
      <c r="YQ245" s="309"/>
      <c r="YR245" s="309"/>
      <c r="YS245" s="309"/>
      <c r="YT245" s="309"/>
      <c r="YU245" s="309"/>
      <c r="YV245" s="309"/>
      <c r="YW245" s="309"/>
      <c r="YX245" s="309"/>
      <c r="YY245" s="309"/>
      <c r="YZ245" s="309"/>
      <c r="ZA245" s="309"/>
      <c r="ZB245" s="309"/>
      <c r="ZC245" s="309"/>
      <c r="ZD245" s="309"/>
      <c r="ZE245" s="309"/>
      <c r="ZF245" s="309"/>
      <c r="ZG245" s="309"/>
      <c r="ZH245" s="309"/>
      <c r="ZI245" s="309"/>
      <c r="ZJ245" s="309"/>
    </row>
    <row r="246" spans="1:686" s="308" customFormat="1" x14ac:dyDescent="0.3">
      <c r="E246" s="337"/>
      <c r="F246" s="337"/>
      <c r="G246" s="171"/>
      <c r="H246" s="1"/>
      <c r="Y246" s="309"/>
      <c r="Z246" s="309"/>
      <c r="AA246" s="309"/>
      <c r="AB246" s="309"/>
      <c r="AC246" s="309"/>
      <c r="AD246" s="309"/>
      <c r="AE246" s="309"/>
      <c r="AF246" s="309"/>
      <c r="AG246" s="309"/>
      <c r="AH246" s="309"/>
      <c r="AI246" s="309"/>
      <c r="AJ246" s="309"/>
      <c r="AK246" s="309"/>
      <c r="AL246" s="309"/>
      <c r="AM246" s="309"/>
      <c r="AN246" s="309"/>
      <c r="AO246" s="309"/>
      <c r="AP246" s="309"/>
      <c r="AQ246" s="309"/>
      <c r="AR246" s="309"/>
      <c r="AS246" s="309"/>
      <c r="AT246" s="309"/>
      <c r="AU246" s="309"/>
      <c r="AV246" s="309"/>
      <c r="AW246" s="309"/>
      <c r="AX246" s="309"/>
      <c r="AY246" s="309"/>
      <c r="AZ246" s="309"/>
      <c r="BA246" s="309"/>
      <c r="BB246" s="309"/>
      <c r="BC246" s="309"/>
      <c r="BD246" s="309"/>
      <c r="BE246" s="309"/>
      <c r="BF246" s="309"/>
      <c r="BG246" s="309"/>
      <c r="BH246" s="309"/>
      <c r="BI246" s="309"/>
      <c r="BJ246" s="309"/>
      <c r="BK246" s="309"/>
      <c r="BL246" s="309"/>
      <c r="BM246" s="309"/>
      <c r="BN246" s="309"/>
      <c r="BO246" s="309"/>
      <c r="BP246" s="309"/>
      <c r="BQ246" s="309"/>
      <c r="BR246" s="309"/>
      <c r="BS246" s="309"/>
      <c r="BT246" s="309"/>
      <c r="BU246" s="309"/>
      <c r="BV246" s="309"/>
      <c r="BW246" s="309"/>
      <c r="BX246" s="309"/>
      <c r="BY246" s="309"/>
      <c r="BZ246" s="309"/>
      <c r="CA246" s="309"/>
      <c r="CB246" s="309"/>
      <c r="CC246" s="309"/>
      <c r="CD246" s="309"/>
      <c r="CE246" s="309"/>
      <c r="CF246" s="309"/>
      <c r="CG246" s="309"/>
      <c r="CH246" s="309"/>
      <c r="CI246" s="309"/>
      <c r="CJ246" s="309"/>
      <c r="CK246" s="309"/>
      <c r="CL246" s="309"/>
      <c r="CM246" s="309"/>
      <c r="CN246" s="309"/>
      <c r="CO246" s="309"/>
      <c r="CP246" s="309"/>
      <c r="CQ246" s="309"/>
      <c r="CR246" s="309"/>
      <c r="CS246" s="309"/>
      <c r="CT246" s="309"/>
      <c r="CU246" s="309"/>
      <c r="CV246" s="309"/>
      <c r="CW246" s="309"/>
      <c r="CX246" s="309"/>
      <c r="CY246" s="309"/>
      <c r="CZ246" s="309"/>
      <c r="DA246" s="309"/>
      <c r="DB246" s="309"/>
      <c r="DC246" s="309"/>
      <c r="DD246" s="309"/>
      <c r="DE246" s="309"/>
      <c r="DF246" s="309"/>
      <c r="DG246" s="309"/>
      <c r="DH246" s="309"/>
      <c r="DI246" s="309"/>
      <c r="DJ246" s="309"/>
      <c r="DK246" s="309"/>
      <c r="DL246" s="309"/>
      <c r="DM246" s="309"/>
      <c r="DN246" s="309"/>
      <c r="DO246" s="309"/>
      <c r="DP246" s="309"/>
      <c r="DQ246" s="309"/>
      <c r="DR246" s="309"/>
      <c r="DS246" s="309"/>
      <c r="DT246" s="309"/>
      <c r="DU246" s="309"/>
      <c r="DV246" s="309"/>
      <c r="DW246" s="309"/>
      <c r="DX246" s="309"/>
      <c r="DY246" s="309"/>
      <c r="DZ246" s="309"/>
      <c r="EA246" s="309"/>
      <c r="EB246" s="309"/>
      <c r="EC246" s="309"/>
      <c r="ED246" s="309"/>
      <c r="EE246" s="309"/>
      <c r="EF246" s="309"/>
      <c r="EG246" s="309"/>
      <c r="EH246" s="309"/>
      <c r="EI246" s="309"/>
      <c r="EJ246" s="309"/>
      <c r="EK246" s="309"/>
      <c r="EL246" s="309"/>
      <c r="EM246" s="309"/>
      <c r="EN246" s="309"/>
      <c r="EO246" s="309"/>
      <c r="EP246" s="309"/>
      <c r="EQ246" s="309"/>
      <c r="ER246" s="309"/>
      <c r="ES246" s="309"/>
      <c r="ET246" s="309"/>
      <c r="EU246" s="309"/>
      <c r="EV246" s="309"/>
      <c r="EW246" s="309"/>
      <c r="EX246" s="309"/>
      <c r="EY246" s="309"/>
      <c r="EZ246" s="309"/>
      <c r="FA246" s="309"/>
      <c r="FB246" s="309"/>
      <c r="FC246" s="309"/>
      <c r="FD246" s="309"/>
      <c r="FE246" s="309"/>
      <c r="FF246" s="309"/>
      <c r="FG246" s="309"/>
      <c r="FH246" s="309"/>
      <c r="FI246" s="309"/>
      <c r="FJ246" s="309"/>
      <c r="FK246" s="309"/>
      <c r="FL246" s="309"/>
      <c r="FM246" s="309"/>
      <c r="FN246" s="309"/>
      <c r="FO246" s="309"/>
      <c r="FP246" s="309"/>
      <c r="FQ246" s="309"/>
      <c r="FR246" s="309"/>
      <c r="FS246" s="309"/>
      <c r="FT246" s="309"/>
      <c r="FU246" s="309"/>
      <c r="FV246" s="309"/>
      <c r="FW246" s="309"/>
      <c r="FX246" s="309"/>
      <c r="FY246" s="309"/>
      <c r="FZ246" s="309"/>
      <c r="GA246" s="309"/>
      <c r="GB246" s="309"/>
      <c r="GC246" s="309"/>
      <c r="GD246" s="309"/>
      <c r="GE246" s="309"/>
      <c r="GF246" s="309"/>
      <c r="GG246" s="309"/>
      <c r="GH246" s="309"/>
      <c r="GI246" s="309"/>
      <c r="GJ246" s="309"/>
      <c r="GK246" s="309"/>
      <c r="GL246" s="309"/>
      <c r="GM246" s="309"/>
      <c r="GN246" s="309"/>
      <c r="GO246" s="309"/>
      <c r="GP246" s="309"/>
      <c r="GQ246" s="309"/>
      <c r="GR246" s="309"/>
      <c r="GS246" s="309"/>
      <c r="GT246" s="309"/>
      <c r="GU246" s="309"/>
      <c r="GV246" s="309"/>
      <c r="GW246" s="309"/>
      <c r="GX246" s="309"/>
      <c r="GY246" s="309"/>
      <c r="GZ246" s="309"/>
      <c r="HA246" s="309"/>
      <c r="HB246" s="309"/>
      <c r="HC246" s="309"/>
      <c r="HD246" s="309"/>
      <c r="HE246" s="309"/>
      <c r="HF246" s="309"/>
      <c r="HG246" s="309"/>
      <c r="HH246" s="309"/>
      <c r="HI246" s="309"/>
      <c r="HJ246" s="309"/>
      <c r="HK246" s="309"/>
      <c r="HL246" s="309"/>
      <c r="HM246" s="309"/>
      <c r="HN246" s="309"/>
      <c r="HO246" s="309"/>
      <c r="HP246" s="309"/>
      <c r="HQ246" s="309"/>
      <c r="HR246" s="309"/>
      <c r="HS246" s="309"/>
      <c r="HT246" s="309"/>
      <c r="HU246" s="309"/>
      <c r="HV246" s="309"/>
      <c r="HW246" s="309"/>
      <c r="HX246" s="309"/>
      <c r="HY246" s="309"/>
      <c r="HZ246" s="309"/>
      <c r="IA246" s="309"/>
      <c r="IB246" s="309"/>
      <c r="IC246" s="309"/>
      <c r="ID246" s="309"/>
      <c r="IE246" s="309"/>
      <c r="IF246" s="309"/>
      <c r="IG246" s="309"/>
      <c r="IH246" s="309"/>
      <c r="II246" s="309"/>
      <c r="IJ246" s="309"/>
      <c r="IK246" s="309"/>
      <c r="IL246" s="309"/>
      <c r="IM246" s="309"/>
      <c r="IN246" s="309"/>
      <c r="IO246" s="309"/>
      <c r="IP246" s="309"/>
      <c r="IQ246" s="309"/>
      <c r="IR246" s="309"/>
      <c r="IS246" s="309"/>
      <c r="IT246" s="309"/>
      <c r="IU246" s="309"/>
      <c r="IV246" s="309"/>
      <c r="IW246" s="309"/>
      <c r="IX246" s="309"/>
      <c r="IY246" s="309"/>
      <c r="IZ246" s="309"/>
      <c r="JA246" s="309"/>
      <c r="JB246" s="309"/>
      <c r="JC246" s="309"/>
      <c r="JD246" s="309"/>
      <c r="JE246" s="309"/>
      <c r="JF246" s="309"/>
      <c r="JG246" s="309"/>
      <c r="JH246" s="309"/>
      <c r="JI246" s="309"/>
      <c r="JJ246" s="309"/>
      <c r="JK246" s="309"/>
      <c r="JL246" s="309"/>
      <c r="JM246" s="309"/>
      <c r="JN246" s="309"/>
      <c r="JO246" s="309"/>
      <c r="JP246" s="309"/>
      <c r="JQ246" s="309"/>
      <c r="JR246" s="309"/>
      <c r="JS246" s="309"/>
      <c r="JT246" s="309"/>
      <c r="JU246" s="309"/>
      <c r="JV246" s="309"/>
      <c r="JW246" s="309"/>
      <c r="JX246" s="309"/>
      <c r="JY246" s="309"/>
      <c r="JZ246" s="309"/>
      <c r="KA246" s="309"/>
      <c r="KB246" s="309"/>
      <c r="KC246" s="309"/>
      <c r="KD246" s="309"/>
      <c r="KE246" s="309"/>
      <c r="KF246" s="309"/>
      <c r="KG246" s="309"/>
      <c r="KH246" s="309"/>
      <c r="KI246" s="309"/>
      <c r="KJ246" s="309"/>
      <c r="KK246" s="309"/>
      <c r="KL246" s="309"/>
      <c r="KM246" s="309"/>
      <c r="KN246" s="309"/>
      <c r="KO246" s="309"/>
      <c r="KP246" s="309"/>
      <c r="KQ246" s="309"/>
      <c r="KR246" s="309"/>
      <c r="KS246" s="309"/>
      <c r="KT246" s="309"/>
      <c r="KU246" s="309"/>
      <c r="KV246" s="309"/>
      <c r="KW246" s="309"/>
      <c r="KX246" s="309"/>
      <c r="KY246" s="309"/>
      <c r="KZ246" s="309"/>
      <c r="LA246" s="309"/>
      <c r="LB246" s="309"/>
      <c r="LC246" s="309"/>
      <c r="LD246" s="309"/>
      <c r="LE246" s="309"/>
      <c r="LF246" s="309"/>
      <c r="LG246" s="309"/>
      <c r="LH246" s="309"/>
      <c r="LI246" s="309"/>
      <c r="LJ246" s="309"/>
      <c r="LK246" s="309"/>
      <c r="LL246" s="309"/>
      <c r="LM246" s="309"/>
      <c r="LN246" s="309"/>
      <c r="LO246" s="309"/>
      <c r="LP246" s="309"/>
      <c r="LQ246" s="309"/>
      <c r="LR246" s="309"/>
      <c r="LS246" s="309"/>
      <c r="LT246" s="309"/>
      <c r="LU246" s="309"/>
      <c r="LV246" s="309"/>
      <c r="LW246" s="309"/>
      <c r="LX246" s="309"/>
      <c r="LY246" s="309"/>
      <c r="LZ246" s="309"/>
      <c r="MA246" s="309"/>
      <c r="MB246" s="309"/>
      <c r="MC246" s="309"/>
      <c r="MD246" s="309"/>
      <c r="ME246" s="309"/>
      <c r="MF246" s="309"/>
      <c r="MG246" s="309"/>
      <c r="MH246" s="309"/>
      <c r="MI246" s="309"/>
      <c r="MJ246" s="309"/>
      <c r="MK246" s="309"/>
      <c r="ML246" s="309"/>
      <c r="MM246" s="309"/>
      <c r="MN246" s="309"/>
      <c r="MO246" s="309"/>
      <c r="MP246" s="309"/>
      <c r="MQ246" s="309"/>
      <c r="MR246" s="309"/>
      <c r="MS246" s="309"/>
      <c r="MT246" s="309"/>
      <c r="MU246" s="309"/>
      <c r="MV246" s="309"/>
      <c r="MW246" s="309"/>
      <c r="MX246" s="309"/>
      <c r="MY246" s="309"/>
      <c r="MZ246" s="309"/>
      <c r="NA246" s="309"/>
      <c r="NB246" s="309"/>
      <c r="NC246" s="309"/>
      <c r="ND246" s="309"/>
      <c r="NE246" s="309"/>
      <c r="NF246" s="309"/>
      <c r="NG246" s="309"/>
      <c r="NH246" s="309"/>
      <c r="NI246" s="309"/>
      <c r="NJ246" s="309"/>
      <c r="NK246" s="309"/>
      <c r="NL246" s="309"/>
      <c r="NM246" s="309"/>
      <c r="NN246" s="309"/>
      <c r="NO246" s="309"/>
      <c r="NP246" s="309"/>
      <c r="NQ246" s="309"/>
      <c r="NR246" s="309"/>
      <c r="NS246" s="309"/>
      <c r="NT246" s="309"/>
      <c r="NU246" s="309"/>
      <c r="NV246" s="309"/>
      <c r="NW246" s="309"/>
      <c r="NX246" s="309"/>
      <c r="NY246" s="309"/>
      <c r="NZ246" s="309"/>
      <c r="OA246" s="309"/>
      <c r="OB246" s="309"/>
      <c r="OC246" s="309"/>
      <c r="OD246" s="309"/>
      <c r="OE246" s="309"/>
      <c r="OF246" s="309"/>
      <c r="OG246" s="309"/>
      <c r="OH246" s="309"/>
      <c r="OI246" s="309"/>
      <c r="OJ246" s="309"/>
      <c r="OK246" s="309"/>
      <c r="OL246" s="309"/>
      <c r="OM246" s="309"/>
      <c r="ON246" s="309"/>
      <c r="OO246" s="309"/>
      <c r="OP246" s="309"/>
      <c r="OQ246" s="309"/>
      <c r="OR246" s="309"/>
      <c r="OS246" s="309"/>
      <c r="OT246" s="309"/>
      <c r="OU246" s="309"/>
      <c r="OV246" s="309"/>
      <c r="OW246" s="309"/>
      <c r="OX246" s="309"/>
      <c r="OY246" s="309"/>
      <c r="OZ246" s="309"/>
      <c r="PA246" s="309"/>
      <c r="PB246" s="309"/>
      <c r="PC246" s="309"/>
      <c r="PD246" s="309"/>
      <c r="PE246" s="309"/>
      <c r="PF246" s="309"/>
      <c r="PG246" s="309"/>
      <c r="PH246" s="309"/>
      <c r="PI246" s="309"/>
      <c r="PJ246" s="309"/>
      <c r="PK246" s="309"/>
      <c r="PL246" s="309"/>
      <c r="PM246" s="309"/>
      <c r="PN246" s="309"/>
      <c r="PO246" s="309"/>
      <c r="PP246" s="309"/>
      <c r="PQ246" s="309"/>
      <c r="PR246" s="309"/>
      <c r="PS246" s="309"/>
      <c r="PT246" s="309"/>
      <c r="PU246" s="309"/>
      <c r="PV246" s="309"/>
      <c r="PW246" s="309"/>
      <c r="PX246" s="309"/>
      <c r="PY246" s="309"/>
      <c r="PZ246" s="309"/>
      <c r="QA246" s="309"/>
      <c r="QB246" s="309"/>
      <c r="QC246" s="309"/>
      <c r="QD246" s="309"/>
      <c r="QE246" s="309"/>
      <c r="QF246" s="309"/>
      <c r="QG246" s="309"/>
      <c r="QH246" s="309"/>
      <c r="QI246" s="309"/>
      <c r="QJ246" s="309"/>
      <c r="QK246" s="309"/>
      <c r="QL246" s="309"/>
      <c r="QM246" s="309"/>
      <c r="QN246" s="309"/>
      <c r="QO246" s="309"/>
      <c r="QP246" s="309"/>
      <c r="QQ246" s="309"/>
      <c r="QR246" s="309"/>
      <c r="QS246" s="309"/>
      <c r="QT246" s="309"/>
      <c r="QU246" s="309"/>
      <c r="QV246" s="309"/>
      <c r="QW246" s="309"/>
      <c r="QX246" s="309"/>
      <c r="QY246" s="309"/>
      <c r="QZ246" s="309"/>
      <c r="RA246" s="309"/>
      <c r="RB246" s="309"/>
      <c r="RC246" s="309"/>
      <c r="RD246" s="309"/>
      <c r="RE246" s="309"/>
      <c r="RF246" s="309"/>
      <c r="RG246" s="309"/>
      <c r="RH246" s="309"/>
      <c r="RI246" s="309"/>
      <c r="RJ246" s="309"/>
      <c r="RK246" s="309"/>
      <c r="RL246" s="309"/>
      <c r="RM246" s="309"/>
      <c r="RN246" s="309"/>
      <c r="RO246" s="309"/>
      <c r="RP246" s="309"/>
      <c r="RQ246" s="309"/>
      <c r="RR246" s="309"/>
      <c r="RS246" s="309"/>
      <c r="RT246" s="309"/>
      <c r="RU246" s="309"/>
      <c r="RV246" s="309"/>
      <c r="RW246" s="309"/>
      <c r="RX246" s="309"/>
      <c r="RY246" s="309"/>
      <c r="RZ246" s="309"/>
      <c r="SA246" s="309"/>
      <c r="SB246" s="309"/>
      <c r="SC246" s="309"/>
      <c r="SD246" s="309"/>
      <c r="SE246" s="309"/>
      <c r="SF246" s="309"/>
      <c r="SG246" s="309"/>
      <c r="SH246" s="309"/>
      <c r="SI246" s="309"/>
      <c r="SJ246" s="309"/>
      <c r="SK246" s="309"/>
      <c r="SL246" s="309"/>
      <c r="SM246" s="309"/>
      <c r="SN246" s="309"/>
      <c r="SO246" s="309"/>
      <c r="SP246" s="309"/>
      <c r="SQ246" s="309"/>
      <c r="SR246" s="309"/>
      <c r="SS246" s="309"/>
      <c r="ST246" s="309"/>
      <c r="SU246" s="309"/>
      <c r="SV246" s="309"/>
      <c r="SW246" s="309"/>
      <c r="SX246" s="309"/>
      <c r="SY246" s="309"/>
      <c r="SZ246" s="309"/>
      <c r="TA246" s="309"/>
      <c r="TB246" s="309"/>
      <c r="TC246" s="309"/>
      <c r="TD246" s="309"/>
      <c r="TE246" s="309"/>
      <c r="TF246" s="309"/>
      <c r="TG246" s="309"/>
      <c r="TH246" s="309"/>
      <c r="TI246" s="309"/>
      <c r="TJ246" s="309"/>
      <c r="TK246" s="309"/>
      <c r="TL246" s="309"/>
      <c r="TM246" s="309"/>
      <c r="TN246" s="309"/>
      <c r="TO246" s="309"/>
      <c r="TP246" s="309"/>
      <c r="TQ246" s="309"/>
      <c r="TR246" s="309"/>
      <c r="TS246" s="309"/>
      <c r="TT246" s="309"/>
      <c r="TU246" s="309"/>
      <c r="TV246" s="309"/>
      <c r="TW246" s="309"/>
      <c r="TX246" s="309"/>
      <c r="TY246" s="309"/>
      <c r="TZ246" s="309"/>
      <c r="UA246" s="309"/>
      <c r="UB246" s="309"/>
      <c r="UC246" s="309"/>
      <c r="UD246" s="309"/>
      <c r="UE246" s="309"/>
      <c r="UF246" s="309"/>
      <c r="UG246" s="309"/>
      <c r="UH246" s="309"/>
      <c r="UI246" s="309"/>
      <c r="UJ246" s="309"/>
      <c r="UK246" s="309"/>
      <c r="UL246" s="309"/>
      <c r="UM246" s="309"/>
      <c r="UN246" s="309"/>
      <c r="UO246" s="309"/>
      <c r="UP246" s="309"/>
      <c r="UQ246" s="309"/>
      <c r="UR246" s="309"/>
      <c r="US246" s="309"/>
      <c r="UT246" s="309"/>
      <c r="UU246" s="309"/>
      <c r="UV246" s="309"/>
      <c r="UW246" s="309"/>
      <c r="UX246" s="309"/>
      <c r="UY246" s="309"/>
      <c r="UZ246" s="309"/>
      <c r="VA246" s="309"/>
      <c r="VB246" s="309"/>
      <c r="VC246" s="309"/>
      <c r="VD246" s="309"/>
      <c r="VE246" s="309"/>
      <c r="VF246" s="309"/>
      <c r="VG246" s="309"/>
      <c r="VH246" s="309"/>
      <c r="VI246" s="309"/>
      <c r="VJ246" s="309"/>
      <c r="VK246" s="309"/>
      <c r="VL246" s="309"/>
      <c r="VM246" s="309"/>
      <c r="VN246" s="309"/>
      <c r="VO246" s="309"/>
      <c r="VP246" s="309"/>
      <c r="VQ246" s="309"/>
      <c r="VR246" s="309"/>
      <c r="VS246" s="309"/>
      <c r="VT246" s="309"/>
      <c r="VU246" s="309"/>
      <c r="VV246" s="309"/>
      <c r="VW246" s="309"/>
      <c r="VX246" s="309"/>
      <c r="VY246" s="309"/>
      <c r="VZ246" s="309"/>
      <c r="WA246" s="309"/>
      <c r="WB246" s="309"/>
      <c r="WC246" s="309"/>
      <c r="WD246" s="309"/>
      <c r="WE246" s="309"/>
      <c r="WF246" s="309"/>
      <c r="WG246" s="309"/>
      <c r="WH246" s="309"/>
      <c r="WI246" s="309"/>
      <c r="WJ246" s="309"/>
      <c r="WK246" s="309"/>
      <c r="WL246" s="309"/>
      <c r="WM246" s="309"/>
      <c r="WN246" s="309"/>
      <c r="WO246" s="309"/>
      <c r="WP246" s="309"/>
      <c r="WQ246" s="309"/>
      <c r="WR246" s="309"/>
      <c r="WS246" s="309"/>
      <c r="WT246" s="309"/>
      <c r="WU246" s="309"/>
      <c r="WV246" s="309"/>
      <c r="WW246" s="309"/>
      <c r="WX246" s="309"/>
      <c r="WY246" s="309"/>
      <c r="WZ246" s="309"/>
      <c r="XA246" s="309"/>
      <c r="XB246" s="309"/>
      <c r="XC246" s="309"/>
      <c r="XD246" s="309"/>
      <c r="XE246" s="309"/>
      <c r="XF246" s="309"/>
      <c r="XG246" s="309"/>
      <c r="XH246" s="309"/>
      <c r="XI246" s="309"/>
      <c r="XJ246" s="309"/>
      <c r="XK246" s="309"/>
      <c r="XL246" s="309"/>
      <c r="XM246" s="309"/>
      <c r="XN246" s="309"/>
      <c r="XO246" s="309"/>
      <c r="XP246" s="309"/>
      <c r="XQ246" s="309"/>
      <c r="XR246" s="309"/>
      <c r="XS246" s="309"/>
      <c r="XT246" s="309"/>
      <c r="XU246" s="309"/>
      <c r="XV246" s="309"/>
      <c r="XW246" s="309"/>
      <c r="XX246" s="309"/>
      <c r="XY246" s="309"/>
      <c r="XZ246" s="309"/>
      <c r="YA246" s="309"/>
      <c r="YB246" s="309"/>
      <c r="YC246" s="309"/>
      <c r="YD246" s="309"/>
      <c r="YE246" s="309"/>
      <c r="YF246" s="309"/>
      <c r="YG246" s="309"/>
      <c r="YH246" s="309"/>
      <c r="YI246" s="309"/>
      <c r="YJ246" s="309"/>
      <c r="YK246" s="309"/>
      <c r="YL246" s="309"/>
      <c r="YM246" s="309"/>
      <c r="YN246" s="309"/>
      <c r="YO246" s="309"/>
      <c r="YP246" s="309"/>
      <c r="YQ246" s="309"/>
      <c r="YR246" s="309"/>
      <c r="YS246" s="309"/>
      <c r="YT246" s="309"/>
      <c r="YU246" s="309"/>
      <c r="YV246" s="309"/>
      <c r="YW246" s="309"/>
      <c r="YX246" s="309"/>
      <c r="YY246" s="309"/>
      <c r="YZ246" s="309"/>
      <c r="ZA246" s="309"/>
      <c r="ZB246" s="309"/>
      <c r="ZC246" s="309"/>
      <c r="ZD246" s="309"/>
      <c r="ZE246" s="309"/>
      <c r="ZF246" s="309"/>
      <c r="ZG246" s="309"/>
      <c r="ZH246" s="309"/>
      <c r="ZI246" s="309"/>
      <c r="ZJ246" s="309"/>
    </row>
    <row r="247" spans="1:686" s="308" customFormat="1" x14ac:dyDescent="0.3">
      <c r="E247" s="337"/>
      <c r="F247" s="337"/>
      <c r="G247" s="171"/>
      <c r="H247" s="1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  <c r="CF247" s="309"/>
      <c r="CG247" s="309"/>
      <c r="CH247" s="309"/>
      <c r="CI247" s="309"/>
      <c r="CJ247" s="309"/>
      <c r="CK247" s="309"/>
      <c r="CL247" s="309"/>
      <c r="CM247" s="309"/>
      <c r="CN247" s="309"/>
      <c r="CO247" s="309"/>
      <c r="CP247" s="309"/>
      <c r="CQ247" s="309"/>
      <c r="CR247" s="309"/>
      <c r="CS247" s="309"/>
      <c r="CT247" s="309"/>
      <c r="CU247" s="309"/>
      <c r="CV247" s="309"/>
      <c r="CW247" s="309"/>
      <c r="CX247" s="309"/>
      <c r="CY247" s="309"/>
      <c r="CZ247" s="309"/>
      <c r="DA247" s="309"/>
      <c r="DB247" s="309"/>
      <c r="DC247" s="309"/>
      <c r="DD247" s="309"/>
      <c r="DE247" s="309"/>
      <c r="DF247" s="309"/>
      <c r="DG247" s="309"/>
      <c r="DH247" s="309"/>
      <c r="DI247" s="309"/>
      <c r="DJ247" s="309"/>
      <c r="DK247" s="309"/>
      <c r="DL247" s="309"/>
      <c r="DM247" s="309"/>
      <c r="DN247" s="309"/>
      <c r="DO247" s="309"/>
      <c r="DP247" s="309"/>
      <c r="DQ247" s="309"/>
      <c r="DR247" s="309"/>
      <c r="DS247" s="309"/>
      <c r="DT247" s="309"/>
      <c r="DU247" s="309"/>
      <c r="DV247" s="309"/>
      <c r="DW247" s="309"/>
      <c r="DX247" s="309"/>
      <c r="DY247" s="309"/>
      <c r="DZ247" s="309"/>
      <c r="EA247" s="309"/>
      <c r="EB247" s="309"/>
      <c r="EC247" s="309"/>
      <c r="ED247" s="309"/>
      <c r="EE247" s="309"/>
      <c r="EF247" s="309"/>
      <c r="EG247" s="309"/>
      <c r="EH247" s="309"/>
      <c r="EI247" s="309"/>
      <c r="EJ247" s="309"/>
      <c r="EK247" s="309"/>
      <c r="EL247" s="309"/>
      <c r="EM247" s="309"/>
      <c r="EN247" s="309"/>
      <c r="EO247" s="309"/>
      <c r="EP247" s="309"/>
      <c r="EQ247" s="309"/>
      <c r="ER247" s="309"/>
      <c r="ES247" s="309"/>
      <c r="ET247" s="309"/>
      <c r="EU247" s="309"/>
      <c r="EV247" s="309"/>
      <c r="EW247" s="309"/>
      <c r="EX247" s="309"/>
      <c r="EY247" s="309"/>
      <c r="EZ247" s="309"/>
      <c r="FA247" s="309"/>
      <c r="FB247" s="309"/>
      <c r="FC247" s="309"/>
      <c r="FD247" s="309"/>
      <c r="FE247" s="309"/>
      <c r="FF247" s="309"/>
      <c r="FG247" s="309"/>
      <c r="FH247" s="309"/>
      <c r="FI247" s="309"/>
      <c r="FJ247" s="309"/>
      <c r="FK247" s="309"/>
      <c r="FL247" s="309"/>
      <c r="FM247" s="309"/>
      <c r="FN247" s="309"/>
      <c r="FO247" s="309"/>
      <c r="FP247" s="309"/>
      <c r="FQ247" s="309"/>
      <c r="FR247" s="309"/>
      <c r="FS247" s="309"/>
      <c r="FT247" s="309"/>
      <c r="FU247" s="309"/>
      <c r="FV247" s="309"/>
      <c r="FW247" s="309"/>
      <c r="FX247" s="309"/>
      <c r="FY247" s="309"/>
      <c r="FZ247" s="309"/>
      <c r="GA247" s="309"/>
      <c r="GB247" s="309"/>
      <c r="GC247" s="309"/>
      <c r="GD247" s="309"/>
      <c r="GE247" s="309"/>
      <c r="GF247" s="309"/>
      <c r="GG247" s="309"/>
      <c r="GH247" s="309"/>
      <c r="GI247" s="309"/>
      <c r="GJ247" s="309"/>
      <c r="GK247" s="309"/>
      <c r="GL247" s="309"/>
      <c r="GM247" s="309"/>
      <c r="GN247" s="309"/>
      <c r="GO247" s="309"/>
      <c r="GP247" s="309"/>
      <c r="GQ247" s="309"/>
      <c r="GR247" s="309"/>
      <c r="GS247" s="309"/>
      <c r="GT247" s="309"/>
      <c r="GU247" s="309"/>
      <c r="GV247" s="309"/>
      <c r="GW247" s="309"/>
      <c r="GX247" s="309"/>
      <c r="GY247" s="309"/>
      <c r="GZ247" s="309"/>
      <c r="HA247" s="309"/>
      <c r="HB247" s="309"/>
      <c r="HC247" s="309"/>
      <c r="HD247" s="309"/>
      <c r="HE247" s="309"/>
      <c r="HF247" s="309"/>
      <c r="HG247" s="309"/>
      <c r="HH247" s="309"/>
      <c r="HI247" s="309"/>
      <c r="HJ247" s="309"/>
      <c r="HK247" s="309"/>
      <c r="HL247" s="309"/>
      <c r="HM247" s="309"/>
      <c r="HN247" s="309"/>
      <c r="HO247" s="309"/>
      <c r="HP247" s="309"/>
      <c r="HQ247" s="309"/>
      <c r="HR247" s="309"/>
      <c r="HS247" s="309"/>
      <c r="HT247" s="309"/>
      <c r="HU247" s="309"/>
      <c r="HV247" s="309"/>
      <c r="HW247" s="309"/>
      <c r="HX247" s="309"/>
      <c r="HY247" s="309"/>
      <c r="HZ247" s="309"/>
      <c r="IA247" s="309"/>
      <c r="IB247" s="309"/>
      <c r="IC247" s="309"/>
      <c r="ID247" s="309"/>
      <c r="IE247" s="309"/>
      <c r="IF247" s="309"/>
      <c r="IG247" s="309"/>
      <c r="IH247" s="309"/>
      <c r="II247" s="309"/>
      <c r="IJ247" s="309"/>
      <c r="IK247" s="309"/>
      <c r="IL247" s="309"/>
      <c r="IM247" s="309"/>
      <c r="IN247" s="309"/>
      <c r="IO247" s="309"/>
      <c r="IP247" s="309"/>
      <c r="IQ247" s="309"/>
      <c r="IR247" s="309"/>
      <c r="IS247" s="309"/>
      <c r="IT247" s="309"/>
      <c r="IU247" s="309"/>
      <c r="IV247" s="309"/>
      <c r="IW247" s="309"/>
      <c r="IX247" s="309"/>
      <c r="IY247" s="309"/>
      <c r="IZ247" s="309"/>
      <c r="JA247" s="309"/>
      <c r="JB247" s="309"/>
      <c r="JC247" s="309"/>
      <c r="JD247" s="309"/>
      <c r="JE247" s="309"/>
      <c r="JF247" s="309"/>
      <c r="JG247" s="309"/>
      <c r="JH247" s="309"/>
      <c r="JI247" s="309"/>
      <c r="JJ247" s="309"/>
      <c r="JK247" s="309"/>
      <c r="JL247" s="309"/>
      <c r="JM247" s="309"/>
      <c r="JN247" s="309"/>
      <c r="JO247" s="309"/>
      <c r="JP247" s="309"/>
      <c r="JQ247" s="309"/>
      <c r="JR247" s="309"/>
      <c r="JS247" s="309"/>
      <c r="JT247" s="309"/>
      <c r="JU247" s="309"/>
      <c r="JV247" s="309"/>
      <c r="JW247" s="309"/>
      <c r="JX247" s="309"/>
      <c r="JY247" s="309"/>
      <c r="JZ247" s="309"/>
      <c r="KA247" s="309"/>
      <c r="KB247" s="309"/>
      <c r="KC247" s="309"/>
      <c r="KD247" s="309"/>
      <c r="KE247" s="309"/>
      <c r="KF247" s="309"/>
      <c r="KG247" s="309"/>
      <c r="KH247" s="309"/>
      <c r="KI247" s="309"/>
      <c r="KJ247" s="309"/>
      <c r="KK247" s="309"/>
      <c r="KL247" s="309"/>
      <c r="KM247" s="309"/>
      <c r="KN247" s="309"/>
      <c r="KO247" s="309"/>
      <c r="KP247" s="309"/>
      <c r="KQ247" s="309"/>
      <c r="KR247" s="309"/>
      <c r="KS247" s="309"/>
      <c r="KT247" s="309"/>
      <c r="KU247" s="309"/>
      <c r="KV247" s="309"/>
      <c r="KW247" s="309"/>
      <c r="KX247" s="309"/>
      <c r="KY247" s="309"/>
      <c r="KZ247" s="309"/>
      <c r="LA247" s="309"/>
      <c r="LB247" s="309"/>
      <c r="LC247" s="309"/>
      <c r="LD247" s="309"/>
      <c r="LE247" s="309"/>
      <c r="LF247" s="309"/>
      <c r="LG247" s="309"/>
      <c r="LH247" s="309"/>
      <c r="LI247" s="309"/>
      <c r="LJ247" s="309"/>
      <c r="LK247" s="309"/>
      <c r="LL247" s="309"/>
      <c r="LM247" s="309"/>
      <c r="LN247" s="309"/>
      <c r="LO247" s="309"/>
      <c r="LP247" s="309"/>
      <c r="LQ247" s="309"/>
      <c r="LR247" s="309"/>
      <c r="LS247" s="309"/>
      <c r="LT247" s="309"/>
      <c r="LU247" s="309"/>
      <c r="LV247" s="309"/>
      <c r="LW247" s="309"/>
      <c r="LX247" s="309"/>
      <c r="LY247" s="309"/>
      <c r="LZ247" s="309"/>
      <c r="MA247" s="309"/>
      <c r="MB247" s="309"/>
      <c r="MC247" s="309"/>
      <c r="MD247" s="309"/>
      <c r="ME247" s="309"/>
      <c r="MF247" s="309"/>
      <c r="MG247" s="309"/>
      <c r="MH247" s="309"/>
      <c r="MI247" s="309"/>
      <c r="MJ247" s="309"/>
      <c r="MK247" s="309"/>
      <c r="ML247" s="309"/>
      <c r="MM247" s="309"/>
      <c r="MN247" s="309"/>
      <c r="MO247" s="309"/>
      <c r="MP247" s="309"/>
      <c r="MQ247" s="309"/>
      <c r="MR247" s="309"/>
      <c r="MS247" s="309"/>
      <c r="MT247" s="309"/>
      <c r="MU247" s="309"/>
      <c r="MV247" s="309"/>
      <c r="MW247" s="309"/>
      <c r="MX247" s="309"/>
      <c r="MY247" s="309"/>
      <c r="MZ247" s="309"/>
      <c r="NA247" s="309"/>
      <c r="NB247" s="309"/>
      <c r="NC247" s="309"/>
      <c r="ND247" s="309"/>
      <c r="NE247" s="309"/>
      <c r="NF247" s="309"/>
      <c r="NG247" s="309"/>
      <c r="NH247" s="309"/>
      <c r="NI247" s="309"/>
      <c r="NJ247" s="309"/>
      <c r="NK247" s="309"/>
      <c r="NL247" s="309"/>
      <c r="NM247" s="309"/>
      <c r="NN247" s="309"/>
      <c r="NO247" s="309"/>
      <c r="NP247" s="309"/>
      <c r="NQ247" s="309"/>
      <c r="NR247" s="309"/>
      <c r="NS247" s="309"/>
      <c r="NT247" s="309"/>
      <c r="NU247" s="309"/>
      <c r="NV247" s="309"/>
      <c r="NW247" s="309"/>
      <c r="NX247" s="309"/>
      <c r="NY247" s="309"/>
      <c r="NZ247" s="309"/>
      <c r="OA247" s="309"/>
      <c r="OB247" s="309"/>
      <c r="OC247" s="309"/>
      <c r="OD247" s="309"/>
      <c r="OE247" s="309"/>
      <c r="OF247" s="309"/>
      <c r="OG247" s="309"/>
      <c r="OH247" s="309"/>
      <c r="OI247" s="309"/>
      <c r="OJ247" s="309"/>
      <c r="OK247" s="309"/>
      <c r="OL247" s="309"/>
      <c r="OM247" s="309"/>
      <c r="ON247" s="309"/>
      <c r="OO247" s="309"/>
      <c r="OP247" s="309"/>
      <c r="OQ247" s="309"/>
      <c r="OR247" s="309"/>
      <c r="OS247" s="309"/>
      <c r="OT247" s="309"/>
      <c r="OU247" s="309"/>
      <c r="OV247" s="309"/>
      <c r="OW247" s="309"/>
      <c r="OX247" s="309"/>
      <c r="OY247" s="309"/>
      <c r="OZ247" s="309"/>
      <c r="PA247" s="309"/>
      <c r="PB247" s="309"/>
      <c r="PC247" s="309"/>
      <c r="PD247" s="309"/>
      <c r="PE247" s="309"/>
      <c r="PF247" s="309"/>
      <c r="PG247" s="309"/>
      <c r="PH247" s="309"/>
      <c r="PI247" s="309"/>
      <c r="PJ247" s="309"/>
      <c r="PK247" s="309"/>
      <c r="PL247" s="309"/>
      <c r="PM247" s="309"/>
      <c r="PN247" s="309"/>
      <c r="PO247" s="309"/>
      <c r="PP247" s="309"/>
      <c r="PQ247" s="309"/>
      <c r="PR247" s="309"/>
      <c r="PS247" s="309"/>
      <c r="PT247" s="309"/>
      <c r="PU247" s="309"/>
      <c r="PV247" s="309"/>
      <c r="PW247" s="309"/>
      <c r="PX247" s="309"/>
      <c r="PY247" s="309"/>
      <c r="PZ247" s="309"/>
      <c r="QA247" s="309"/>
      <c r="QB247" s="309"/>
      <c r="QC247" s="309"/>
      <c r="QD247" s="309"/>
      <c r="QE247" s="309"/>
      <c r="QF247" s="309"/>
      <c r="QG247" s="309"/>
      <c r="QH247" s="309"/>
      <c r="QI247" s="309"/>
      <c r="QJ247" s="309"/>
      <c r="QK247" s="309"/>
      <c r="QL247" s="309"/>
      <c r="QM247" s="309"/>
      <c r="QN247" s="309"/>
      <c r="QO247" s="309"/>
      <c r="QP247" s="309"/>
      <c r="QQ247" s="309"/>
      <c r="QR247" s="309"/>
      <c r="QS247" s="309"/>
      <c r="QT247" s="309"/>
      <c r="QU247" s="309"/>
      <c r="QV247" s="309"/>
      <c r="QW247" s="309"/>
      <c r="QX247" s="309"/>
      <c r="QY247" s="309"/>
      <c r="QZ247" s="309"/>
      <c r="RA247" s="309"/>
      <c r="RB247" s="309"/>
      <c r="RC247" s="309"/>
      <c r="RD247" s="309"/>
      <c r="RE247" s="309"/>
      <c r="RF247" s="309"/>
      <c r="RG247" s="309"/>
      <c r="RH247" s="309"/>
      <c r="RI247" s="309"/>
      <c r="RJ247" s="309"/>
      <c r="RK247" s="309"/>
      <c r="RL247" s="309"/>
      <c r="RM247" s="309"/>
      <c r="RN247" s="309"/>
      <c r="RO247" s="309"/>
      <c r="RP247" s="309"/>
      <c r="RQ247" s="309"/>
      <c r="RR247" s="309"/>
      <c r="RS247" s="309"/>
      <c r="RT247" s="309"/>
      <c r="RU247" s="309"/>
      <c r="RV247" s="309"/>
      <c r="RW247" s="309"/>
      <c r="RX247" s="309"/>
      <c r="RY247" s="309"/>
      <c r="RZ247" s="309"/>
      <c r="SA247" s="309"/>
      <c r="SB247" s="309"/>
      <c r="SC247" s="309"/>
      <c r="SD247" s="309"/>
      <c r="SE247" s="309"/>
      <c r="SF247" s="309"/>
      <c r="SG247" s="309"/>
      <c r="SH247" s="309"/>
      <c r="SI247" s="309"/>
      <c r="SJ247" s="309"/>
      <c r="SK247" s="309"/>
      <c r="SL247" s="309"/>
      <c r="SM247" s="309"/>
      <c r="SN247" s="309"/>
      <c r="SO247" s="309"/>
      <c r="SP247" s="309"/>
      <c r="SQ247" s="309"/>
      <c r="SR247" s="309"/>
      <c r="SS247" s="309"/>
      <c r="ST247" s="309"/>
      <c r="SU247" s="309"/>
      <c r="SV247" s="309"/>
      <c r="SW247" s="309"/>
      <c r="SX247" s="309"/>
      <c r="SY247" s="309"/>
      <c r="SZ247" s="309"/>
      <c r="TA247" s="309"/>
      <c r="TB247" s="309"/>
      <c r="TC247" s="309"/>
      <c r="TD247" s="309"/>
      <c r="TE247" s="309"/>
      <c r="TF247" s="309"/>
      <c r="TG247" s="309"/>
      <c r="TH247" s="309"/>
      <c r="TI247" s="309"/>
      <c r="TJ247" s="309"/>
      <c r="TK247" s="309"/>
      <c r="TL247" s="309"/>
      <c r="TM247" s="309"/>
      <c r="TN247" s="309"/>
      <c r="TO247" s="309"/>
      <c r="TP247" s="309"/>
      <c r="TQ247" s="309"/>
      <c r="TR247" s="309"/>
      <c r="TS247" s="309"/>
      <c r="TT247" s="309"/>
      <c r="TU247" s="309"/>
      <c r="TV247" s="309"/>
      <c r="TW247" s="309"/>
      <c r="TX247" s="309"/>
      <c r="TY247" s="309"/>
      <c r="TZ247" s="309"/>
      <c r="UA247" s="309"/>
      <c r="UB247" s="309"/>
      <c r="UC247" s="309"/>
      <c r="UD247" s="309"/>
      <c r="UE247" s="309"/>
      <c r="UF247" s="309"/>
      <c r="UG247" s="309"/>
      <c r="UH247" s="309"/>
      <c r="UI247" s="309"/>
      <c r="UJ247" s="309"/>
      <c r="UK247" s="309"/>
      <c r="UL247" s="309"/>
      <c r="UM247" s="309"/>
      <c r="UN247" s="309"/>
      <c r="UO247" s="309"/>
      <c r="UP247" s="309"/>
      <c r="UQ247" s="309"/>
      <c r="UR247" s="309"/>
      <c r="US247" s="309"/>
      <c r="UT247" s="309"/>
      <c r="UU247" s="309"/>
      <c r="UV247" s="309"/>
      <c r="UW247" s="309"/>
      <c r="UX247" s="309"/>
      <c r="UY247" s="309"/>
      <c r="UZ247" s="309"/>
      <c r="VA247" s="309"/>
      <c r="VB247" s="309"/>
      <c r="VC247" s="309"/>
      <c r="VD247" s="309"/>
      <c r="VE247" s="309"/>
      <c r="VF247" s="309"/>
      <c r="VG247" s="309"/>
      <c r="VH247" s="309"/>
      <c r="VI247" s="309"/>
      <c r="VJ247" s="309"/>
      <c r="VK247" s="309"/>
      <c r="VL247" s="309"/>
      <c r="VM247" s="309"/>
      <c r="VN247" s="309"/>
      <c r="VO247" s="309"/>
      <c r="VP247" s="309"/>
      <c r="VQ247" s="309"/>
      <c r="VR247" s="309"/>
      <c r="VS247" s="309"/>
      <c r="VT247" s="309"/>
      <c r="VU247" s="309"/>
      <c r="VV247" s="309"/>
      <c r="VW247" s="309"/>
      <c r="VX247" s="309"/>
      <c r="VY247" s="309"/>
      <c r="VZ247" s="309"/>
      <c r="WA247" s="309"/>
      <c r="WB247" s="309"/>
      <c r="WC247" s="309"/>
      <c r="WD247" s="309"/>
      <c r="WE247" s="309"/>
      <c r="WF247" s="309"/>
      <c r="WG247" s="309"/>
      <c r="WH247" s="309"/>
      <c r="WI247" s="309"/>
      <c r="WJ247" s="309"/>
      <c r="WK247" s="309"/>
      <c r="WL247" s="309"/>
      <c r="WM247" s="309"/>
      <c r="WN247" s="309"/>
      <c r="WO247" s="309"/>
      <c r="WP247" s="309"/>
      <c r="WQ247" s="309"/>
      <c r="WR247" s="309"/>
      <c r="WS247" s="309"/>
      <c r="WT247" s="309"/>
      <c r="WU247" s="309"/>
      <c r="WV247" s="309"/>
      <c r="WW247" s="309"/>
      <c r="WX247" s="309"/>
      <c r="WY247" s="309"/>
      <c r="WZ247" s="309"/>
      <c r="XA247" s="309"/>
      <c r="XB247" s="309"/>
      <c r="XC247" s="309"/>
      <c r="XD247" s="309"/>
      <c r="XE247" s="309"/>
      <c r="XF247" s="309"/>
      <c r="XG247" s="309"/>
      <c r="XH247" s="309"/>
      <c r="XI247" s="309"/>
      <c r="XJ247" s="309"/>
      <c r="XK247" s="309"/>
      <c r="XL247" s="309"/>
      <c r="XM247" s="309"/>
      <c r="XN247" s="309"/>
      <c r="XO247" s="309"/>
      <c r="XP247" s="309"/>
      <c r="XQ247" s="309"/>
      <c r="XR247" s="309"/>
      <c r="XS247" s="309"/>
      <c r="XT247" s="309"/>
      <c r="XU247" s="309"/>
      <c r="XV247" s="309"/>
      <c r="XW247" s="309"/>
      <c r="XX247" s="309"/>
      <c r="XY247" s="309"/>
      <c r="XZ247" s="309"/>
      <c r="YA247" s="309"/>
      <c r="YB247" s="309"/>
      <c r="YC247" s="309"/>
      <c r="YD247" s="309"/>
      <c r="YE247" s="309"/>
      <c r="YF247" s="309"/>
      <c r="YG247" s="309"/>
      <c r="YH247" s="309"/>
      <c r="YI247" s="309"/>
      <c r="YJ247" s="309"/>
      <c r="YK247" s="309"/>
      <c r="YL247" s="309"/>
      <c r="YM247" s="309"/>
      <c r="YN247" s="309"/>
      <c r="YO247" s="309"/>
      <c r="YP247" s="309"/>
      <c r="YQ247" s="309"/>
      <c r="YR247" s="309"/>
      <c r="YS247" s="309"/>
      <c r="YT247" s="309"/>
      <c r="YU247" s="309"/>
      <c r="YV247" s="309"/>
      <c r="YW247" s="309"/>
      <c r="YX247" s="309"/>
      <c r="YY247" s="309"/>
      <c r="YZ247" s="309"/>
      <c r="ZA247" s="309"/>
      <c r="ZB247" s="309"/>
      <c r="ZC247" s="309"/>
      <c r="ZD247" s="309"/>
      <c r="ZE247" s="309"/>
      <c r="ZF247" s="309"/>
      <c r="ZG247" s="309"/>
      <c r="ZH247" s="309"/>
      <c r="ZI247" s="309"/>
      <c r="ZJ247" s="309"/>
    </row>
    <row r="248" spans="1:686" s="308" customFormat="1" x14ac:dyDescent="0.3">
      <c r="E248" s="337"/>
      <c r="F248" s="337"/>
      <c r="G248" s="171"/>
      <c r="H248" s="1"/>
      <c r="Y248" s="309"/>
      <c r="Z248" s="309"/>
      <c r="AA248" s="309"/>
      <c r="AB248" s="309"/>
      <c r="AC248" s="309"/>
      <c r="AD248" s="309"/>
      <c r="AE248" s="309"/>
      <c r="AF248" s="309"/>
      <c r="AG248" s="309"/>
      <c r="AH248" s="309"/>
      <c r="AI248" s="309"/>
      <c r="AJ248" s="309"/>
      <c r="AK248" s="309"/>
      <c r="AL248" s="309"/>
      <c r="AM248" s="309"/>
      <c r="AN248" s="309"/>
      <c r="AO248" s="309"/>
      <c r="AP248" s="309"/>
      <c r="AQ248" s="309"/>
      <c r="AR248" s="309"/>
      <c r="AS248" s="309"/>
      <c r="AT248" s="309"/>
      <c r="AU248" s="309"/>
      <c r="AV248" s="309"/>
      <c r="AW248" s="309"/>
      <c r="AX248" s="309"/>
      <c r="AY248" s="309"/>
      <c r="AZ248" s="309"/>
      <c r="BA248" s="309"/>
      <c r="BB248" s="309"/>
      <c r="BC248" s="309"/>
      <c r="BD248" s="309"/>
      <c r="BE248" s="309"/>
      <c r="BF248" s="309"/>
      <c r="BG248" s="309"/>
      <c r="BH248" s="309"/>
      <c r="BI248" s="309"/>
      <c r="BJ248" s="309"/>
      <c r="BK248" s="309"/>
      <c r="BL248" s="309"/>
      <c r="BM248" s="309"/>
      <c r="BN248" s="309"/>
      <c r="BO248" s="309"/>
      <c r="BP248" s="309"/>
      <c r="BQ248" s="309"/>
      <c r="BR248" s="309"/>
      <c r="BS248" s="309"/>
      <c r="BT248" s="309"/>
      <c r="BU248" s="309"/>
      <c r="BV248" s="309"/>
      <c r="BW248" s="309"/>
      <c r="BX248" s="309"/>
      <c r="BY248" s="309"/>
      <c r="BZ248" s="309"/>
      <c r="CA248" s="309"/>
      <c r="CB248" s="309"/>
      <c r="CC248" s="309"/>
      <c r="CD248" s="309"/>
      <c r="CE248" s="309"/>
      <c r="CF248" s="309"/>
      <c r="CG248" s="309"/>
      <c r="CH248" s="309"/>
      <c r="CI248" s="309"/>
      <c r="CJ248" s="309"/>
      <c r="CK248" s="309"/>
      <c r="CL248" s="309"/>
      <c r="CM248" s="309"/>
      <c r="CN248" s="309"/>
      <c r="CO248" s="309"/>
      <c r="CP248" s="309"/>
      <c r="CQ248" s="309"/>
      <c r="CR248" s="309"/>
      <c r="CS248" s="309"/>
      <c r="CT248" s="309"/>
      <c r="CU248" s="309"/>
      <c r="CV248" s="309"/>
      <c r="CW248" s="309"/>
      <c r="CX248" s="309"/>
      <c r="CY248" s="309"/>
      <c r="CZ248" s="309"/>
      <c r="DA248" s="309"/>
      <c r="DB248" s="309"/>
      <c r="DC248" s="309"/>
      <c r="DD248" s="309"/>
      <c r="DE248" s="309"/>
      <c r="DF248" s="309"/>
      <c r="DG248" s="309"/>
      <c r="DH248" s="309"/>
      <c r="DI248" s="309"/>
      <c r="DJ248" s="309"/>
      <c r="DK248" s="309"/>
      <c r="DL248" s="309"/>
      <c r="DM248" s="309"/>
      <c r="DN248" s="309"/>
      <c r="DO248" s="309"/>
      <c r="DP248" s="309"/>
      <c r="DQ248" s="309"/>
      <c r="DR248" s="309"/>
      <c r="DS248" s="309"/>
      <c r="DT248" s="309"/>
      <c r="DU248" s="309"/>
      <c r="DV248" s="309"/>
      <c r="DW248" s="309"/>
      <c r="DX248" s="309"/>
      <c r="DY248" s="309"/>
      <c r="DZ248" s="309"/>
      <c r="EA248" s="309"/>
      <c r="EB248" s="309"/>
      <c r="EC248" s="309"/>
      <c r="ED248" s="309"/>
      <c r="EE248" s="309"/>
      <c r="EF248" s="309"/>
      <c r="EG248" s="309"/>
      <c r="EH248" s="309"/>
      <c r="EI248" s="309"/>
      <c r="EJ248" s="309"/>
      <c r="EK248" s="309"/>
      <c r="EL248" s="309"/>
      <c r="EM248" s="309"/>
      <c r="EN248" s="309"/>
      <c r="EO248" s="309"/>
      <c r="EP248" s="309"/>
      <c r="EQ248" s="309"/>
      <c r="ER248" s="309"/>
      <c r="ES248" s="309"/>
      <c r="ET248" s="309"/>
      <c r="EU248" s="309"/>
      <c r="EV248" s="309"/>
      <c r="EW248" s="309"/>
      <c r="EX248" s="309"/>
      <c r="EY248" s="309"/>
      <c r="EZ248" s="309"/>
      <c r="FA248" s="309"/>
      <c r="FB248" s="309"/>
      <c r="FC248" s="309"/>
      <c r="FD248" s="309"/>
      <c r="FE248" s="309"/>
      <c r="FF248" s="309"/>
      <c r="FG248" s="309"/>
      <c r="FH248" s="309"/>
      <c r="FI248" s="309"/>
      <c r="FJ248" s="309"/>
      <c r="FK248" s="309"/>
      <c r="FL248" s="309"/>
      <c r="FM248" s="309"/>
      <c r="FN248" s="309"/>
      <c r="FO248" s="309"/>
      <c r="FP248" s="309"/>
      <c r="FQ248" s="309"/>
      <c r="FR248" s="309"/>
      <c r="FS248" s="309"/>
      <c r="FT248" s="309"/>
      <c r="FU248" s="309"/>
      <c r="FV248" s="309"/>
      <c r="FW248" s="309"/>
      <c r="FX248" s="309"/>
      <c r="FY248" s="309"/>
      <c r="FZ248" s="309"/>
      <c r="GA248" s="309"/>
      <c r="GB248" s="309"/>
      <c r="GC248" s="309"/>
      <c r="GD248" s="309"/>
      <c r="GE248" s="309"/>
      <c r="GF248" s="309"/>
      <c r="GG248" s="309"/>
      <c r="GH248" s="309"/>
      <c r="GI248" s="309"/>
      <c r="GJ248" s="309"/>
      <c r="GK248" s="309"/>
      <c r="GL248" s="309"/>
      <c r="GM248" s="309"/>
      <c r="GN248" s="309"/>
      <c r="GO248" s="309"/>
      <c r="GP248" s="309"/>
      <c r="GQ248" s="309"/>
      <c r="GR248" s="309"/>
      <c r="GS248" s="309"/>
      <c r="GT248" s="309"/>
      <c r="GU248" s="309"/>
      <c r="GV248" s="309"/>
      <c r="GW248" s="309"/>
      <c r="GX248" s="309"/>
      <c r="GY248" s="309"/>
      <c r="GZ248" s="309"/>
      <c r="HA248" s="309"/>
      <c r="HB248" s="309"/>
      <c r="HC248" s="309"/>
      <c r="HD248" s="309"/>
      <c r="HE248" s="309"/>
      <c r="HF248" s="309"/>
      <c r="HG248" s="309"/>
      <c r="HH248" s="309"/>
      <c r="HI248" s="309"/>
      <c r="HJ248" s="309"/>
      <c r="HK248" s="309"/>
      <c r="HL248" s="309"/>
      <c r="HM248" s="309"/>
      <c r="HN248" s="309"/>
      <c r="HO248" s="309"/>
      <c r="HP248" s="309"/>
      <c r="HQ248" s="309"/>
      <c r="HR248" s="309"/>
      <c r="HS248" s="309"/>
      <c r="HT248" s="309"/>
      <c r="HU248" s="309"/>
      <c r="HV248" s="309"/>
      <c r="HW248" s="309"/>
      <c r="HX248" s="309"/>
      <c r="HY248" s="309"/>
      <c r="HZ248" s="309"/>
      <c r="IA248" s="309"/>
      <c r="IB248" s="309"/>
      <c r="IC248" s="309"/>
      <c r="ID248" s="309"/>
      <c r="IE248" s="309"/>
      <c r="IF248" s="309"/>
      <c r="IG248" s="309"/>
      <c r="IH248" s="309"/>
      <c r="II248" s="309"/>
      <c r="IJ248" s="309"/>
      <c r="IK248" s="309"/>
      <c r="IL248" s="309"/>
      <c r="IM248" s="309"/>
      <c r="IN248" s="309"/>
      <c r="IO248" s="309"/>
      <c r="IP248" s="309"/>
      <c r="IQ248" s="309"/>
      <c r="IR248" s="309"/>
      <c r="IS248" s="309"/>
      <c r="IT248" s="309"/>
      <c r="IU248" s="309"/>
      <c r="IV248" s="309"/>
      <c r="IW248" s="309"/>
      <c r="IX248" s="309"/>
      <c r="IY248" s="309"/>
      <c r="IZ248" s="309"/>
      <c r="JA248" s="309"/>
      <c r="JB248" s="309"/>
      <c r="JC248" s="309"/>
      <c r="JD248" s="309"/>
      <c r="JE248" s="309"/>
      <c r="JF248" s="309"/>
      <c r="JG248" s="309"/>
      <c r="JH248" s="309"/>
      <c r="JI248" s="309"/>
      <c r="JJ248" s="309"/>
      <c r="JK248" s="309"/>
      <c r="JL248" s="309"/>
      <c r="JM248" s="309"/>
      <c r="JN248" s="309"/>
      <c r="JO248" s="309"/>
      <c r="JP248" s="309"/>
      <c r="JQ248" s="309"/>
      <c r="JR248" s="309"/>
      <c r="JS248" s="309"/>
      <c r="JT248" s="309"/>
      <c r="JU248" s="309"/>
      <c r="JV248" s="309"/>
      <c r="JW248" s="309"/>
      <c r="JX248" s="309"/>
      <c r="JY248" s="309"/>
      <c r="JZ248" s="309"/>
      <c r="KA248" s="309"/>
      <c r="KB248" s="309"/>
      <c r="KC248" s="309"/>
      <c r="KD248" s="309"/>
      <c r="KE248" s="309"/>
      <c r="KF248" s="309"/>
      <c r="KG248" s="309"/>
      <c r="KH248" s="309"/>
      <c r="KI248" s="309"/>
      <c r="KJ248" s="309"/>
      <c r="KK248" s="309"/>
      <c r="KL248" s="309"/>
      <c r="KM248" s="309"/>
      <c r="KN248" s="309"/>
      <c r="KO248" s="309"/>
      <c r="KP248" s="309"/>
      <c r="KQ248" s="309"/>
      <c r="KR248" s="309"/>
      <c r="KS248" s="309"/>
      <c r="KT248" s="309"/>
      <c r="KU248" s="309"/>
      <c r="KV248" s="309"/>
      <c r="KW248" s="309"/>
      <c r="KX248" s="309"/>
      <c r="KY248" s="309"/>
      <c r="KZ248" s="309"/>
      <c r="LA248" s="309"/>
      <c r="LB248" s="309"/>
      <c r="LC248" s="309"/>
      <c r="LD248" s="309"/>
      <c r="LE248" s="309"/>
      <c r="LF248" s="309"/>
      <c r="LG248" s="309"/>
      <c r="LH248" s="309"/>
      <c r="LI248" s="309"/>
      <c r="LJ248" s="309"/>
      <c r="LK248" s="309"/>
      <c r="LL248" s="309"/>
      <c r="LM248" s="309"/>
      <c r="LN248" s="309"/>
      <c r="LO248" s="309"/>
      <c r="LP248" s="309"/>
      <c r="LQ248" s="309"/>
      <c r="LR248" s="309"/>
      <c r="LS248" s="309"/>
      <c r="LT248" s="309"/>
      <c r="LU248" s="309"/>
      <c r="LV248" s="309"/>
      <c r="LW248" s="309"/>
      <c r="LX248" s="309"/>
      <c r="LY248" s="309"/>
      <c r="LZ248" s="309"/>
      <c r="MA248" s="309"/>
      <c r="MB248" s="309"/>
      <c r="MC248" s="309"/>
      <c r="MD248" s="309"/>
      <c r="ME248" s="309"/>
      <c r="MF248" s="309"/>
      <c r="MG248" s="309"/>
      <c r="MH248" s="309"/>
      <c r="MI248" s="309"/>
      <c r="MJ248" s="309"/>
      <c r="MK248" s="309"/>
      <c r="ML248" s="309"/>
      <c r="MM248" s="309"/>
      <c r="MN248" s="309"/>
      <c r="MO248" s="309"/>
      <c r="MP248" s="309"/>
      <c r="MQ248" s="309"/>
      <c r="MR248" s="309"/>
      <c r="MS248" s="309"/>
      <c r="MT248" s="309"/>
      <c r="MU248" s="309"/>
      <c r="MV248" s="309"/>
      <c r="MW248" s="309"/>
      <c r="MX248" s="309"/>
      <c r="MY248" s="309"/>
      <c r="MZ248" s="309"/>
      <c r="NA248" s="309"/>
      <c r="NB248" s="309"/>
      <c r="NC248" s="309"/>
      <c r="ND248" s="309"/>
      <c r="NE248" s="309"/>
      <c r="NF248" s="309"/>
      <c r="NG248" s="309"/>
      <c r="NH248" s="309"/>
      <c r="NI248" s="309"/>
      <c r="NJ248" s="309"/>
      <c r="NK248" s="309"/>
      <c r="NL248" s="309"/>
      <c r="NM248" s="309"/>
      <c r="NN248" s="309"/>
      <c r="NO248" s="309"/>
      <c r="NP248" s="309"/>
      <c r="NQ248" s="309"/>
      <c r="NR248" s="309"/>
      <c r="NS248" s="309"/>
      <c r="NT248" s="309"/>
      <c r="NU248" s="309"/>
      <c r="NV248" s="309"/>
      <c r="NW248" s="309"/>
      <c r="NX248" s="309"/>
      <c r="NY248" s="309"/>
      <c r="NZ248" s="309"/>
      <c r="OA248" s="309"/>
      <c r="OB248" s="309"/>
      <c r="OC248" s="309"/>
      <c r="OD248" s="309"/>
      <c r="OE248" s="309"/>
      <c r="OF248" s="309"/>
      <c r="OG248" s="309"/>
      <c r="OH248" s="309"/>
      <c r="OI248" s="309"/>
      <c r="OJ248" s="309"/>
      <c r="OK248" s="309"/>
      <c r="OL248" s="309"/>
      <c r="OM248" s="309"/>
      <c r="ON248" s="309"/>
      <c r="OO248" s="309"/>
      <c r="OP248" s="309"/>
      <c r="OQ248" s="309"/>
      <c r="OR248" s="309"/>
      <c r="OS248" s="309"/>
      <c r="OT248" s="309"/>
      <c r="OU248" s="309"/>
      <c r="OV248" s="309"/>
      <c r="OW248" s="309"/>
      <c r="OX248" s="309"/>
      <c r="OY248" s="309"/>
      <c r="OZ248" s="309"/>
      <c r="PA248" s="309"/>
      <c r="PB248" s="309"/>
      <c r="PC248" s="309"/>
      <c r="PD248" s="309"/>
      <c r="PE248" s="309"/>
      <c r="PF248" s="309"/>
      <c r="PG248" s="309"/>
      <c r="PH248" s="309"/>
      <c r="PI248" s="309"/>
      <c r="PJ248" s="309"/>
      <c r="PK248" s="309"/>
      <c r="PL248" s="309"/>
      <c r="PM248" s="309"/>
      <c r="PN248" s="309"/>
      <c r="PO248" s="309"/>
      <c r="PP248" s="309"/>
      <c r="PQ248" s="309"/>
      <c r="PR248" s="309"/>
      <c r="PS248" s="309"/>
      <c r="PT248" s="309"/>
      <c r="PU248" s="309"/>
      <c r="PV248" s="309"/>
      <c r="PW248" s="309"/>
      <c r="PX248" s="309"/>
      <c r="PY248" s="309"/>
      <c r="PZ248" s="309"/>
      <c r="QA248" s="309"/>
      <c r="QB248" s="309"/>
      <c r="QC248" s="309"/>
      <c r="QD248" s="309"/>
      <c r="QE248" s="309"/>
      <c r="QF248" s="309"/>
      <c r="QG248" s="309"/>
      <c r="QH248" s="309"/>
      <c r="QI248" s="309"/>
      <c r="QJ248" s="309"/>
      <c r="QK248" s="309"/>
      <c r="QL248" s="309"/>
      <c r="QM248" s="309"/>
      <c r="QN248" s="309"/>
      <c r="QO248" s="309"/>
      <c r="QP248" s="309"/>
      <c r="QQ248" s="309"/>
      <c r="QR248" s="309"/>
      <c r="QS248" s="309"/>
      <c r="QT248" s="309"/>
      <c r="QU248" s="309"/>
      <c r="QV248" s="309"/>
      <c r="QW248" s="309"/>
      <c r="QX248" s="309"/>
      <c r="QY248" s="309"/>
      <c r="QZ248" s="309"/>
      <c r="RA248" s="309"/>
      <c r="RB248" s="309"/>
      <c r="RC248" s="309"/>
      <c r="RD248" s="309"/>
      <c r="RE248" s="309"/>
      <c r="RF248" s="309"/>
      <c r="RG248" s="309"/>
      <c r="RH248" s="309"/>
      <c r="RI248" s="309"/>
      <c r="RJ248" s="309"/>
      <c r="RK248" s="309"/>
      <c r="RL248" s="309"/>
      <c r="RM248" s="309"/>
      <c r="RN248" s="309"/>
      <c r="RO248" s="309"/>
      <c r="RP248" s="309"/>
      <c r="RQ248" s="309"/>
      <c r="RR248" s="309"/>
      <c r="RS248" s="309"/>
      <c r="RT248" s="309"/>
      <c r="RU248" s="309"/>
      <c r="RV248" s="309"/>
      <c r="RW248" s="309"/>
      <c r="RX248" s="309"/>
      <c r="RY248" s="309"/>
      <c r="RZ248" s="309"/>
      <c r="SA248" s="309"/>
      <c r="SB248" s="309"/>
      <c r="SC248" s="309"/>
      <c r="SD248" s="309"/>
      <c r="SE248" s="309"/>
      <c r="SF248" s="309"/>
      <c r="SG248" s="309"/>
      <c r="SH248" s="309"/>
      <c r="SI248" s="309"/>
      <c r="SJ248" s="309"/>
      <c r="SK248" s="309"/>
      <c r="SL248" s="309"/>
      <c r="SM248" s="309"/>
      <c r="SN248" s="309"/>
      <c r="SO248" s="309"/>
      <c r="SP248" s="309"/>
      <c r="SQ248" s="309"/>
      <c r="SR248" s="309"/>
      <c r="SS248" s="309"/>
      <c r="ST248" s="309"/>
      <c r="SU248" s="309"/>
      <c r="SV248" s="309"/>
      <c r="SW248" s="309"/>
      <c r="SX248" s="309"/>
      <c r="SY248" s="309"/>
      <c r="SZ248" s="309"/>
      <c r="TA248" s="309"/>
      <c r="TB248" s="309"/>
      <c r="TC248" s="309"/>
      <c r="TD248" s="309"/>
      <c r="TE248" s="309"/>
      <c r="TF248" s="309"/>
      <c r="TG248" s="309"/>
      <c r="TH248" s="309"/>
      <c r="TI248" s="309"/>
      <c r="TJ248" s="309"/>
      <c r="TK248" s="309"/>
      <c r="TL248" s="309"/>
      <c r="TM248" s="309"/>
      <c r="TN248" s="309"/>
      <c r="TO248" s="309"/>
      <c r="TP248" s="309"/>
      <c r="TQ248" s="309"/>
      <c r="TR248" s="309"/>
      <c r="TS248" s="309"/>
      <c r="TT248" s="309"/>
      <c r="TU248" s="309"/>
      <c r="TV248" s="309"/>
      <c r="TW248" s="309"/>
      <c r="TX248" s="309"/>
      <c r="TY248" s="309"/>
      <c r="TZ248" s="309"/>
      <c r="UA248" s="309"/>
      <c r="UB248" s="309"/>
      <c r="UC248" s="309"/>
      <c r="UD248" s="309"/>
      <c r="UE248" s="309"/>
      <c r="UF248" s="309"/>
      <c r="UG248" s="309"/>
      <c r="UH248" s="309"/>
      <c r="UI248" s="309"/>
      <c r="UJ248" s="309"/>
      <c r="UK248" s="309"/>
      <c r="UL248" s="309"/>
      <c r="UM248" s="309"/>
      <c r="UN248" s="309"/>
      <c r="UO248" s="309"/>
      <c r="UP248" s="309"/>
      <c r="UQ248" s="309"/>
      <c r="UR248" s="309"/>
      <c r="US248" s="309"/>
      <c r="UT248" s="309"/>
      <c r="UU248" s="309"/>
      <c r="UV248" s="309"/>
      <c r="UW248" s="309"/>
      <c r="UX248" s="309"/>
      <c r="UY248" s="309"/>
      <c r="UZ248" s="309"/>
      <c r="VA248" s="309"/>
      <c r="VB248" s="309"/>
      <c r="VC248" s="309"/>
      <c r="VD248" s="309"/>
      <c r="VE248" s="309"/>
      <c r="VF248" s="309"/>
      <c r="VG248" s="309"/>
      <c r="VH248" s="309"/>
      <c r="VI248" s="309"/>
      <c r="VJ248" s="309"/>
      <c r="VK248" s="309"/>
      <c r="VL248" s="309"/>
      <c r="VM248" s="309"/>
      <c r="VN248" s="309"/>
      <c r="VO248" s="309"/>
      <c r="VP248" s="309"/>
      <c r="VQ248" s="309"/>
      <c r="VR248" s="309"/>
      <c r="VS248" s="309"/>
      <c r="VT248" s="309"/>
      <c r="VU248" s="309"/>
      <c r="VV248" s="309"/>
      <c r="VW248" s="309"/>
      <c r="VX248" s="309"/>
      <c r="VY248" s="309"/>
      <c r="VZ248" s="309"/>
      <c r="WA248" s="309"/>
      <c r="WB248" s="309"/>
      <c r="WC248" s="309"/>
      <c r="WD248" s="309"/>
      <c r="WE248" s="309"/>
      <c r="WF248" s="309"/>
      <c r="WG248" s="309"/>
      <c r="WH248" s="309"/>
      <c r="WI248" s="309"/>
      <c r="WJ248" s="309"/>
      <c r="WK248" s="309"/>
      <c r="WL248" s="309"/>
      <c r="WM248" s="309"/>
      <c r="WN248" s="309"/>
      <c r="WO248" s="309"/>
      <c r="WP248" s="309"/>
      <c r="WQ248" s="309"/>
      <c r="WR248" s="309"/>
      <c r="WS248" s="309"/>
      <c r="WT248" s="309"/>
      <c r="WU248" s="309"/>
      <c r="WV248" s="309"/>
      <c r="WW248" s="309"/>
      <c r="WX248" s="309"/>
      <c r="WY248" s="309"/>
      <c r="WZ248" s="309"/>
      <c r="XA248" s="309"/>
      <c r="XB248" s="309"/>
      <c r="XC248" s="309"/>
      <c r="XD248" s="309"/>
      <c r="XE248" s="309"/>
      <c r="XF248" s="309"/>
      <c r="XG248" s="309"/>
      <c r="XH248" s="309"/>
      <c r="XI248" s="309"/>
      <c r="XJ248" s="309"/>
      <c r="XK248" s="309"/>
      <c r="XL248" s="309"/>
      <c r="XM248" s="309"/>
      <c r="XN248" s="309"/>
      <c r="XO248" s="309"/>
      <c r="XP248" s="309"/>
      <c r="XQ248" s="309"/>
      <c r="XR248" s="309"/>
      <c r="XS248" s="309"/>
      <c r="XT248" s="309"/>
      <c r="XU248" s="309"/>
      <c r="XV248" s="309"/>
      <c r="XW248" s="309"/>
      <c r="XX248" s="309"/>
      <c r="XY248" s="309"/>
      <c r="XZ248" s="309"/>
      <c r="YA248" s="309"/>
      <c r="YB248" s="309"/>
      <c r="YC248" s="309"/>
      <c r="YD248" s="309"/>
      <c r="YE248" s="309"/>
      <c r="YF248" s="309"/>
      <c r="YG248" s="309"/>
      <c r="YH248" s="309"/>
      <c r="YI248" s="309"/>
      <c r="YJ248" s="309"/>
      <c r="YK248" s="309"/>
      <c r="YL248" s="309"/>
      <c r="YM248" s="309"/>
      <c r="YN248" s="309"/>
      <c r="YO248" s="309"/>
      <c r="YP248" s="309"/>
      <c r="YQ248" s="309"/>
      <c r="YR248" s="309"/>
      <c r="YS248" s="309"/>
      <c r="YT248" s="309"/>
      <c r="YU248" s="309"/>
      <c r="YV248" s="309"/>
      <c r="YW248" s="309"/>
      <c r="YX248" s="309"/>
      <c r="YY248" s="309"/>
      <c r="YZ248" s="309"/>
      <c r="ZA248" s="309"/>
      <c r="ZB248" s="309"/>
      <c r="ZC248" s="309"/>
      <c r="ZD248" s="309"/>
      <c r="ZE248" s="309"/>
      <c r="ZF248" s="309"/>
      <c r="ZG248" s="309"/>
      <c r="ZH248" s="309"/>
      <c r="ZI248" s="309"/>
      <c r="ZJ248" s="309"/>
    </row>
    <row r="249" spans="1:686" s="308" customFormat="1" x14ac:dyDescent="0.3">
      <c r="E249" s="337"/>
      <c r="F249" s="337"/>
      <c r="G249" s="171"/>
      <c r="H249" s="1"/>
      <c r="Y249" s="309"/>
      <c r="Z249" s="309"/>
      <c r="AA249" s="309"/>
      <c r="AB249" s="309"/>
      <c r="AC249" s="309"/>
      <c r="AD249" s="309"/>
      <c r="AE249" s="309"/>
      <c r="AF249" s="309"/>
      <c r="AG249" s="309"/>
      <c r="AH249" s="309"/>
      <c r="AI249" s="309"/>
      <c r="AJ249" s="309"/>
      <c r="AK249" s="309"/>
      <c r="AL249" s="309"/>
      <c r="AM249" s="309"/>
      <c r="AN249" s="309"/>
      <c r="AO249" s="309"/>
      <c r="AP249" s="309"/>
      <c r="AQ249" s="309"/>
      <c r="AR249" s="309"/>
      <c r="AS249" s="309"/>
      <c r="AT249" s="309"/>
      <c r="AU249" s="309"/>
      <c r="AV249" s="309"/>
      <c r="AW249" s="309"/>
      <c r="AX249" s="309"/>
      <c r="AY249" s="309"/>
      <c r="AZ249" s="309"/>
      <c r="BA249" s="309"/>
      <c r="BB249" s="309"/>
      <c r="BC249" s="309"/>
      <c r="BD249" s="309"/>
      <c r="BE249" s="309"/>
      <c r="BF249" s="309"/>
      <c r="BG249" s="309"/>
      <c r="BH249" s="309"/>
      <c r="BI249" s="309"/>
      <c r="BJ249" s="309"/>
      <c r="BK249" s="309"/>
      <c r="BL249" s="309"/>
      <c r="BM249" s="309"/>
      <c r="BN249" s="309"/>
      <c r="BO249" s="309"/>
      <c r="BP249" s="309"/>
      <c r="BQ249" s="309"/>
      <c r="BR249" s="309"/>
      <c r="BS249" s="309"/>
      <c r="BT249" s="309"/>
      <c r="BU249" s="309"/>
      <c r="BV249" s="309"/>
      <c r="BW249" s="309"/>
      <c r="BX249" s="309"/>
      <c r="BY249" s="309"/>
      <c r="BZ249" s="309"/>
      <c r="CA249" s="309"/>
      <c r="CB249" s="309"/>
      <c r="CC249" s="309"/>
      <c r="CD249" s="309"/>
      <c r="CE249" s="309"/>
      <c r="CF249" s="309"/>
      <c r="CG249" s="309"/>
      <c r="CH249" s="309"/>
      <c r="CI249" s="309"/>
      <c r="CJ249" s="309"/>
      <c r="CK249" s="309"/>
      <c r="CL249" s="309"/>
      <c r="CM249" s="309"/>
      <c r="CN249" s="309"/>
      <c r="CO249" s="309"/>
      <c r="CP249" s="309"/>
      <c r="CQ249" s="309"/>
      <c r="CR249" s="309"/>
      <c r="CS249" s="309"/>
      <c r="CT249" s="309"/>
      <c r="CU249" s="309"/>
      <c r="CV249" s="309"/>
      <c r="CW249" s="309"/>
      <c r="CX249" s="309"/>
      <c r="CY249" s="309"/>
      <c r="CZ249" s="309"/>
      <c r="DA249" s="309"/>
      <c r="DB249" s="309"/>
      <c r="DC249" s="309"/>
      <c r="DD249" s="309"/>
      <c r="DE249" s="309"/>
      <c r="DF249" s="309"/>
      <c r="DG249" s="309"/>
      <c r="DH249" s="309"/>
      <c r="DI249" s="309"/>
      <c r="DJ249" s="309"/>
      <c r="DK249" s="309"/>
      <c r="DL249" s="309"/>
      <c r="DM249" s="309"/>
      <c r="DN249" s="309"/>
      <c r="DO249" s="309"/>
      <c r="DP249" s="309"/>
      <c r="DQ249" s="309"/>
      <c r="DR249" s="309"/>
      <c r="DS249" s="309"/>
      <c r="DT249" s="309"/>
      <c r="DU249" s="309"/>
      <c r="DV249" s="309"/>
      <c r="DW249" s="309"/>
      <c r="DX249" s="309"/>
      <c r="DY249" s="309"/>
      <c r="DZ249" s="309"/>
      <c r="EA249" s="309"/>
      <c r="EB249" s="309"/>
      <c r="EC249" s="309"/>
      <c r="ED249" s="309"/>
      <c r="EE249" s="309"/>
      <c r="EF249" s="309"/>
      <c r="EG249" s="309"/>
      <c r="EH249" s="309"/>
      <c r="EI249" s="309"/>
      <c r="EJ249" s="309"/>
      <c r="EK249" s="309"/>
      <c r="EL249" s="309"/>
      <c r="EM249" s="309"/>
      <c r="EN249" s="309"/>
      <c r="EO249" s="309"/>
      <c r="EP249" s="309"/>
      <c r="EQ249" s="309"/>
      <c r="ER249" s="309"/>
      <c r="ES249" s="309"/>
      <c r="ET249" s="309"/>
      <c r="EU249" s="309"/>
      <c r="EV249" s="309"/>
      <c r="EW249" s="309"/>
      <c r="EX249" s="309"/>
      <c r="EY249" s="309"/>
      <c r="EZ249" s="309"/>
      <c r="FA249" s="309"/>
      <c r="FB249" s="309"/>
      <c r="FC249" s="309"/>
      <c r="FD249" s="309"/>
      <c r="FE249" s="309"/>
      <c r="FF249" s="309"/>
      <c r="FG249" s="309"/>
      <c r="FH249" s="309"/>
      <c r="FI249" s="309"/>
      <c r="FJ249" s="309"/>
      <c r="FK249" s="309"/>
      <c r="FL249" s="309"/>
      <c r="FM249" s="309"/>
      <c r="FN249" s="309"/>
      <c r="FO249" s="309"/>
      <c r="FP249" s="309"/>
      <c r="FQ249" s="309"/>
      <c r="FR249" s="309"/>
      <c r="FS249" s="309"/>
      <c r="FT249" s="309"/>
      <c r="FU249" s="309"/>
      <c r="FV249" s="309"/>
      <c r="FW249" s="309"/>
      <c r="FX249" s="309"/>
      <c r="FY249" s="309"/>
      <c r="FZ249" s="309"/>
      <c r="GA249" s="309"/>
      <c r="GB249" s="309"/>
      <c r="GC249" s="309"/>
      <c r="GD249" s="309"/>
      <c r="GE249" s="309"/>
      <c r="GF249" s="309"/>
      <c r="GG249" s="309"/>
      <c r="GH249" s="309"/>
      <c r="GI249" s="309"/>
      <c r="GJ249" s="309"/>
      <c r="GK249" s="309"/>
      <c r="GL249" s="309"/>
      <c r="GM249" s="309"/>
      <c r="GN249" s="309"/>
      <c r="GO249" s="309"/>
      <c r="GP249" s="309"/>
      <c r="GQ249" s="309"/>
      <c r="GR249" s="309"/>
      <c r="GS249" s="309"/>
      <c r="GT249" s="309"/>
      <c r="GU249" s="309"/>
      <c r="GV249" s="309"/>
      <c r="GW249" s="309"/>
      <c r="GX249" s="309"/>
      <c r="GY249" s="309"/>
      <c r="GZ249" s="309"/>
      <c r="HA249" s="309"/>
      <c r="HB249" s="309"/>
      <c r="HC249" s="309"/>
      <c r="HD249" s="309"/>
      <c r="HE249" s="309"/>
      <c r="HF249" s="309"/>
      <c r="HG249" s="309"/>
      <c r="HH249" s="309"/>
      <c r="HI249" s="309"/>
      <c r="HJ249" s="309"/>
      <c r="HK249" s="309"/>
      <c r="HL249" s="309"/>
      <c r="HM249" s="309"/>
      <c r="HN249" s="309"/>
      <c r="HO249" s="309"/>
      <c r="HP249" s="309"/>
      <c r="HQ249" s="309"/>
      <c r="HR249" s="309"/>
      <c r="HS249" s="309"/>
      <c r="HT249" s="309"/>
      <c r="HU249" s="309"/>
      <c r="HV249" s="309"/>
      <c r="HW249" s="309"/>
      <c r="HX249" s="309"/>
      <c r="HY249" s="309"/>
      <c r="HZ249" s="309"/>
      <c r="IA249" s="309"/>
      <c r="IB249" s="309"/>
      <c r="IC249" s="309"/>
      <c r="ID249" s="309"/>
      <c r="IE249" s="309"/>
      <c r="IF249" s="309"/>
      <c r="IG249" s="309"/>
      <c r="IH249" s="309"/>
      <c r="II249" s="309"/>
      <c r="IJ249" s="309"/>
      <c r="IK249" s="309"/>
      <c r="IL249" s="309"/>
      <c r="IM249" s="309"/>
      <c r="IN249" s="309"/>
      <c r="IO249" s="309"/>
      <c r="IP249" s="309"/>
      <c r="IQ249" s="309"/>
      <c r="IR249" s="309"/>
      <c r="IS249" s="309"/>
      <c r="IT249" s="309"/>
      <c r="IU249" s="309"/>
      <c r="IV249" s="309"/>
      <c r="IW249" s="309"/>
      <c r="IX249" s="309"/>
      <c r="IY249" s="309"/>
      <c r="IZ249" s="309"/>
      <c r="JA249" s="309"/>
      <c r="JB249" s="309"/>
      <c r="JC249" s="309"/>
      <c r="JD249" s="309"/>
      <c r="JE249" s="309"/>
      <c r="JF249" s="309"/>
      <c r="JG249" s="309"/>
      <c r="JH249" s="309"/>
      <c r="JI249" s="309"/>
      <c r="JJ249" s="309"/>
      <c r="JK249" s="309"/>
      <c r="JL249" s="309"/>
      <c r="JM249" s="309"/>
      <c r="JN249" s="309"/>
      <c r="JO249" s="309"/>
      <c r="JP249" s="309"/>
      <c r="JQ249" s="309"/>
      <c r="JR249" s="309"/>
      <c r="JS249" s="309"/>
      <c r="JT249" s="309"/>
      <c r="JU249" s="309"/>
      <c r="JV249" s="309"/>
      <c r="JW249" s="309"/>
      <c r="JX249" s="309"/>
      <c r="JY249" s="309"/>
      <c r="JZ249" s="309"/>
      <c r="KA249" s="309"/>
      <c r="KB249" s="309"/>
      <c r="KC249" s="309"/>
      <c r="KD249" s="309"/>
      <c r="KE249" s="309"/>
      <c r="KF249" s="309"/>
      <c r="KG249" s="309"/>
      <c r="KH249" s="309"/>
      <c r="KI249" s="309"/>
      <c r="KJ249" s="309"/>
      <c r="KK249" s="309"/>
      <c r="KL249" s="309"/>
      <c r="KM249" s="309"/>
      <c r="KN249" s="309"/>
      <c r="KO249" s="309"/>
      <c r="KP249" s="309"/>
      <c r="KQ249" s="309"/>
      <c r="KR249" s="309"/>
      <c r="KS249" s="309"/>
      <c r="KT249" s="309"/>
      <c r="KU249" s="309"/>
      <c r="KV249" s="309"/>
      <c r="KW249" s="309"/>
      <c r="KX249" s="309"/>
      <c r="KY249" s="309"/>
      <c r="KZ249" s="309"/>
      <c r="LA249" s="309"/>
      <c r="LB249" s="309"/>
      <c r="LC249" s="309"/>
      <c r="LD249" s="309"/>
      <c r="LE249" s="309"/>
      <c r="LF249" s="309"/>
      <c r="LG249" s="309"/>
      <c r="LH249" s="309"/>
      <c r="LI249" s="309"/>
      <c r="LJ249" s="309"/>
      <c r="LK249" s="309"/>
      <c r="LL249" s="309"/>
      <c r="LM249" s="309"/>
      <c r="LN249" s="309"/>
      <c r="LO249" s="309"/>
      <c r="LP249" s="309"/>
      <c r="LQ249" s="309"/>
      <c r="LR249" s="309"/>
      <c r="LS249" s="309"/>
      <c r="LT249" s="309"/>
      <c r="LU249" s="309"/>
      <c r="LV249" s="309"/>
      <c r="LW249" s="309"/>
      <c r="LX249" s="309"/>
      <c r="LY249" s="309"/>
      <c r="LZ249" s="309"/>
      <c r="MA249" s="309"/>
      <c r="MB249" s="309"/>
      <c r="MC249" s="309"/>
      <c r="MD249" s="309"/>
      <c r="ME249" s="309"/>
      <c r="MF249" s="309"/>
      <c r="MG249" s="309"/>
      <c r="MH249" s="309"/>
      <c r="MI249" s="309"/>
      <c r="MJ249" s="309"/>
      <c r="MK249" s="309"/>
      <c r="ML249" s="309"/>
      <c r="MM249" s="309"/>
      <c r="MN249" s="309"/>
      <c r="MO249" s="309"/>
      <c r="MP249" s="309"/>
      <c r="MQ249" s="309"/>
      <c r="MR249" s="309"/>
      <c r="MS249" s="309"/>
      <c r="MT249" s="309"/>
      <c r="MU249" s="309"/>
      <c r="MV249" s="309"/>
      <c r="MW249" s="309"/>
      <c r="MX249" s="309"/>
      <c r="MY249" s="309"/>
      <c r="MZ249" s="309"/>
      <c r="NA249" s="309"/>
      <c r="NB249" s="309"/>
      <c r="NC249" s="309"/>
      <c r="ND249" s="309"/>
      <c r="NE249" s="309"/>
      <c r="NF249" s="309"/>
      <c r="NG249" s="309"/>
      <c r="NH249" s="309"/>
      <c r="NI249" s="309"/>
      <c r="NJ249" s="309"/>
      <c r="NK249" s="309"/>
      <c r="NL249" s="309"/>
      <c r="NM249" s="309"/>
      <c r="NN249" s="309"/>
      <c r="NO249" s="309"/>
      <c r="NP249" s="309"/>
      <c r="NQ249" s="309"/>
      <c r="NR249" s="309"/>
      <c r="NS249" s="309"/>
      <c r="NT249" s="309"/>
      <c r="NU249" s="309"/>
      <c r="NV249" s="309"/>
      <c r="NW249" s="309"/>
      <c r="NX249" s="309"/>
      <c r="NY249" s="309"/>
      <c r="NZ249" s="309"/>
      <c r="OA249" s="309"/>
      <c r="OB249" s="309"/>
      <c r="OC249" s="309"/>
      <c r="OD249" s="309"/>
      <c r="OE249" s="309"/>
      <c r="OF249" s="309"/>
      <c r="OG249" s="309"/>
      <c r="OH249" s="309"/>
      <c r="OI249" s="309"/>
      <c r="OJ249" s="309"/>
      <c r="OK249" s="309"/>
      <c r="OL249" s="309"/>
      <c r="OM249" s="309"/>
      <c r="ON249" s="309"/>
      <c r="OO249" s="309"/>
      <c r="OP249" s="309"/>
      <c r="OQ249" s="309"/>
      <c r="OR249" s="309"/>
      <c r="OS249" s="309"/>
      <c r="OT249" s="309"/>
      <c r="OU249" s="309"/>
      <c r="OV249" s="309"/>
      <c r="OW249" s="309"/>
      <c r="OX249" s="309"/>
      <c r="OY249" s="309"/>
      <c r="OZ249" s="309"/>
      <c r="PA249" s="309"/>
      <c r="PB249" s="309"/>
      <c r="PC249" s="309"/>
      <c r="PD249" s="309"/>
      <c r="PE249" s="309"/>
      <c r="PF249" s="309"/>
      <c r="PG249" s="309"/>
      <c r="PH249" s="309"/>
      <c r="PI249" s="309"/>
      <c r="PJ249" s="309"/>
      <c r="PK249" s="309"/>
      <c r="PL249" s="309"/>
      <c r="PM249" s="309"/>
      <c r="PN249" s="309"/>
      <c r="PO249" s="309"/>
      <c r="PP249" s="309"/>
      <c r="PQ249" s="309"/>
      <c r="PR249" s="309"/>
      <c r="PS249" s="309"/>
      <c r="PT249" s="309"/>
      <c r="PU249" s="309"/>
      <c r="PV249" s="309"/>
      <c r="PW249" s="309"/>
      <c r="PX249" s="309"/>
      <c r="PY249" s="309"/>
      <c r="PZ249" s="309"/>
      <c r="QA249" s="309"/>
      <c r="QB249" s="309"/>
      <c r="QC249" s="309"/>
      <c r="QD249" s="309"/>
      <c r="QE249" s="309"/>
      <c r="QF249" s="309"/>
      <c r="QG249" s="309"/>
      <c r="QH249" s="309"/>
      <c r="QI249" s="309"/>
      <c r="QJ249" s="309"/>
      <c r="QK249" s="309"/>
      <c r="QL249" s="309"/>
      <c r="QM249" s="309"/>
      <c r="QN249" s="309"/>
      <c r="QO249" s="309"/>
      <c r="QP249" s="309"/>
      <c r="QQ249" s="309"/>
      <c r="QR249" s="309"/>
      <c r="QS249" s="309"/>
      <c r="QT249" s="309"/>
      <c r="QU249" s="309"/>
      <c r="QV249" s="309"/>
      <c r="QW249" s="309"/>
      <c r="QX249" s="309"/>
      <c r="QY249" s="309"/>
      <c r="QZ249" s="309"/>
      <c r="RA249" s="309"/>
      <c r="RB249" s="309"/>
      <c r="RC249" s="309"/>
      <c r="RD249" s="309"/>
      <c r="RE249" s="309"/>
      <c r="RF249" s="309"/>
      <c r="RG249" s="309"/>
      <c r="RH249" s="309"/>
      <c r="RI249" s="309"/>
      <c r="RJ249" s="309"/>
      <c r="RK249" s="309"/>
      <c r="RL249" s="309"/>
      <c r="RM249" s="309"/>
      <c r="RN249" s="309"/>
      <c r="RO249" s="309"/>
      <c r="RP249" s="309"/>
      <c r="RQ249" s="309"/>
      <c r="RR249" s="309"/>
      <c r="RS249" s="309"/>
      <c r="RT249" s="309"/>
      <c r="RU249" s="309"/>
      <c r="RV249" s="309"/>
      <c r="RW249" s="309"/>
      <c r="RX249" s="309"/>
      <c r="RY249" s="309"/>
      <c r="RZ249" s="309"/>
      <c r="SA249" s="309"/>
      <c r="SB249" s="309"/>
      <c r="SC249" s="309"/>
      <c r="SD249" s="309"/>
      <c r="SE249" s="309"/>
      <c r="SF249" s="309"/>
      <c r="SG249" s="309"/>
      <c r="SH249" s="309"/>
      <c r="SI249" s="309"/>
      <c r="SJ249" s="309"/>
      <c r="SK249" s="309"/>
      <c r="SL249" s="309"/>
      <c r="SM249" s="309"/>
      <c r="SN249" s="309"/>
      <c r="SO249" s="309"/>
      <c r="SP249" s="309"/>
      <c r="SQ249" s="309"/>
      <c r="SR249" s="309"/>
      <c r="SS249" s="309"/>
      <c r="ST249" s="309"/>
      <c r="SU249" s="309"/>
      <c r="SV249" s="309"/>
      <c r="SW249" s="309"/>
      <c r="SX249" s="309"/>
      <c r="SY249" s="309"/>
      <c r="SZ249" s="309"/>
      <c r="TA249" s="309"/>
      <c r="TB249" s="309"/>
      <c r="TC249" s="309"/>
      <c r="TD249" s="309"/>
      <c r="TE249" s="309"/>
      <c r="TF249" s="309"/>
      <c r="TG249" s="309"/>
      <c r="TH249" s="309"/>
      <c r="TI249" s="309"/>
      <c r="TJ249" s="309"/>
      <c r="TK249" s="309"/>
      <c r="TL249" s="309"/>
      <c r="TM249" s="309"/>
      <c r="TN249" s="309"/>
      <c r="TO249" s="309"/>
      <c r="TP249" s="309"/>
      <c r="TQ249" s="309"/>
      <c r="TR249" s="309"/>
      <c r="TS249" s="309"/>
      <c r="TT249" s="309"/>
      <c r="TU249" s="309"/>
      <c r="TV249" s="309"/>
      <c r="TW249" s="309"/>
      <c r="TX249" s="309"/>
      <c r="TY249" s="309"/>
      <c r="TZ249" s="309"/>
      <c r="UA249" s="309"/>
      <c r="UB249" s="309"/>
      <c r="UC249" s="309"/>
      <c r="UD249" s="309"/>
      <c r="UE249" s="309"/>
      <c r="UF249" s="309"/>
      <c r="UG249" s="309"/>
      <c r="UH249" s="309"/>
      <c r="UI249" s="309"/>
      <c r="UJ249" s="309"/>
      <c r="UK249" s="309"/>
      <c r="UL249" s="309"/>
      <c r="UM249" s="309"/>
      <c r="UN249" s="309"/>
      <c r="UO249" s="309"/>
      <c r="UP249" s="309"/>
      <c r="UQ249" s="309"/>
      <c r="UR249" s="309"/>
      <c r="US249" s="309"/>
      <c r="UT249" s="309"/>
      <c r="UU249" s="309"/>
      <c r="UV249" s="309"/>
      <c r="UW249" s="309"/>
      <c r="UX249" s="309"/>
      <c r="UY249" s="309"/>
      <c r="UZ249" s="309"/>
      <c r="VA249" s="309"/>
      <c r="VB249" s="309"/>
      <c r="VC249" s="309"/>
      <c r="VD249" s="309"/>
      <c r="VE249" s="309"/>
      <c r="VF249" s="309"/>
      <c r="VG249" s="309"/>
      <c r="VH249" s="309"/>
      <c r="VI249" s="309"/>
      <c r="VJ249" s="309"/>
      <c r="VK249" s="309"/>
      <c r="VL249" s="309"/>
      <c r="VM249" s="309"/>
      <c r="VN249" s="309"/>
      <c r="VO249" s="309"/>
      <c r="VP249" s="309"/>
      <c r="VQ249" s="309"/>
      <c r="VR249" s="309"/>
      <c r="VS249" s="309"/>
      <c r="VT249" s="309"/>
      <c r="VU249" s="309"/>
      <c r="VV249" s="309"/>
      <c r="VW249" s="309"/>
      <c r="VX249" s="309"/>
      <c r="VY249" s="309"/>
      <c r="VZ249" s="309"/>
      <c r="WA249" s="309"/>
      <c r="WB249" s="309"/>
      <c r="WC249" s="309"/>
      <c r="WD249" s="309"/>
      <c r="WE249" s="309"/>
      <c r="WF249" s="309"/>
      <c r="WG249" s="309"/>
      <c r="WH249" s="309"/>
      <c r="WI249" s="309"/>
      <c r="WJ249" s="309"/>
      <c r="WK249" s="309"/>
      <c r="WL249" s="309"/>
      <c r="WM249" s="309"/>
      <c r="WN249" s="309"/>
      <c r="WO249" s="309"/>
      <c r="WP249" s="309"/>
      <c r="WQ249" s="309"/>
      <c r="WR249" s="309"/>
      <c r="WS249" s="309"/>
      <c r="WT249" s="309"/>
      <c r="WU249" s="309"/>
      <c r="WV249" s="309"/>
      <c r="WW249" s="309"/>
      <c r="WX249" s="309"/>
      <c r="WY249" s="309"/>
      <c r="WZ249" s="309"/>
      <c r="XA249" s="309"/>
      <c r="XB249" s="309"/>
      <c r="XC249" s="309"/>
      <c r="XD249" s="309"/>
      <c r="XE249" s="309"/>
      <c r="XF249" s="309"/>
      <c r="XG249" s="309"/>
      <c r="XH249" s="309"/>
      <c r="XI249" s="309"/>
      <c r="XJ249" s="309"/>
      <c r="XK249" s="309"/>
      <c r="XL249" s="309"/>
      <c r="XM249" s="309"/>
      <c r="XN249" s="309"/>
      <c r="XO249" s="309"/>
      <c r="XP249" s="309"/>
      <c r="XQ249" s="309"/>
      <c r="XR249" s="309"/>
      <c r="XS249" s="309"/>
      <c r="XT249" s="309"/>
      <c r="XU249" s="309"/>
      <c r="XV249" s="309"/>
      <c r="XW249" s="309"/>
      <c r="XX249" s="309"/>
      <c r="XY249" s="309"/>
      <c r="XZ249" s="309"/>
      <c r="YA249" s="309"/>
      <c r="YB249" s="309"/>
      <c r="YC249" s="309"/>
      <c r="YD249" s="309"/>
      <c r="YE249" s="309"/>
      <c r="YF249" s="309"/>
      <c r="YG249" s="309"/>
      <c r="YH249" s="309"/>
      <c r="YI249" s="309"/>
      <c r="YJ249" s="309"/>
      <c r="YK249" s="309"/>
      <c r="YL249" s="309"/>
      <c r="YM249" s="309"/>
      <c r="YN249" s="309"/>
      <c r="YO249" s="309"/>
      <c r="YP249" s="309"/>
      <c r="YQ249" s="309"/>
      <c r="YR249" s="309"/>
      <c r="YS249" s="309"/>
      <c r="YT249" s="309"/>
      <c r="YU249" s="309"/>
      <c r="YV249" s="309"/>
      <c r="YW249" s="309"/>
      <c r="YX249" s="309"/>
      <c r="YY249" s="309"/>
      <c r="YZ249" s="309"/>
      <c r="ZA249" s="309"/>
      <c r="ZB249" s="309"/>
      <c r="ZC249" s="309"/>
      <c r="ZD249" s="309"/>
      <c r="ZE249" s="309"/>
      <c r="ZF249" s="309"/>
      <c r="ZG249" s="309"/>
      <c r="ZH249" s="309"/>
      <c r="ZI249" s="309"/>
      <c r="ZJ249" s="309"/>
    </row>
    <row r="250" spans="1:686" s="308" customFormat="1" x14ac:dyDescent="0.3">
      <c r="E250" s="337"/>
      <c r="F250" s="337"/>
      <c r="G250" s="171"/>
      <c r="H250" s="1"/>
      <c r="Y250" s="309"/>
      <c r="Z250" s="309"/>
      <c r="AA250" s="309"/>
      <c r="AB250" s="309"/>
      <c r="AC250" s="309"/>
      <c r="AD250" s="309"/>
      <c r="AE250" s="309"/>
      <c r="AF250" s="309"/>
      <c r="AG250" s="309"/>
      <c r="AH250" s="309"/>
      <c r="AI250" s="309"/>
      <c r="AJ250" s="309"/>
      <c r="AK250" s="309"/>
      <c r="AL250" s="309"/>
      <c r="AM250" s="309"/>
      <c r="AN250" s="309"/>
      <c r="AO250" s="309"/>
      <c r="AP250" s="309"/>
      <c r="AQ250" s="309"/>
      <c r="AR250" s="309"/>
      <c r="AS250" s="309"/>
      <c r="AT250" s="309"/>
      <c r="AU250" s="309"/>
      <c r="AV250" s="309"/>
      <c r="AW250" s="309"/>
      <c r="AX250" s="309"/>
      <c r="AY250" s="309"/>
      <c r="AZ250" s="309"/>
      <c r="BA250" s="309"/>
      <c r="BB250" s="309"/>
      <c r="BC250" s="309"/>
      <c r="BD250" s="309"/>
      <c r="BE250" s="309"/>
      <c r="BF250" s="309"/>
      <c r="BG250" s="309"/>
      <c r="BH250" s="309"/>
      <c r="BI250" s="309"/>
      <c r="BJ250" s="309"/>
      <c r="BK250" s="309"/>
      <c r="BL250" s="309"/>
      <c r="BM250" s="309"/>
      <c r="BN250" s="309"/>
      <c r="BO250" s="309"/>
      <c r="BP250" s="309"/>
      <c r="BQ250" s="309"/>
      <c r="BR250" s="309"/>
      <c r="BS250" s="309"/>
      <c r="BT250" s="309"/>
      <c r="BU250" s="309"/>
      <c r="BV250" s="309"/>
      <c r="BW250" s="309"/>
      <c r="BX250" s="309"/>
      <c r="BY250" s="309"/>
      <c r="BZ250" s="309"/>
      <c r="CA250" s="309"/>
      <c r="CB250" s="309"/>
      <c r="CC250" s="309"/>
      <c r="CD250" s="309"/>
      <c r="CE250" s="309"/>
      <c r="CF250" s="309"/>
      <c r="CG250" s="309"/>
      <c r="CH250" s="309"/>
      <c r="CI250" s="309"/>
      <c r="CJ250" s="309"/>
      <c r="CK250" s="309"/>
      <c r="CL250" s="309"/>
      <c r="CM250" s="309"/>
      <c r="CN250" s="309"/>
      <c r="CO250" s="309"/>
      <c r="CP250" s="309"/>
      <c r="CQ250" s="309"/>
      <c r="CR250" s="309"/>
      <c r="CS250" s="309"/>
      <c r="CT250" s="309"/>
      <c r="CU250" s="309"/>
      <c r="CV250" s="309"/>
      <c r="CW250" s="309"/>
      <c r="CX250" s="309"/>
      <c r="CY250" s="309"/>
      <c r="CZ250" s="309"/>
      <c r="DA250" s="309"/>
      <c r="DB250" s="309"/>
      <c r="DC250" s="309"/>
      <c r="DD250" s="309"/>
      <c r="DE250" s="309"/>
      <c r="DF250" s="309"/>
      <c r="DG250" s="309"/>
      <c r="DH250" s="309"/>
      <c r="DI250" s="309"/>
      <c r="DJ250" s="309"/>
      <c r="DK250" s="309"/>
      <c r="DL250" s="309"/>
      <c r="DM250" s="309"/>
      <c r="DN250" s="309"/>
      <c r="DO250" s="309"/>
      <c r="DP250" s="309"/>
      <c r="DQ250" s="309"/>
      <c r="DR250" s="309"/>
      <c r="DS250" s="309"/>
      <c r="DT250" s="309"/>
      <c r="DU250" s="309"/>
      <c r="DV250" s="309"/>
      <c r="DW250" s="309"/>
      <c r="DX250" s="309"/>
      <c r="DY250" s="309"/>
      <c r="DZ250" s="309"/>
      <c r="EA250" s="309"/>
      <c r="EB250" s="309"/>
      <c r="EC250" s="309"/>
      <c r="ED250" s="309"/>
      <c r="EE250" s="309"/>
      <c r="EF250" s="309"/>
      <c r="EG250" s="309"/>
      <c r="EH250" s="309"/>
      <c r="EI250" s="309"/>
      <c r="EJ250" s="309"/>
      <c r="EK250" s="309"/>
      <c r="EL250" s="309"/>
      <c r="EM250" s="309"/>
      <c r="EN250" s="309"/>
      <c r="EO250" s="309"/>
      <c r="EP250" s="309"/>
      <c r="EQ250" s="309"/>
      <c r="ER250" s="309"/>
      <c r="ES250" s="309"/>
      <c r="ET250" s="309"/>
      <c r="EU250" s="309"/>
      <c r="EV250" s="309"/>
      <c r="EW250" s="309"/>
      <c r="EX250" s="309"/>
      <c r="EY250" s="309"/>
      <c r="EZ250" s="309"/>
      <c r="FA250" s="309"/>
      <c r="FB250" s="309"/>
      <c r="FC250" s="309"/>
      <c r="FD250" s="309"/>
      <c r="FE250" s="309"/>
      <c r="FF250" s="309"/>
      <c r="FG250" s="309"/>
      <c r="FH250" s="309"/>
      <c r="FI250" s="309"/>
      <c r="FJ250" s="309"/>
      <c r="FK250" s="309"/>
      <c r="FL250" s="309"/>
      <c r="FM250" s="309"/>
      <c r="FN250" s="309"/>
      <c r="FO250" s="309"/>
      <c r="FP250" s="309"/>
      <c r="FQ250" s="309"/>
      <c r="FR250" s="309"/>
      <c r="FS250" s="309"/>
      <c r="FT250" s="309"/>
      <c r="FU250" s="309"/>
      <c r="FV250" s="309"/>
      <c r="FW250" s="309"/>
      <c r="FX250" s="309"/>
      <c r="FY250" s="309"/>
      <c r="FZ250" s="309"/>
      <c r="GA250" s="309"/>
      <c r="GB250" s="309"/>
      <c r="GC250" s="309"/>
      <c r="GD250" s="309"/>
      <c r="GE250" s="309"/>
      <c r="GF250" s="309"/>
      <c r="GG250" s="309"/>
      <c r="GH250" s="309"/>
      <c r="GI250" s="309"/>
      <c r="GJ250" s="309"/>
      <c r="GK250" s="309"/>
      <c r="GL250" s="309"/>
      <c r="GM250" s="309"/>
      <c r="GN250" s="309"/>
      <c r="GO250" s="309"/>
      <c r="GP250" s="309"/>
      <c r="GQ250" s="309"/>
      <c r="GR250" s="309"/>
      <c r="GS250" s="309"/>
      <c r="GT250" s="309"/>
      <c r="GU250" s="309"/>
      <c r="GV250" s="309"/>
      <c r="GW250" s="309"/>
      <c r="GX250" s="309"/>
      <c r="GY250" s="309"/>
      <c r="GZ250" s="309"/>
      <c r="HA250" s="309"/>
      <c r="HB250" s="309"/>
      <c r="HC250" s="309"/>
      <c r="HD250" s="309"/>
      <c r="HE250" s="309"/>
      <c r="HF250" s="309"/>
      <c r="HG250" s="309"/>
      <c r="HH250" s="309"/>
      <c r="HI250" s="309"/>
      <c r="HJ250" s="309"/>
      <c r="HK250" s="309"/>
      <c r="HL250" s="309"/>
      <c r="HM250" s="309"/>
      <c r="HN250" s="309"/>
      <c r="HO250" s="309"/>
      <c r="HP250" s="309"/>
      <c r="HQ250" s="309"/>
      <c r="HR250" s="309"/>
      <c r="HS250" s="309"/>
      <c r="HT250" s="309"/>
      <c r="HU250" s="309"/>
      <c r="HV250" s="309"/>
      <c r="HW250" s="309"/>
      <c r="HX250" s="309"/>
      <c r="HY250" s="309"/>
      <c r="HZ250" s="309"/>
      <c r="IA250" s="309"/>
      <c r="IB250" s="309"/>
      <c r="IC250" s="309"/>
      <c r="ID250" s="309"/>
      <c r="IE250" s="309"/>
      <c r="IF250" s="309"/>
      <c r="IG250" s="309"/>
      <c r="IH250" s="309"/>
      <c r="II250" s="309"/>
      <c r="IJ250" s="309"/>
      <c r="IK250" s="309"/>
      <c r="IL250" s="309"/>
      <c r="IM250" s="309"/>
      <c r="IN250" s="309"/>
      <c r="IO250" s="309"/>
      <c r="IP250" s="309"/>
      <c r="IQ250" s="309"/>
      <c r="IR250" s="309"/>
      <c r="IS250" s="309"/>
      <c r="IT250" s="309"/>
      <c r="IU250" s="309"/>
      <c r="IV250" s="309"/>
      <c r="IW250" s="309"/>
      <c r="IX250" s="309"/>
      <c r="IY250" s="309"/>
      <c r="IZ250" s="309"/>
      <c r="JA250" s="309"/>
      <c r="JB250" s="309"/>
      <c r="JC250" s="309"/>
      <c r="JD250" s="309"/>
      <c r="JE250" s="309"/>
      <c r="JF250" s="309"/>
      <c r="JG250" s="309"/>
      <c r="JH250" s="309"/>
      <c r="JI250" s="309"/>
      <c r="JJ250" s="309"/>
      <c r="JK250" s="309"/>
      <c r="JL250" s="309"/>
      <c r="JM250" s="309"/>
      <c r="JN250" s="309"/>
      <c r="JO250" s="309"/>
      <c r="JP250" s="309"/>
      <c r="JQ250" s="309"/>
      <c r="JR250" s="309"/>
      <c r="JS250" s="309"/>
      <c r="JT250" s="309"/>
      <c r="JU250" s="309"/>
      <c r="JV250" s="309"/>
      <c r="JW250" s="309"/>
      <c r="JX250" s="309"/>
      <c r="JY250" s="309"/>
      <c r="JZ250" s="309"/>
      <c r="KA250" s="309"/>
      <c r="KB250" s="309"/>
      <c r="KC250" s="309"/>
      <c r="KD250" s="309"/>
      <c r="KE250" s="309"/>
      <c r="KF250" s="309"/>
      <c r="KG250" s="309"/>
      <c r="KH250" s="309"/>
      <c r="KI250" s="309"/>
      <c r="KJ250" s="309"/>
      <c r="KK250" s="309"/>
      <c r="KL250" s="309"/>
      <c r="KM250" s="309"/>
      <c r="KN250" s="309"/>
      <c r="KO250" s="309"/>
      <c r="KP250" s="309"/>
      <c r="KQ250" s="309"/>
      <c r="KR250" s="309"/>
      <c r="KS250" s="309"/>
      <c r="KT250" s="309"/>
      <c r="KU250" s="309"/>
      <c r="KV250" s="309"/>
      <c r="KW250" s="309"/>
      <c r="KX250" s="309"/>
      <c r="KY250" s="309"/>
      <c r="KZ250" s="309"/>
      <c r="LA250" s="309"/>
      <c r="LB250" s="309"/>
      <c r="LC250" s="309"/>
      <c r="LD250" s="309"/>
      <c r="LE250" s="309"/>
      <c r="LF250" s="309"/>
      <c r="LG250" s="309"/>
      <c r="LH250" s="309"/>
      <c r="LI250" s="309"/>
      <c r="LJ250" s="309"/>
      <c r="LK250" s="309"/>
      <c r="LL250" s="309"/>
      <c r="LM250" s="309"/>
      <c r="LN250" s="309"/>
      <c r="LO250" s="309"/>
      <c r="LP250" s="309"/>
      <c r="LQ250" s="309"/>
      <c r="LR250" s="309"/>
      <c r="LS250" s="309"/>
      <c r="LT250" s="309"/>
      <c r="LU250" s="309"/>
      <c r="LV250" s="309"/>
      <c r="LW250" s="309"/>
      <c r="LX250" s="309"/>
      <c r="LY250" s="309"/>
      <c r="LZ250" s="309"/>
      <c r="MA250" s="309"/>
      <c r="MB250" s="309"/>
      <c r="MC250" s="309"/>
      <c r="MD250" s="309"/>
      <c r="ME250" s="309"/>
      <c r="MF250" s="309"/>
      <c r="MG250" s="309"/>
      <c r="MH250" s="309"/>
      <c r="MI250" s="309"/>
      <c r="MJ250" s="309"/>
      <c r="MK250" s="309"/>
      <c r="ML250" s="309"/>
      <c r="MM250" s="309"/>
      <c r="MN250" s="309"/>
      <c r="MO250" s="309"/>
      <c r="MP250" s="309"/>
      <c r="MQ250" s="309"/>
      <c r="MR250" s="309"/>
      <c r="MS250" s="309"/>
      <c r="MT250" s="309"/>
      <c r="MU250" s="309"/>
      <c r="MV250" s="309"/>
      <c r="MW250" s="309"/>
      <c r="MX250" s="309"/>
      <c r="MY250" s="309"/>
      <c r="MZ250" s="309"/>
      <c r="NA250" s="309"/>
      <c r="NB250" s="309"/>
      <c r="NC250" s="309"/>
      <c r="ND250" s="309"/>
      <c r="NE250" s="309"/>
      <c r="NF250" s="309"/>
      <c r="NG250" s="309"/>
      <c r="NH250" s="309"/>
      <c r="NI250" s="309"/>
      <c r="NJ250" s="309"/>
      <c r="NK250" s="309"/>
      <c r="NL250" s="309"/>
      <c r="NM250" s="309"/>
      <c r="NN250" s="309"/>
      <c r="NO250" s="309"/>
      <c r="NP250" s="309"/>
      <c r="NQ250" s="309"/>
      <c r="NR250" s="309"/>
      <c r="NS250" s="309"/>
      <c r="NT250" s="309"/>
      <c r="NU250" s="309"/>
      <c r="NV250" s="309"/>
      <c r="NW250" s="309"/>
      <c r="NX250" s="309"/>
      <c r="NY250" s="309"/>
      <c r="NZ250" s="309"/>
      <c r="OA250" s="309"/>
      <c r="OB250" s="309"/>
      <c r="OC250" s="309"/>
      <c r="OD250" s="309"/>
      <c r="OE250" s="309"/>
      <c r="OF250" s="309"/>
      <c r="OG250" s="309"/>
      <c r="OH250" s="309"/>
      <c r="OI250" s="309"/>
      <c r="OJ250" s="309"/>
      <c r="OK250" s="309"/>
      <c r="OL250" s="309"/>
      <c r="OM250" s="309"/>
      <c r="ON250" s="309"/>
      <c r="OO250" s="309"/>
      <c r="OP250" s="309"/>
      <c r="OQ250" s="309"/>
      <c r="OR250" s="309"/>
      <c r="OS250" s="309"/>
      <c r="OT250" s="309"/>
      <c r="OU250" s="309"/>
      <c r="OV250" s="309"/>
      <c r="OW250" s="309"/>
      <c r="OX250" s="309"/>
      <c r="OY250" s="309"/>
      <c r="OZ250" s="309"/>
      <c r="PA250" s="309"/>
      <c r="PB250" s="309"/>
      <c r="PC250" s="309"/>
      <c r="PD250" s="309"/>
      <c r="PE250" s="309"/>
      <c r="PF250" s="309"/>
      <c r="PG250" s="309"/>
      <c r="PH250" s="309"/>
      <c r="PI250" s="309"/>
      <c r="PJ250" s="309"/>
      <c r="PK250" s="309"/>
      <c r="PL250" s="309"/>
      <c r="PM250" s="309"/>
      <c r="PN250" s="309"/>
      <c r="PO250" s="309"/>
      <c r="PP250" s="309"/>
      <c r="PQ250" s="309"/>
      <c r="PR250" s="309"/>
      <c r="PS250" s="309"/>
      <c r="PT250" s="309"/>
      <c r="PU250" s="309"/>
      <c r="PV250" s="309"/>
      <c r="PW250" s="309"/>
      <c r="PX250" s="309"/>
      <c r="PY250" s="309"/>
      <c r="PZ250" s="309"/>
      <c r="QA250" s="309"/>
      <c r="QB250" s="309"/>
      <c r="QC250" s="309"/>
      <c r="QD250" s="309"/>
      <c r="QE250" s="309"/>
      <c r="QF250" s="309"/>
      <c r="QG250" s="309"/>
      <c r="QH250" s="309"/>
      <c r="QI250" s="309"/>
      <c r="QJ250" s="309"/>
      <c r="QK250" s="309"/>
      <c r="QL250" s="309"/>
      <c r="QM250" s="309"/>
      <c r="QN250" s="309"/>
      <c r="QO250" s="309"/>
      <c r="QP250" s="309"/>
      <c r="QQ250" s="309"/>
      <c r="QR250" s="309"/>
      <c r="QS250" s="309"/>
      <c r="QT250" s="309"/>
      <c r="QU250" s="309"/>
      <c r="QV250" s="309"/>
      <c r="QW250" s="309"/>
      <c r="QX250" s="309"/>
      <c r="QY250" s="309"/>
      <c r="QZ250" s="309"/>
      <c r="RA250" s="309"/>
      <c r="RB250" s="309"/>
      <c r="RC250" s="309"/>
      <c r="RD250" s="309"/>
      <c r="RE250" s="309"/>
      <c r="RF250" s="309"/>
      <c r="RG250" s="309"/>
      <c r="RH250" s="309"/>
      <c r="RI250" s="309"/>
      <c r="RJ250" s="309"/>
      <c r="RK250" s="309"/>
      <c r="RL250" s="309"/>
      <c r="RM250" s="309"/>
      <c r="RN250" s="309"/>
      <c r="RO250" s="309"/>
      <c r="RP250" s="309"/>
      <c r="RQ250" s="309"/>
      <c r="RR250" s="309"/>
      <c r="RS250" s="309"/>
      <c r="RT250" s="309"/>
      <c r="RU250" s="309"/>
      <c r="RV250" s="309"/>
      <c r="RW250" s="309"/>
      <c r="RX250" s="309"/>
      <c r="RY250" s="309"/>
      <c r="RZ250" s="309"/>
      <c r="SA250" s="309"/>
      <c r="SB250" s="309"/>
      <c r="SC250" s="309"/>
      <c r="SD250" s="309"/>
      <c r="SE250" s="309"/>
      <c r="SF250" s="309"/>
      <c r="SG250" s="309"/>
      <c r="SH250" s="309"/>
      <c r="SI250" s="309"/>
      <c r="SJ250" s="309"/>
      <c r="SK250" s="309"/>
      <c r="SL250" s="309"/>
      <c r="SM250" s="309"/>
      <c r="SN250" s="309"/>
      <c r="SO250" s="309"/>
      <c r="SP250" s="309"/>
      <c r="SQ250" s="309"/>
      <c r="SR250" s="309"/>
      <c r="SS250" s="309"/>
      <c r="ST250" s="309"/>
      <c r="SU250" s="309"/>
      <c r="SV250" s="309"/>
      <c r="SW250" s="309"/>
      <c r="SX250" s="309"/>
      <c r="SY250" s="309"/>
      <c r="SZ250" s="309"/>
      <c r="TA250" s="309"/>
      <c r="TB250" s="309"/>
      <c r="TC250" s="309"/>
      <c r="TD250" s="309"/>
      <c r="TE250" s="309"/>
      <c r="TF250" s="309"/>
      <c r="TG250" s="309"/>
      <c r="TH250" s="309"/>
      <c r="TI250" s="309"/>
      <c r="TJ250" s="309"/>
      <c r="TK250" s="309"/>
      <c r="TL250" s="309"/>
      <c r="TM250" s="309"/>
      <c r="TN250" s="309"/>
      <c r="TO250" s="309"/>
      <c r="TP250" s="309"/>
      <c r="TQ250" s="309"/>
      <c r="TR250" s="309"/>
      <c r="TS250" s="309"/>
      <c r="TT250" s="309"/>
      <c r="TU250" s="309"/>
      <c r="TV250" s="309"/>
      <c r="TW250" s="309"/>
      <c r="TX250" s="309"/>
      <c r="TY250" s="309"/>
      <c r="TZ250" s="309"/>
      <c r="UA250" s="309"/>
      <c r="UB250" s="309"/>
      <c r="UC250" s="309"/>
      <c r="UD250" s="309"/>
      <c r="UE250" s="309"/>
      <c r="UF250" s="309"/>
      <c r="UG250" s="309"/>
      <c r="UH250" s="309"/>
      <c r="UI250" s="309"/>
      <c r="UJ250" s="309"/>
      <c r="UK250" s="309"/>
      <c r="UL250" s="309"/>
      <c r="UM250" s="309"/>
      <c r="UN250" s="309"/>
      <c r="UO250" s="309"/>
      <c r="UP250" s="309"/>
      <c r="UQ250" s="309"/>
      <c r="UR250" s="309"/>
      <c r="US250" s="309"/>
      <c r="UT250" s="309"/>
      <c r="UU250" s="309"/>
      <c r="UV250" s="309"/>
      <c r="UW250" s="309"/>
      <c r="UX250" s="309"/>
      <c r="UY250" s="309"/>
      <c r="UZ250" s="309"/>
      <c r="VA250" s="309"/>
      <c r="VB250" s="309"/>
      <c r="VC250" s="309"/>
      <c r="VD250" s="309"/>
      <c r="VE250" s="309"/>
      <c r="VF250" s="309"/>
      <c r="VG250" s="309"/>
      <c r="VH250" s="309"/>
      <c r="VI250" s="309"/>
      <c r="VJ250" s="309"/>
      <c r="VK250" s="309"/>
      <c r="VL250" s="309"/>
      <c r="VM250" s="309"/>
      <c r="VN250" s="309"/>
      <c r="VO250" s="309"/>
      <c r="VP250" s="309"/>
      <c r="VQ250" s="309"/>
      <c r="VR250" s="309"/>
      <c r="VS250" s="309"/>
      <c r="VT250" s="309"/>
      <c r="VU250" s="309"/>
      <c r="VV250" s="309"/>
      <c r="VW250" s="309"/>
      <c r="VX250" s="309"/>
      <c r="VY250" s="309"/>
      <c r="VZ250" s="309"/>
      <c r="WA250" s="309"/>
      <c r="WB250" s="309"/>
      <c r="WC250" s="309"/>
      <c r="WD250" s="309"/>
      <c r="WE250" s="309"/>
      <c r="WF250" s="309"/>
      <c r="WG250" s="309"/>
      <c r="WH250" s="309"/>
      <c r="WI250" s="309"/>
      <c r="WJ250" s="309"/>
      <c r="WK250" s="309"/>
      <c r="WL250" s="309"/>
      <c r="WM250" s="309"/>
      <c r="WN250" s="309"/>
      <c r="WO250" s="309"/>
      <c r="WP250" s="309"/>
      <c r="WQ250" s="309"/>
      <c r="WR250" s="309"/>
      <c r="WS250" s="309"/>
      <c r="WT250" s="309"/>
      <c r="WU250" s="309"/>
      <c r="WV250" s="309"/>
      <c r="WW250" s="309"/>
      <c r="WX250" s="309"/>
      <c r="WY250" s="309"/>
      <c r="WZ250" s="309"/>
      <c r="XA250" s="309"/>
      <c r="XB250" s="309"/>
      <c r="XC250" s="309"/>
      <c r="XD250" s="309"/>
      <c r="XE250" s="309"/>
      <c r="XF250" s="309"/>
      <c r="XG250" s="309"/>
      <c r="XH250" s="309"/>
      <c r="XI250" s="309"/>
      <c r="XJ250" s="309"/>
      <c r="XK250" s="309"/>
      <c r="XL250" s="309"/>
      <c r="XM250" s="309"/>
      <c r="XN250" s="309"/>
      <c r="XO250" s="309"/>
      <c r="XP250" s="309"/>
      <c r="XQ250" s="309"/>
      <c r="XR250" s="309"/>
      <c r="XS250" s="309"/>
      <c r="XT250" s="309"/>
      <c r="XU250" s="309"/>
      <c r="XV250" s="309"/>
      <c r="XW250" s="309"/>
      <c r="XX250" s="309"/>
      <c r="XY250" s="309"/>
      <c r="XZ250" s="309"/>
      <c r="YA250" s="309"/>
      <c r="YB250" s="309"/>
      <c r="YC250" s="309"/>
      <c r="YD250" s="309"/>
      <c r="YE250" s="309"/>
      <c r="YF250" s="309"/>
      <c r="YG250" s="309"/>
      <c r="YH250" s="309"/>
      <c r="YI250" s="309"/>
      <c r="YJ250" s="309"/>
      <c r="YK250" s="309"/>
      <c r="YL250" s="309"/>
      <c r="YM250" s="309"/>
      <c r="YN250" s="309"/>
      <c r="YO250" s="309"/>
      <c r="YP250" s="309"/>
      <c r="YQ250" s="309"/>
      <c r="YR250" s="309"/>
      <c r="YS250" s="309"/>
      <c r="YT250" s="309"/>
      <c r="YU250" s="309"/>
      <c r="YV250" s="309"/>
      <c r="YW250" s="309"/>
      <c r="YX250" s="309"/>
      <c r="YY250" s="309"/>
      <c r="YZ250" s="309"/>
      <c r="ZA250" s="309"/>
      <c r="ZB250" s="309"/>
      <c r="ZC250" s="309"/>
      <c r="ZD250" s="309"/>
      <c r="ZE250" s="309"/>
      <c r="ZF250" s="309"/>
      <c r="ZG250" s="309"/>
      <c r="ZH250" s="309"/>
      <c r="ZI250" s="309"/>
      <c r="ZJ250" s="309"/>
    </row>
    <row r="251" spans="1:686" s="308" customFormat="1" x14ac:dyDescent="0.3">
      <c r="E251" s="337"/>
      <c r="F251" s="337"/>
      <c r="G251" s="171"/>
      <c r="H251" s="1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  <c r="CF251" s="309"/>
      <c r="CG251" s="309"/>
      <c r="CH251" s="309"/>
      <c r="CI251" s="309"/>
      <c r="CJ251" s="309"/>
      <c r="CK251" s="309"/>
      <c r="CL251" s="309"/>
      <c r="CM251" s="309"/>
      <c r="CN251" s="309"/>
      <c r="CO251" s="309"/>
      <c r="CP251" s="309"/>
      <c r="CQ251" s="309"/>
      <c r="CR251" s="309"/>
      <c r="CS251" s="309"/>
      <c r="CT251" s="309"/>
      <c r="CU251" s="309"/>
      <c r="CV251" s="309"/>
      <c r="CW251" s="309"/>
      <c r="CX251" s="309"/>
      <c r="CY251" s="309"/>
      <c r="CZ251" s="309"/>
      <c r="DA251" s="309"/>
      <c r="DB251" s="309"/>
      <c r="DC251" s="309"/>
      <c r="DD251" s="309"/>
      <c r="DE251" s="309"/>
      <c r="DF251" s="309"/>
      <c r="DG251" s="309"/>
      <c r="DH251" s="309"/>
      <c r="DI251" s="309"/>
      <c r="DJ251" s="309"/>
      <c r="DK251" s="309"/>
      <c r="DL251" s="309"/>
      <c r="DM251" s="309"/>
      <c r="DN251" s="309"/>
      <c r="DO251" s="309"/>
      <c r="DP251" s="309"/>
      <c r="DQ251" s="309"/>
      <c r="DR251" s="309"/>
      <c r="DS251" s="309"/>
      <c r="DT251" s="309"/>
      <c r="DU251" s="309"/>
      <c r="DV251" s="309"/>
      <c r="DW251" s="309"/>
      <c r="DX251" s="309"/>
      <c r="DY251" s="309"/>
      <c r="DZ251" s="309"/>
      <c r="EA251" s="309"/>
      <c r="EB251" s="309"/>
      <c r="EC251" s="309"/>
      <c r="ED251" s="309"/>
      <c r="EE251" s="309"/>
      <c r="EF251" s="309"/>
      <c r="EG251" s="309"/>
      <c r="EH251" s="309"/>
      <c r="EI251" s="309"/>
      <c r="EJ251" s="309"/>
      <c r="EK251" s="309"/>
      <c r="EL251" s="309"/>
      <c r="EM251" s="309"/>
      <c r="EN251" s="309"/>
      <c r="EO251" s="309"/>
      <c r="EP251" s="309"/>
      <c r="EQ251" s="309"/>
      <c r="ER251" s="309"/>
      <c r="ES251" s="309"/>
      <c r="ET251" s="309"/>
      <c r="EU251" s="309"/>
      <c r="EV251" s="309"/>
      <c r="EW251" s="309"/>
      <c r="EX251" s="309"/>
      <c r="EY251" s="309"/>
      <c r="EZ251" s="309"/>
      <c r="FA251" s="309"/>
      <c r="FB251" s="309"/>
      <c r="FC251" s="309"/>
      <c r="FD251" s="309"/>
      <c r="FE251" s="309"/>
      <c r="FF251" s="309"/>
      <c r="FG251" s="309"/>
      <c r="FH251" s="309"/>
      <c r="FI251" s="309"/>
      <c r="FJ251" s="309"/>
      <c r="FK251" s="309"/>
      <c r="FL251" s="309"/>
      <c r="FM251" s="309"/>
      <c r="FN251" s="309"/>
      <c r="FO251" s="309"/>
      <c r="FP251" s="309"/>
      <c r="FQ251" s="309"/>
      <c r="FR251" s="309"/>
      <c r="FS251" s="309"/>
      <c r="FT251" s="309"/>
      <c r="FU251" s="309"/>
      <c r="FV251" s="309"/>
      <c r="FW251" s="309"/>
      <c r="FX251" s="309"/>
      <c r="FY251" s="309"/>
      <c r="FZ251" s="309"/>
      <c r="GA251" s="309"/>
      <c r="GB251" s="309"/>
      <c r="GC251" s="309"/>
      <c r="GD251" s="309"/>
      <c r="GE251" s="309"/>
      <c r="GF251" s="309"/>
      <c r="GG251" s="309"/>
      <c r="GH251" s="309"/>
      <c r="GI251" s="309"/>
      <c r="GJ251" s="309"/>
      <c r="GK251" s="309"/>
      <c r="GL251" s="309"/>
      <c r="GM251" s="309"/>
      <c r="GN251" s="309"/>
      <c r="GO251" s="309"/>
      <c r="GP251" s="309"/>
      <c r="GQ251" s="309"/>
      <c r="GR251" s="309"/>
      <c r="GS251" s="309"/>
      <c r="GT251" s="309"/>
      <c r="GU251" s="309"/>
      <c r="GV251" s="309"/>
      <c r="GW251" s="309"/>
      <c r="GX251" s="309"/>
      <c r="GY251" s="309"/>
      <c r="GZ251" s="309"/>
      <c r="HA251" s="309"/>
      <c r="HB251" s="309"/>
      <c r="HC251" s="309"/>
      <c r="HD251" s="309"/>
      <c r="HE251" s="309"/>
      <c r="HF251" s="309"/>
      <c r="HG251" s="309"/>
      <c r="HH251" s="309"/>
      <c r="HI251" s="309"/>
      <c r="HJ251" s="309"/>
      <c r="HK251" s="309"/>
      <c r="HL251" s="309"/>
      <c r="HM251" s="309"/>
      <c r="HN251" s="309"/>
      <c r="HO251" s="309"/>
      <c r="HP251" s="309"/>
      <c r="HQ251" s="309"/>
      <c r="HR251" s="309"/>
      <c r="HS251" s="309"/>
      <c r="HT251" s="309"/>
      <c r="HU251" s="309"/>
      <c r="HV251" s="309"/>
      <c r="HW251" s="309"/>
      <c r="HX251" s="309"/>
      <c r="HY251" s="309"/>
      <c r="HZ251" s="309"/>
      <c r="IA251" s="309"/>
      <c r="IB251" s="309"/>
      <c r="IC251" s="309"/>
      <c r="ID251" s="309"/>
      <c r="IE251" s="309"/>
      <c r="IF251" s="309"/>
      <c r="IG251" s="309"/>
      <c r="IH251" s="309"/>
      <c r="II251" s="309"/>
      <c r="IJ251" s="309"/>
      <c r="IK251" s="309"/>
      <c r="IL251" s="309"/>
      <c r="IM251" s="309"/>
      <c r="IN251" s="309"/>
      <c r="IO251" s="309"/>
      <c r="IP251" s="309"/>
      <c r="IQ251" s="309"/>
      <c r="IR251" s="309"/>
      <c r="IS251" s="309"/>
      <c r="IT251" s="309"/>
      <c r="IU251" s="309"/>
      <c r="IV251" s="309"/>
      <c r="IW251" s="309"/>
      <c r="IX251" s="309"/>
      <c r="IY251" s="309"/>
      <c r="IZ251" s="309"/>
      <c r="JA251" s="309"/>
      <c r="JB251" s="309"/>
      <c r="JC251" s="309"/>
      <c r="JD251" s="309"/>
      <c r="JE251" s="309"/>
      <c r="JF251" s="309"/>
      <c r="JG251" s="309"/>
      <c r="JH251" s="309"/>
      <c r="JI251" s="309"/>
      <c r="JJ251" s="309"/>
      <c r="JK251" s="309"/>
      <c r="JL251" s="309"/>
      <c r="JM251" s="309"/>
      <c r="JN251" s="309"/>
      <c r="JO251" s="309"/>
      <c r="JP251" s="309"/>
      <c r="JQ251" s="309"/>
      <c r="JR251" s="309"/>
      <c r="JS251" s="309"/>
      <c r="JT251" s="309"/>
      <c r="JU251" s="309"/>
      <c r="JV251" s="309"/>
      <c r="JW251" s="309"/>
      <c r="JX251" s="309"/>
      <c r="JY251" s="309"/>
      <c r="JZ251" s="309"/>
      <c r="KA251" s="309"/>
      <c r="KB251" s="309"/>
      <c r="KC251" s="309"/>
      <c r="KD251" s="309"/>
      <c r="KE251" s="309"/>
      <c r="KF251" s="309"/>
      <c r="KG251" s="309"/>
      <c r="KH251" s="309"/>
      <c r="KI251" s="309"/>
      <c r="KJ251" s="309"/>
      <c r="KK251" s="309"/>
      <c r="KL251" s="309"/>
      <c r="KM251" s="309"/>
      <c r="KN251" s="309"/>
      <c r="KO251" s="309"/>
      <c r="KP251" s="309"/>
      <c r="KQ251" s="309"/>
      <c r="KR251" s="309"/>
      <c r="KS251" s="309"/>
      <c r="KT251" s="309"/>
      <c r="KU251" s="309"/>
      <c r="KV251" s="309"/>
      <c r="KW251" s="309"/>
      <c r="KX251" s="309"/>
      <c r="KY251" s="309"/>
      <c r="KZ251" s="309"/>
      <c r="LA251" s="309"/>
      <c r="LB251" s="309"/>
      <c r="LC251" s="309"/>
      <c r="LD251" s="309"/>
      <c r="LE251" s="309"/>
      <c r="LF251" s="309"/>
      <c r="LG251" s="309"/>
      <c r="LH251" s="309"/>
      <c r="LI251" s="309"/>
      <c r="LJ251" s="309"/>
      <c r="LK251" s="309"/>
      <c r="LL251" s="309"/>
      <c r="LM251" s="309"/>
      <c r="LN251" s="309"/>
      <c r="LO251" s="309"/>
      <c r="LP251" s="309"/>
      <c r="LQ251" s="309"/>
      <c r="LR251" s="309"/>
      <c r="LS251" s="309"/>
      <c r="LT251" s="309"/>
      <c r="LU251" s="309"/>
      <c r="LV251" s="309"/>
      <c r="LW251" s="309"/>
      <c r="LX251" s="309"/>
      <c r="LY251" s="309"/>
      <c r="LZ251" s="309"/>
      <c r="MA251" s="309"/>
      <c r="MB251" s="309"/>
      <c r="MC251" s="309"/>
      <c r="MD251" s="309"/>
      <c r="ME251" s="309"/>
      <c r="MF251" s="309"/>
      <c r="MG251" s="309"/>
      <c r="MH251" s="309"/>
      <c r="MI251" s="309"/>
      <c r="MJ251" s="309"/>
      <c r="MK251" s="309"/>
      <c r="ML251" s="309"/>
      <c r="MM251" s="309"/>
      <c r="MN251" s="309"/>
      <c r="MO251" s="309"/>
      <c r="MP251" s="309"/>
      <c r="MQ251" s="309"/>
      <c r="MR251" s="309"/>
      <c r="MS251" s="309"/>
      <c r="MT251" s="309"/>
      <c r="MU251" s="309"/>
      <c r="MV251" s="309"/>
      <c r="MW251" s="309"/>
      <c r="MX251" s="309"/>
      <c r="MY251" s="309"/>
      <c r="MZ251" s="309"/>
      <c r="NA251" s="309"/>
      <c r="NB251" s="309"/>
      <c r="NC251" s="309"/>
      <c r="ND251" s="309"/>
      <c r="NE251" s="309"/>
      <c r="NF251" s="309"/>
      <c r="NG251" s="309"/>
      <c r="NH251" s="309"/>
      <c r="NI251" s="309"/>
      <c r="NJ251" s="309"/>
      <c r="NK251" s="309"/>
      <c r="NL251" s="309"/>
      <c r="NM251" s="309"/>
      <c r="NN251" s="309"/>
      <c r="NO251" s="309"/>
      <c r="NP251" s="309"/>
      <c r="NQ251" s="309"/>
      <c r="NR251" s="309"/>
      <c r="NS251" s="309"/>
      <c r="NT251" s="309"/>
      <c r="NU251" s="309"/>
      <c r="NV251" s="309"/>
      <c r="NW251" s="309"/>
      <c r="NX251" s="309"/>
      <c r="NY251" s="309"/>
      <c r="NZ251" s="309"/>
      <c r="OA251" s="309"/>
      <c r="OB251" s="309"/>
      <c r="OC251" s="309"/>
      <c r="OD251" s="309"/>
      <c r="OE251" s="309"/>
      <c r="OF251" s="309"/>
      <c r="OG251" s="309"/>
      <c r="OH251" s="309"/>
      <c r="OI251" s="309"/>
      <c r="OJ251" s="309"/>
      <c r="OK251" s="309"/>
      <c r="OL251" s="309"/>
      <c r="OM251" s="309"/>
      <c r="ON251" s="309"/>
      <c r="OO251" s="309"/>
      <c r="OP251" s="309"/>
      <c r="OQ251" s="309"/>
      <c r="OR251" s="309"/>
      <c r="OS251" s="309"/>
      <c r="OT251" s="309"/>
      <c r="OU251" s="309"/>
      <c r="OV251" s="309"/>
      <c r="OW251" s="309"/>
      <c r="OX251" s="309"/>
      <c r="OY251" s="309"/>
      <c r="OZ251" s="309"/>
      <c r="PA251" s="309"/>
      <c r="PB251" s="309"/>
      <c r="PC251" s="309"/>
      <c r="PD251" s="309"/>
      <c r="PE251" s="309"/>
      <c r="PF251" s="309"/>
      <c r="PG251" s="309"/>
      <c r="PH251" s="309"/>
      <c r="PI251" s="309"/>
      <c r="PJ251" s="309"/>
      <c r="PK251" s="309"/>
      <c r="PL251" s="309"/>
      <c r="PM251" s="309"/>
      <c r="PN251" s="309"/>
      <c r="PO251" s="309"/>
      <c r="PP251" s="309"/>
      <c r="PQ251" s="309"/>
      <c r="PR251" s="309"/>
      <c r="PS251" s="309"/>
      <c r="PT251" s="309"/>
      <c r="PU251" s="309"/>
      <c r="PV251" s="309"/>
      <c r="PW251" s="309"/>
      <c r="PX251" s="309"/>
      <c r="PY251" s="309"/>
      <c r="PZ251" s="309"/>
      <c r="QA251" s="309"/>
      <c r="QB251" s="309"/>
      <c r="QC251" s="309"/>
      <c r="QD251" s="309"/>
      <c r="QE251" s="309"/>
      <c r="QF251" s="309"/>
      <c r="QG251" s="309"/>
      <c r="QH251" s="309"/>
      <c r="QI251" s="309"/>
      <c r="QJ251" s="309"/>
      <c r="QK251" s="309"/>
      <c r="QL251" s="309"/>
      <c r="QM251" s="309"/>
      <c r="QN251" s="309"/>
      <c r="QO251" s="309"/>
      <c r="QP251" s="309"/>
      <c r="QQ251" s="309"/>
      <c r="QR251" s="309"/>
      <c r="QS251" s="309"/>
      <c r="QT251" s="309"/>
      <c r="QU251" s="309"/>
      <c r="QV251" s="309"/>
      <c r="QW251" s="309"/>
      <c r="QX251" s="309"/>
      <c r="QY251" s="309"/>
      <c r="QZ251" s="309"/>
      <c r="RA251" s="309"/>
      <c r="RB251" s="309"/>
      <c r="RC251" s="309"/>
      <c r="RD251" s="309"/>
      <c r="RE251" s="309"/>
      <c r="RF251" s="309"/>
      <c r="RG251" s="309"/>
      <c r="RH251" s="309"/>
      <c r="RI251" s="309"/>
      <c r="RJ251" s="309"/>
      <c r="RK251" s="309"/>
      <c r="RL251" s="309"/>
      <c r="RM251" s="309"/>
      <c r="RN251" s="309"/>
      <c r="RO251" s="309"/>
      <c r="RP251" s="309"/>
      <c r="RQ251" s="309"/>
      <c r="RR251" s="309"/>
      <c r="RS251" s="309"/>
      <c r="RT251" s="309"/>
      <c r="RU251" s="309"/>
      <c r="RV251" s="309"/>
      <c r="RW251" s="309"/>
      <c r="RX251" s="309"/>
      <c r="RY251" s="309"/>
      <c r="RZ251" s="309"/>
      <c r="SA251" s="309"/>
      <c r="SB251" s="309"/>
      <c r="SC251" s="309"/>
      <c r="SD251" s="309"/>
      <c r="SE251" s="309"/>
      <c r="SF251" s="309"/>
      <c r="SG251" s="309"/>
      <c r="SH251" s="309"/>
      <c r="SI251" s="309"/>
      <c r="SJ251" s="309"/>
      <c r="SK251" s="309"/>
      <c r="SL251" s="309"/>
      <c r="SM251" s="309"/>
      <c r="SN251" s="309"/>
      <c r="SO251" s="309"/>
      <c r="SP251" s="309"/>
      <c r="SQ251" s="309"/>
      <c r="SR251" s="309"/>
      <c r="SS251" s="309"/>
      <c r="ST251" s="309"/>
      <c r="SU251" s="309"/>
      <c r="SV251" s="309"/>
      <c r="SW251" s="309"/>
      <c r="SX251" s="309"/>
      <c r="SY251" s="309"/>
      <c r="SZ251" s="309"/>
      <c r="TA251" s="309"/>
      <c r="TB251" s="309"/>
      <c r="TC251" s="309"/>
      <c r="TD251" s="309"/>
      <c r="TE251" s="309"/>
      <c r="TF251" s="309"/>
      <c r="TG251" s="309"/>
      <c r="TH251" s="309"/>
      <c r="TI251" s="309"/>
      <c r="TJ251" s="309"/>
      <c r="TK251" s="309"/>
      <c r="TL251" s="309"/>
      <c r="TM251" s="309"/>
      <c r="TN251" s="309"/>
      <c r="TO251" s="309"/>
      <c r="TP251" s="309"/>
      <c r="TQ251" s="309"/>
      <c r="TR251" s="309"/>
      <c r="TS251" s="309"/>
      <c r="TT251" s="309"/>
      <c r="TU251" s="309"/>
      <c r="TV251" s="309"/>
      <c r="TW251" s="309"/>
      <c r="TX251" s="309"/>
      <c r="TY251" s="309"/>
      <c r="TZ251" s="309"/>
      <c r="UA251" s="309"/>
      <c r="UB251" s="309"/>
      <c r="UC251" s="309"/>
      <c r="UD251" s="309"/>
      <c r="UE251" s="309"/>
      <c r="UF251" s="309"/>
      <c r="UG251" s="309"/>
      <c r="UH251" s="309"/>
      <c r="UI251" s="309"/>
      <c r="UJ251" s="309"/>
      <c r="UK251" s="309"/>
      <c r="UL251" s="309"/>
      <c r="UM251" s="309"/>
      <c r="UN251" s="309"/>
      <c r="UO251" s="309"/>
      <c r="UP251" s="309"/>
      <c r="UQ251" s="309"/>
      <c r="UR251" s="309"/>
      <c r="US251" s="309"/>
      <c r="UT251" s="309"/>
      <c r="UU251" s="309"/>
      <c r="UV251" s="309"/>
      <c r="UW251" s="309"/>
      <c r="UX251" s="309"/>
      <c r="UY251" s="309"/>
      <c r="UZ251" s="309"/>
      <c r="VA251" s="309"/>
      <c r="VB251" s="309"/>
      <c r="VC251" s="309"/>
      <c r="VD251" s="309"/>
      <c r="VE251" s="309"/>
      <c r="VF251" s="309"/>
      <c r="VG251" s="309"/>
      <c r="VH251" s="309"/>
      <c r="VI251" s="309"/>
      <c r="VJ251" s="309"/>
      <c r="VK251" s="309"/>
      <c r="VL251" s="309"/>
      <c r="VM251" s="309"/>
      <c r="VN251" s="309"/>
      <c r="VO251" s="309"/>
      <c r="VP251" s="309"/>
      <c r="VQ251" s="309"/>
      <c r="VR251" s="309"/>
      <c r="VS251" s="309"/>
      <c r="VT251" s="309"/>
      <c r="VU251" s="309"/>
      <c r="VV251" s="309"/>
      <c r="VW251" s="309"/>
      <c r="VX251" s="309"/>
      <c r="VY251" s="309"/>
      <c r="VZ251" s="309"/>
      <c r="WA251" s="309"/>
      <c r="WB251" s="309"/>
      <c r="WC251" s="309"/>
      <c r="WD251" s="309"/>
      <c r="WE251" s="309"/>
      <c r="WF251" s="309"/>
      <c r="WG251" s="309"/>
      <c r="WH251" s="309"/>
      <c r="WI251" s="309"/>
      <c r="WJ251" s="309"/>
      <c r="WK251" s="309"/>
      <c r="WL251" s="309"/>
      <c r="WM251" s="309"/>
      <c r="WN251" s="309"/>
      <c r="WO251" s="309"/>
      <c r="WP251" s="309"/>
      <c r="WQ251" s="309"/>
      <c r="WR251" s="309"/>
      <c r="WS251" s="309"/>
      <c r="WT251" s="309"/>
      <c r="WU251" s="309"/>
      <c r="WV251" s="309"/>
      <c r="WW251" s="309"/>
      <c r="WX251" s="309"/>
      <c r="WY251" s="309"/>
      <c r="WZ251" s="309"/>
      <c r="XA251" s="309"/>
      <c r="XB251" s="309"/>
      <c r="XC251" s="309"/>
      <c r="XD251" s="309"/>
      <c r="XE251" s="309"/>
      <c r="XF251" s="309"/>
      <c r="XG251" s="309"/>
      <c r="XH251" s="309"/>
      <c r="XI251" s="309"/>
      <c r="XJ251" s="309"/>
      <c r="XK251" s="309"/>
      <c r="XL251" s="309"/>
      <c r="XM251" s="309"/>
      <c r="XN251" s="309"/>
      <c r="XO251" s="309"/>
      <c r="XP251" s="309"/>
      <c r="XQ251" s="309"/>
      <c r="XR251" s="309"/>
      <c r="XS251" s="309"/>
      <c r="XT251" s="309"/>
      <c r="XU251" s="309"/>
      <c r="XV251" s="309"/>
      <c r="XW251" s="309"/>
      <c r="XX251" s="309"/>
      <c r="XY251" s="309"/>
      <c r="XZ251" s="309"/>
      <c r="YA251" s="309"/>
      <c r="YB251" s="309"/>
      <c r="YC251" s="309"/>
      <c r="YD251" s="309"/>
      <c r="YE251" s="309"/>
      <c r="YF251" s="309"/>
      <c r="YG251" s="309"/>
      <c r="YH251" s="309"/>
      <c r="YI251" s="309"/>
      <c r="YJ251" s="309"/>
      <c r="YK251" s="309"/>
      <c r="YL251" s="309"/>
      <c r="YM251" s="309"/>
      <c r="YN251" s="309"/>
      <c r="YO251" s="309"/>
      <c r="YP251" s="309"/>
      <c r="YQ251" s="309"/>
      <c r="YR251" s="309"/>
      <c r="YS251" s="309"/>
      <c r="YT251" s="309"/>
      <c r="YU251" s="309"/>
      <c r="YV251" s="309"/>
      <c r="YW251" s="309"/>
      <c r="YX251" s="309"/>
      <c r="YY251" s="309"/>
      <c r="YZ251" s="309"/>
      <c r="ZA251" s="309"/>
      <c r="ZB251" s="309"/>
      <c r="ZC251" s="309"/>
      <c r="ZD251" s="309"/>
      <c r="ZE251" s="309"/>
      <c r="ZF251" s="309"/>
      <c r="ZG251" s="309"/>
      <c r="ZH251" s="309"/>
      <c r="ZI251" s="309"/>
      <c r="ZJ251" s="309"/>
    </row>
    <row r="252" spans="1:686" s="308" customFormat="1" x14ac:dyDescent="0.3">
      <c r="E252" s="337"/>
      <c r="F252" s="337"/>
      <c r="G252" s="171"/>
      <c r="H252" s="1"/>
      <c r="Y252" s="309"/>
      <c r="Z252" s="309"/>
      <c r="AA252" s="309"/>
      <c r="AB252" s="309"/>
      <c r="AC252" s="309"/>
      <c r="AD252" s="309"/>
      <c r="AE252" s="309"/>
      <c r="AF252" s="309"/>
      <c r="AG252" s="309"/>
      <c r="AH252" s="309"/>
      <c r="AI252" s="309"/>
      <c r="AJ252" s="309"/>
      <c r="AK252" s="309"/>
      <c r="AL252" s="309"/>
      <c r="AM252" s="309"/>
      <c r="AN252" s="309"/>
      <c r="AO252" s="309"/>
      <c r="AP252" s="309"/>
      <c r="AQ252" s="309"/>
      <c r="AR252" s="309"/>
      <c r="AS252" s="309"/>
      <c r="AT252" s="309"/>
      <c r="AU252" s="309"/>
      <c r="AV252" s="309"/>
      <c r="AW252" s="309"/>
      <c r="AX252" s="309"/>
      <c r="AY252" s="309"/>
      <c r="AZ252" s="309"/>
      <c r="BA252" s="309"/>
      <c r="BB252" s="309"/>
      <c r="BC252" s="309"/>
      <c r="BD252" s="309"/>
      <c r="BE252" s="309"/>
      <c r="BF252" s="309"/>
      <c r="BG252" s="309"/>
      <c r="BH252" s="309"/>
      <c r="BI252" s="309"/>
      <c r="BJ252" s="309"/>
      <c r="BK252" s="309"/>
      <c r="BL252" s="309"/>
      <c r="BM252" s="309"/>
      <c r="BN252" s="309"/>
      <c r="BO252" s="309"/>
      <c r="BP252" s="309"/>
      <c r="BQ252" s="309"/>
      <c r="BR252" s="309"/>
      <c r="BS252" s="309"/>
      <c r="BT252" s="309"/>
      <c r="BU252" s="309"/>
      <c r="BV252" s="309"/>
      <c r="BW252" s="309"/>
      <c r="BX252" s="309"/>
      <c r="BY252" s="309"/>
      <c r="BZ252" s="309"/>
      <c r="CA252" s="309"/>
      <c r="CB252" s="309"/>
      <c r="CC252" s="309"/>
      <c r="CD252" s="309"/>
      <c r="CE252" s="309"/>
      <c r="CF252" s="309"/>
      <c r="CG252" s="309"/>
      <c r="CH252" s="309"/>
      <c r="CI252" s="309"/>
      <c r="CJ252" s="309"/>
      <c r="CK252" s="309"/>
      <c r="CL252" s="309"/>
      <c r="CM252" s="309"/>
      <c r="CN252" s="309"/>
      <c r="CO252" s="309"/>
      <c r="CP252" s="309"/>
      <c r="CQ252" s="309"/>
      <c r="CR252" s="309"/>
      <c r="CS252" s="309"/>
      <c r="CT252" s="309"/>
      <c r="CU252" s="309"/>
      <c r="CV252" s="309"/>
      <c r="CW252" s="309"/>
      <c r="CX252" s="309"/>
      <c r="CY252" s="309"/>
      <c r="CZ252" s="309"/>
      <c r="DA252" s="309"/>
      <c r="DB252" s="309"/>
      <c r="DC252" s="309"/>
      <c r="DD252" s="309"/>
      <c r="DE252" s="309"/>
      <c r="DF252" s="309"/>
      <c r="DG252" s="309"/>
      <c r="DH252" s="309"/>
      <c r="DI252" s="309"/>
      <c r="DJ252" s="309"/>
      <c r="DK252" s="309"/>
      <c r="DL252" s="309"/>
      <c r="DM252" s="309"/>
      <c r="DN252" s="309"/>
      <c r="DO252" s="309"/>
      <c r="DP252" s="309"/>
      <c r="DQ252" s="309"/>
      <c r="DR252" s="309"/>
      <c r="DS252" s="309"/>
      <c r="DT252" s="309"/>
      <c r="DU252" s="309"/>
      <c r="DV252" s="309"/>
      <c r="DW252" s="309"/>
      <c r="DX252" s="309"/>
      <c r="DY252" s="309"/>
      <c r="DZ252" s="309"/>
      <c r="EA252" s="309"/>
      <c r="EB252" s="309"/>
      <c r="EC252" s="309"/>
      <c r="ED252" s="309"/>
      <c r="EE252" s="309"/>
      <c r="EF252" s="309"/>
      <c r="EG252" s="309"/>
      <c r="EH252" s="309"/>
      <c r="EI252" s="309"/>
      <c r="EJ252" s="309"/>
      <c r="EK252" s="309"/>
      <c r="EL252" s="309"/>
      <c r="EM252" s="309"/>
      <c r="EN252" s="309"/>
      <c r="EO252" s="309"/>
      <c r="EP252" s="309"/>
      <c r="EQ252" s="309"/>
      <c r="ER252" s="309"/>
      <c r="ES252" s="309"/>
      <c r="ET252" s="309"/>
      <c r="EU252" s="309"/>
      <c r="EV252" s="309"/>
      <c r="EW252" s="309"/>
      <c r="EX252" s="309"/>
      <c r="EY252" s="309"/>
      <c r="EZ252" s="309"/>
      <c r="FA252" s="309"/>
      <c r="FB252" s="309"/>
      <c r="FC252" s="309"/>
      <c r="FD252" s="309"/>
      <c r="FE252" s="309"/>
      <c r="FF252" s="309"/>
      <c r="FG252" s="309"/>
      <c r="FH252" s="309"/>
      <c r="FI252" s="309"/>
      <c r="FJ252" s="309"/>
      <c r="FK252" s="309"/>
      <c r="FL252" s="309"/>
      <c r="FM252" s="309"/>
      <c r="FN252" s="309"/>
      <c r="FO252" s="309"/>
      <c r="FP252" s="309"/>
      <c r="FQ252" s="309"/>
      <c r="FR252" s="309"/>
      <c r="FS252" s="309"/>
      <c r="FT252" s="309"/>
      <c r="FU252" s="309"/>
      <c r="FV252" s="309"/>
      <c r="FW252" s="309"/>
      <c r="FX252" s="309"/>
      <c r="FY252" s="309"/>
      <c r="FZ252" s="309"/>
      <c r="GA252" s="309"/>
      <c r="GB252" s="309"/>
      <c r="GC252" s="309"/>
      <c r="GD252" s="309"/>
      <c r="GE252" s="309"/>
      <c r="GF252" s="309"/>
      <c r="GG252" s="309"/>
      <c r="GH252" s="309"/>
      <c r="GI252" s="309"/>
      <c r="GJ252" s="309"/>
      <c r="GK252" s="309"/>
      <c r="GL252" s="309"/>
      <c r="GM252" s="309"/>
      <c r="GN252" s="309"/>
      <c r="GO252" s="309"/>
      <c r="GP252" s="309"/>
      <c r="GQ252" s="309"/>
      <c r="GR252" s="309"/>
      <c r="GS252" s="309"/>
      <c r="GT252" s="309"/>
      <c r="GU252" s="309"/>
      <c r="GV252" s="309"/>
      <c r="GW252" s="309"/>
      <c r="GX252" s="309"/>
      <c r="GY252" s="309"/>
      <c r="GZ252" s="309"/>
      <c r="HA252" s="309"/>
      <c r="HB252" s="309"/>
      <c r="HC252" s="309"/>
      <c r="HD252" s="309"/>
      <c r="HE252" s="309"/>
      <c r="HF252" s="309"/>
      <c r="HG252" s="309"/>
      <c r="HH252" s="309"/>
      <c r="HI252" s="309"/>
      <c r="HJ252" s="309"/>
      <c r="HK252" s="309"/>
      <c r="HL252" s="309"/>
      <c r="HM252" s="309"/>
      <c r="HN252" s="309"/>
      <c r="HO252" s="309"/>
      <c r="HP252" s="309"/>
      <c r="HQ252" s="309"/>
      <c r="HR252" s="309"/>
      <c r="HS252" s="309"/>
      <c r="HT252" s="309"/>
      <c r="HU252" s="309"/>
      <c r="HV252" s="309"/>
      <c r="HW252" s="309"/>
      <c r="HX252" s="309"/>
      <c r="HY252" s="309"/>
      <c r="HZ252" s="309"/>
      <c r="IA252" s="309"/>
      <c r="IB252" s="309"/>
      <c r="IC252" s="309"/>
      <c r="ID252" s="309"/>
      <c r="IE252" s="309"/>
      <c r="IF252" s="309"/>
      <c r="IG252" s="309"/>
      <c r="IH252" s="309"/>
      <c r="II252" s="309"/>
      <c r="IJ252" s="309"/>
      <c r="IK252" s="309"/>
      <c r="IL252" s="309"/>
      <c r="IM252" s="309"/>
      <c r="IN252" s="309"/>
      <c r="IO252" s="309"/>
      <c r="IP252" s="309"/>
      <c r="IQ252" s="309"/>
      <c r="IR252" s="309"/>
      <c r="IS252" s="309"/>
      <c r="IT252" s="309"/>
      <c r="IU252" s="309"/>
      <c r="IV252" s="309"/>
      <c r="IW252" s="309"/>
      <c r="IX252" s="309"/>
      <c r="IY252" s="309"/>
      <c r="IZ252" s="309"/>
      <c r="JA252" s="309"/>
      <c r="JB252" s="309"/>
      <c r="JC252" s="309"/>
      <c r="JD252" s="309"/>
      <c r="JE252" s="309"/>
      <c r="JF252" s="309"/>
      <c r="JG252" s="309"/>
      <c r="JH252" s="309"/>
      <c r="JI252" s="309"/>
      <c r="JJ252" s="309"/>
      <c r="JK252" s="309"/>
      <c r="JL252" s="309"/>
      <c r="JM252" s="309"/>
      <c r="JN252" s="309"/>
      <c r="JO252" s="309"/>
      <c r="JP252" s="309"/>
      <c r="JQ252" s="309"/>
      <c r="JR252" s="309"/>
      <c r="JS252" s="309"/>
      <c r="JT252" s="309"/>
      <c r="JU252" s="309"/>
      <c r="JV252" s="309"/>
      <c r="JW252" s="309"/>
      <c r="JX252" s="309"/>
      <c r="JY252" s="309"/>
      <c r="JZ252" s="309"/>
      <c r="KA252" s="309"/>
      <c r="KB252" s="309"/>
      <c r="KC252" s="309"/>
      <c r="KD252" s="309"/>
      <c r="KE252" s="309"/>
      <c r="KF252" s="309"/>
      <c r="KG252" s="309"/>
      <c r="KH252" s="309"/>
      <c r="KI252" s="309"/>
      <c r="KJ252" s="309"/>
      <c r="KK252" s="309"/>
      <c r="KL252" s="309"/>
      <c r="KM252" s="309"/>
      <c r="KN252" s="309"/>
      <c r="KO252" s="309"/>
      <c r="KP252" s="309"/>
      <c r="KQ252" s="309"/>
      <c r="KR252" s="309"/>
      <c r="KS252" s="309"/>
      <c r="KT252" s="309"/>
      <c r="KU252" s="309"/>
      <c r="KV252" s="309"/>
      <c r="KW252" s="309"/>
      <c r="KX252" s="309"/>
      <c r="KY252" s="309"/>
      <c r="KZ252" s="309"/>
      <c r="LA252" s="309"/>
      <c r="LB252" s="309"/>
      <c r="LC252" s="309"/>
      <c r="LD252" s="309"/>
      <c r="LE252" s="309"/>
      <c r="LF252" s="309"/>
      <c r="LG252" s="309"/>
      <c r="LH252" s="309"/>
      <c r="LI252" s="309"/>
      <c r="LJ252" s="309"/>
      <c r="LK252" s="309"/>
      <c r="LL252" s="309"/>
      <c r="LM252" s="309"/>
      <c r="LN252" s="309"/>
      <c r="LO252" s="309"/>
      <c r="LP252" s="309"/>
      <c r="LQ252" s="309"/>
      <c r="LR252" s="309"/>
      <c r="LS252" s="309"/>
      <c r="LT252" s="309"/>
      <c r="LU252" s="309"/>
      <c r="LV252" s="309"/>
      <c r="LW252" s="309"/>
      <c r="LX252" s="309"/>
      <c r="LY252" s="309"/>
      <c r="LZ252" s="309"/>
      <c r="MA252" s="309"/>
      <c r="MB252" s="309"/>
      <c r="MC252" s="309"/>
      <c r="MD252" s="309"/>
      <c r="ME252" s="309"/>
      <c r="MF252" s="309"/>
      <c r="MG252" s="309"/>
      <c r="MH252" s="309"/>
      <c r="MI252" s="309"/>
      <c r="MJ252" s="309"/>
      <c r="MK252" s="309"/>
      <c r="ML252" s="309"/>
      <c r="MM252" s="309"/>
      <c r="MN252" s="309"/>
      <c r="MO252" s="309"/>
      <c r="MP252" s="309"/>
      <c r="MQ252" s="309"/>
      <c r="MR252" s="309"/>
      <c r="MS252" s="309"/>
      <c r="MT252" s="309"/>
      <c r="MU252" s="309"/>
      <c r="MV252" s="309"/>
      <c r="MW252" s="309"/>
      <c r="MX252" s="309"/>
      <c r="MY252" s="309"/>
      <c r="MZ252" s="309"/>
      <c r="NA252" s="309"/>
      <c r="NB252" s="309"/>
      <c r="NC252" s="309"/>
      <c r="ND252" s="309"/>
      <c r="NE252" s="309"/>
      <c r="NF252" s="309"/>
      <c r="NG252" s="309"/>
      <c r="NH252" s="309"/>
      <c r="NI252" s="309"/>
      <c r="NJ252" s="309"/>
      <c r="NK252" s="309"/>
      <c r="NL252" s="309"/>
      <c r="NM252" s="309"/>
      <c r="NN252" s="309"/>
      <c r="NO252" s="309"/>
      <c r="NP252" s="309"/>
      <c r="NQ252" s="309"/>
      <c r="NR252" s="309"/>
      <c r="NS252" s="309"/>
      <c r="NT252" s="309"/>
      <c r="NU252" s="309"/>
      <c r="NV252" s="309"/>
      <c r="NW252" s="309"/>
      <c r="NX252" s="309"/>
      <c r="NY252" s="309"/>
      <c r="NZ252" s="309"/>
      <c r="OA252" s="309"/>
      <c r="OB252" s="309"/>
      <c r="OC252" s="309"/>
      <c r="OD252" s="309"/>
      <c r="OE252" s="309"/>
      <c r="OF252" s="309"/>
      <c r="OG252" s="309"/>
      <c r="OH252" s="309"/>
      <c r="OI252" s="309"/>
      <c r="OJ252" s="309"/>
      <c r="OK252" s="309"/>
      <c r="OL252" s="309"/>
      <c r="OM252" s="309"/>
      <c r="ON252" s="309"/>
      <c r="OO252" s="309"/>
      <c r="OP252" s="309"/>
      <c r="OQ252" s="309"/>
      <c r="OR252" s="309"/>
      <c r="OS252" s="309"/>
      <c r="OT252" s="309"/>
      <c r="OU252" s="309"/>
      <c r="OV252" s="309"/>
      <c r="OW252" s="309"/>
      <c r="OX252" s="309"/>
      <c r="OY252" s="309"/>
      <c r="OZ252" s="309"/>
      <c r="PA252" s="309"/>
      <c r="PB252" s="309"/>
      <c r="PC252" s="309"/>
      <c r="PD252" s="309"/>
      <c r="PE252" s="309"/>
      <c r="PF252" s="309"/>
      <c r="PG252" s="309"/>
      <c r="PH252" s="309"/>
      <c r="PI252" s="309"/>
      <c r="PJ252" s="309"/>
      <c r="PK252" s="309"/>
      <c r="PL252" s="309"/>
      <c r="PM252" s="309"/>
      <c r="PN252" s="309"/>
      <c r="PO252" s="309"/>
      <c r="PP252" s="309"/>
      <c r="PQ252" s="309"/>
      <c r="PR252" s="309"/>
      <c r="PS252" s="309"/>
      <c r="PT252" s="309"/>
      <c r="PU252" s="309"/>
      <c r="PV252" s="309"/>
      <c r="PW252" s="309"/>
      <c r="PX252" s="309"/>
      <c r="PY252" s="309"/>
      <c r="PZ252" s="309"/>
      <c r="QA252" s="309"/>
      <c r="QB252" s="309"/>
      <c r="QC252" s="309"/>
      <c r="QD252" s="309"/>
      <c r="QE252" s="309"/>
      <c r="QF252" s="309"/>
      <c r="QG252" s="309"/>
      <c r="QH252" s="309"/>
      <c r="QI252" s="309"/>
      <c r="QJ252" s="309"/>
      <c r="QK252" s="309"/>
      <c r="QL252" s="309"/>
      <c r="QM252" s="309"/>
      <c r="QN252" s="309"/>
      <c r="QO252" s="309"/>
      <c r="QP252" s="309"/>
      <c r="QQ252" s="309"/>
      <c r="QR252" s="309"/>
      <c r="QS252" s="309"/>
      <c r="QT252" s="309"/>
      <c r="QU252" s="309"/>
      <c r="QV252" s="309"/>
      <c r="QW252" s="309"/>
      <c r="QX252" s="309"/>
      <c r="QY252" s="309"/>
      <c r="QZ252" s="309"/>
      <c r="RA252" s="309"/>
      <c r="RB252" s="309"/>
      <c r="RC252" s="309"/>
      <c r="RD252" s="309"/>
      <c r="RE252" s="309"/>
      <c r="RF252" s="309"/>
      <c r="RG252" s="309"/>
      <c r="RH252" s="309"/>
      <c r="RI252" s="309"/>
      <c r="RJ252" s="309"/>
      <c r="RK252" s="309"/>
      <c r="RL252" s="309"/>
      <c r="RM252" s="309"/>
      <c r="RN252" s="309"/>
      <c r="RO252" s="309"/>
      <c r="RP252" s="309"/>
      <c r="RQ252" s="309"/>
      <c r="RR252" s="309"/>
      <c r="RS252" s="309"/>
      <c r="RT252" s="309"/>
      <c r="RU252" s="309"/>
      <c r="RV252" s="309"/>
      <c r="RW252" s="309"/>
      <c r="RX252" s="309"/>
      <c r="RY252" s="309"/>
      <c r="RZ252" s="309"/>
      <c r="SA252" s="309"/>
      <c r="SB252" s="309"/>
      <c r="SC252" s="309"/>
      <c r="SD252" s="309"/>
      <c r="SE252" s="309"/>
      <c r="SF252" s="309"/>
      <c r="SG252" s="309"/>
      <c r="SH252" s="309"/>
      <c r="SI252" s="309"/>
      <c r="SJ252" s="309"/>
      <c r="SK252" s="309"/>
      <c r="SL252" s="309"/>
      <c r="SM252" s="309"/>
      <c r="SN252" s="309"/>
      <c r="SO252" s="309"/>
      <c r="SP252" s="309"/>
      <c r="SQ252" s="309"/>
      <c r="SR252" s="309"/>
      <c r="SS252" s="309"/>
      <c r="ST252" s="309"/>
      <c r="SU252" s="309"/>
      <c r="SV252" s="309"/>
      <c r="SW252" s="309"/>
      <c r="SX252" s="309"/>
      <c r="SY252" s="309"/>
      <c r="SZ252" s="309"/>
      <c r="TA252" s="309"/>
      <c r="TB252" s="309"/>
      <c r="TC252" s="309"/>
      <c r="TD252" s="309"/>
      <c r="TE252" s="309"/>
      <c r="TF252" s="309"/>
      <c r="TG252" s="309"/>
      <c r="TH252" s="309"/>
      <c r="TI252" s="309"/>
      <c r="TJ252" s="309"/>
      <c r="TK252" s="309"/>
      <c r="TL252" s="309"/>
      <c r="TM252" s="309"/>
      <c r="TN252" s="309"/>
      <c r="TO252" s="309"/>
      <c r="TP252" s="309"/>
      <c r="TQ252" s="309"/>
      <c r="TR252" s="309"/>
      <c r="TS252" s="309"/>
      <c r="TT252" s="309"/>
      <c r="TU252" s="309"/>
      <c r="TV252" s="309"/>
      <c r="TW252" s="309"/>
      <c r="TX252" s="309"/>
      <c r="TY252" s="309"/>
      <c r="TZ252" s="309"/>
      <c r="UA252" s="309"/>
      <c r="UB252" s="309"/>
      <c r="UC252" s="309"/>
      <c r="UD252" s="309"/>
      <c r="UE252" s="309"/>
      <c r="UF252" s="309"/>
      <c r="UG252" s="309"/>
      <c r="UH252" s="309"/>
      <c r="UI252" s="309"/>
      <c r="UJ252" s="309"/>
      <c r="UK252" s="309"/>
      <c r="UL252" s="309"/>
      <c r="UM252" s="309"/>
      <c r="UN252" s="309"/>
      <c r="UO252" s="309"/>
      <c r="UP252" s="309"/>
      <c r="UQ252" s="309"/>
      <c r="UR252" s="309"/>
      <c r="US252" s="309"/>
      <c r="UT252" s="309"/>
      <c r="UU252" s="309"/>
      <c r="UV252" s="309"/>
      <c r="UW252" s="309"/>
      <c r="UX252" s="309"/>
      <c r="UY252" s="309"/>
      <c r="UZ252" s="309"/>
      <c r="VA252" s="309"/>
      <c r="VB252" s="309"/>
      <c r="VC252" s="309"/>
      <c r="VD252" s="309"/>
      <c r="VE252" s="309"/>
      <c r="VF252" s="309"/>
      <c r="VG252" s="309"/>
      <c r="VH252" s="309"/>
      <c r="VI252" s="309"/>
      <c r="VJ252" s="309"/>
      <c r="VK252" s="309"/>
      <c r="VL252" s="309"/>
      <c r="VM252" s="309"/>
      <c r="VN252" s="309"/>
      <c r="VO252" s="309"/>
      <c r="VP252" s="309"/>
      <c r="VQ252" s="309"/>
      <c r="VR252" s="309"/>
      <c r="VS252" s="309"/>
      <c r="VT252" s="309"/>
      <c r="VU252" s="309"/>
      <c r="VV252" s="309"/>
      <c r="VW252" s="309"/>
      <c r="VX252" s="309"/>
      <c r="VY252" s="309"/>
      <c r="VZ252" s="309"/>
      <c r="WA252" s="309"/>
      <c r="WB252" s="309"/>
      <c r="WC252" s="309"/>
      <c r="WD252" s="309"/>
      <c r="WE252" s="309"/>
      <c r="WF252" s="309"/>
      <c r="WG252" s="309"/>
      <c r="WH252" s="309"/>
      <c r="WI252" s="309"/>
      <c r="WJ252" s="309"/>
      <c r="WK252" s="309"/>
      <c r="WL252" s="309"/>
      <c r="WM252" s="309"/>
      <c r="WN252" s="309"/>
      <c r="WO252" s="309"/>
      <c r="WP252" s="309"/>
      <c r="WQ252" s="309"/>
      <c r="WR252" s="309"/>
      <c r="WS252" s="309"/>
      <c r="WT252" s="309"/>
      <c r="WU252" s="309"/>
      <c r="WV252" s="309"/>
      <c r="WW252" s="309"/>
      <c r="WX252" s="309"/>
      <c r="WY252" s="309"/>
      <c r="WZ252" s="309"/>
      <c r="XA252" s="309"/>
      <c r="XB252" s="309"/>
      <c r="XC252" s="309"/>
      <c r="XD252" s="309"/>
      <c r="XE252" s="309"/>
      <c r="XF252" s="309"/>
      <c r="XG252" s="309"/>
      <c r="XH252" s="309"/>
      <c r="XI252" s="309"/>
      <c r="XJ252" s="309"/>
      <c r="XK252" s="309"/>
      <c r="XL252" s="309"/>
      <c r="XM252" s="309"/>
      <c r="XN252" s="309"/>
      <c r="XO252" s="309"/>
      <c r="XP252" s="309"/>
      <c r="XQ252" s="309"/>
      <c r="XR252" s="309"/>
      <c r="XS252" s="309"/>
      <c r="XT252" s="309"/>
      <c r="XU252" s="309"/>
      <c r="XV252" s="309"/>
      <c r="XW252" s="309"/>
      <c r="XX252" s="309"/>
      <c r="XY252" s="309"/>
      <c r="XZ252" s="309"/>
      <c r="YA252" s="309"/>
      <c r="YB252" s="309"/>
      <c r="YC252" s="309"/>
      <c r="YD252" s="309"/>
      <c r="YE252" s="309"/>
      <c r="YF252" s="309"/>
      <c r="YG252" s="309"/>
      <c r="YH252" s="309"/>
      <c r="YI252" s="309"/>
      <c r="YJ252" s="309"/>
      <c r="YK252" s="309"/>
      <c r="YL252" s="309"/>
      <c r="YM252" s="309"/>
      <c r="YN252" s="309"/>
      <c r="YO252" s="309"/>
      <c r="YP252" s="309"/>
      <c r="YQ252" s="309"/>
      <c r="YR252" s="309"/>
      <c r="YS252" s="309"/>
      <c r="YT252" s="309"/>
      <c r="YU252" s="309"/>
      <c r="YV252" s="309"/>
      <c r="YW252" s="309"/>
      <c r="YX252" s="309"/>
      <c r="YY252" s="309"/>
      <c r="YZ252" s="309"/>
      <c r="ZA252" s="309"/>
      <c r="ZB252" s="309"/>
      <c r="ZC252" s="309"/>
      <c r="ZD252" s="309"/>
      <c r="ZE252" s="309"/>
      <c r="ZF252" s="309"/>
      <c r="ZG252" s="309"/>
      <c r="ZH252" s="309"/>
      <c r="ZI252" s="309"/>
      <c r="ZJ252" s="309"/>
    </row>
    <row r="253" spans="1:686" s="308" customFormat="1" x14ac:dyDescent="0.3">
      <c r="E253" s="337"/>
      <c r="F253" s="337"/>
      <c r="G253" s="171"/>
      <c r="H253" s="1"/>
      <c r="Y253" s="309"/>
      <c r="Z253" s="309"/>
      <c r="AA253" s="309"/>
      <c r="AB253" s="309"/>
      <c r="AC253" s="309"/>
      <c r="AD253" s="309"/>
      <c r="AE253" s="309"/>
      <c r="AF253" s="309"/>
      <c r="AG253" s="309"/>
      <c r="AH253" s="309"/>
      <c r="AI253" s="309"/>
      <c r="AJ253" s="309"/>
      <c r="AK253" s="309"/>
      <c r="AL253" s="309"/>
      <c r="AM253" s="309"/>
      <c r="AN253" s="309"/>
      <c r="AO253" s="309"/>
      <c r="AP253" s="309"/>
      <c r="AQ253" s="309"/>
      <c r="AR253" s="309"/>
      <c r="AS253" s="309"/>
      <c r="AT253" s="309"/>
      <c r="AU253" s="309"/>
      <c r="AV253" s="309"/>
      <c r="AW253" s="309"/>
      <c r="AX253" s="309"/>
      <c r="AY253" s="309"/>
      <c r="AZ253" s="309"/>
      <c r="BA253" s="309"/>
      <c r="BB253" s="309"/>
      <c r="BC253" s="309"/>
      <c r="BD253" s="309"/>
      <c r="BE253" s="309"/>
      <c r="BF253" s="309"/>
      <c r="BG253" s="309"/>
      <c r="BH253" s="309"/>
      <c r="BI253" s="309"/>
      <c r="BJ253" s="309"/>
      <c r="BK253" s="309"/>
      <c r="BL253" s="309"/>
      <c r="BM253" s="309"/>
      <c r="BN253" s="309"/>
      <c r="BO253" s="309"/>
      <c r="BP253" s="309"/>
      <c r="BQ253" s="309"/>
      <c r="BR253" s="309"/>
      <c r="BS253" s="309"/>
      <c r="BT253" s="309"/>
      <c r="BU253" s="309"/>
      <c r="BV253" s="309"/>
      <c r="BW253" s="309"/>
      <c r="BX253" s="309"/>
      <c r="BY253" s="309"/>
      <c r="BZ253" s="309"/>
      <c r="CA253" s="309"/>
      <c r="CB253" s="309"/>
      <c r="CC253" s="309"/>
      <c r="CD253" s="309"/>
      <c r="CE253" s="309"/>
      <c r="CF253" s="309"/>
      <c r="CG253" s="309"/>
      <c r="CH253" s="309"/>
      <c r="CI253" s="309"/>
      <c r="CJ253" s="309"/>
      <c r="CK253" s="309"/>
      <c r="CL253" s="309"/>
      <c r="CM253" s="309"/>
      <c r="CN253" s="309"/>
      <c r="CO253" s="309"/>
      <c r="CP253" s="309"/>
      <c r="CQ253" s="309"/>
      <c r="CR253" s="309"/>
      <c r="CS253" s="309"/>
      <c r="CT253" s="309"/>
      <c r="CU253" s="309"/>
      <c r="CV253" s="309"/>
      <c r="CW253" s="309"/>
      <c r="CX253" s="309"/>
      <c r="CY253" s="309"/>
      <c r="CZ253" s="309"/>
      <c r="DA253" s="309"/>
      <c r="DB253" s="309"/>
      <c r="DC253" s="309"/>
      <c r="DD253" s="309"/>
      <c r="DE253" s="309"/>
      <c r="DF253" s="309"/>
      <c r="DG253" s="309"/>
      <c r="DH253" s="309"/>
      <c r="DI253" s="309"/>
      <c r="DJ253" s="309"/>
      <c r="DK253" s="309"/>
      <c r="DL253" s="309"/>
      <c r="DM253" s="309"/>
      <c r="DN253" s="309"/>
      <c r="DO253" s="309"/>
      <c r="DP253" s="309"/>
      <c r="DQ253" s="309"/>
      <c r="DR253" s="309"/>
      <c r="DS253" s="309"/>
      <c r="DT253" s="309"/>
      <c r="DU253" s="309"/>
      <c r="DV253" s="309"/>
      <c r="DW253" s="309"/>
      <c r="DX253" s="309"/>
      <c r="DY253" s="309"/>
      <c r="DZ253" s="309"/>
      <c r="EA253" s="309"/>
      <c r="EB253" s="309"/>
      <c r="EC253" s="309"/>
      <c r="ED253" s="309"/>
      <c r="EE253" s="309"/>
      <c r="EF253" s="309"/>
      <c r="EG253" s="309"/>
      <c r="EH253" s="309"/>
      <c r="EI253" s="309"/>
      <c r="EJ253" s="309"/>
      <c r="EK253" s="309"/>
      <c r="EL253" s="309"/>
      <c r="EM253" s="309"/>
      <c r="EN253" s="309"/>
      <c r="EO253" s="309"/>
      <c r="EP253" s="309"/>
      <c r="EQ253" s="309"/>
      <c r="ER253" s="309"/>
      <c r="ES253" s="309"/>
      <c r="ET253" s="309"/>
      <c r="EU253" s="309"/>
      <c r="EV253" s="309"/>
      <c r="EW253" s="309"/>
      <c r="EX253" s="309"/>
      <c r="EY253" s="309"/>
      <c r="EZ253" s="309"/>
      <c r="FA253" s="309"/>
      <c r="FB253" s="309"/>
      <c r="FC253" s="309"/>
      <c r="FD253" s="309"/>
      <c r="FE253" s="309"/>
      <c r="FF253" s="309"/>
      <c r="FG253" s="309"/>
      <c r="FH253" s="309"/>
      <c r="FI253" s="309"/>
      <c r="FJ253" s="309"/>
      <c r="FK253" s="309"/>
      <c r="FL253" s="309"/>
      <c r="FM253" s="309"/>
      <c r="FN253" s="309"/>
      <c r="FO253" s="309"/>
      <c r="FP253" s="309"/>
      <c r="FQ253" s="309"/>
      <c r="FR253" s="309"/>
      <c r="FS253" s="309"/>
      <c r="FT253" s="309"/>
      <c r="FU253" s="309"/>
      <c r="FV253" s="309"/>
      <c r="FW253" s="309"/>
      <c r="FX253" s="309"/>
      <c r="FY253" s="309"/>
      <c r="FZ253" s="309"/>
      <c r="GA253" s="309"/>
      <c r="GB253" s="309"/>
      <c r="GC253" s="309"/>
      <c r="GD253" s="309"/>
      <c r="GE253" s="309"/>
      <c r="GF253" s="309"/>
      <c r="GG253" s="309"/>
      <c r="GH253" s="309"/>
      <c r="GI253" s="309"/>
      <c r="GJ253" s="309"/>
      <c r="GK253" s="309"/>
      <c r="GL253" s="309"/>
      <c r="GM253" s="309"/>
      <c r="GN253" s="309"/>
      <c r="GO253" s="309"/>
      <c r="GP253" s="309"/>
      <c r="GQ253" s="309"/>
      <c r="GR253" s="309"/>
      <c r="GS253" s="309"/>
      <c r="GT253" s="309"/>
      <c r="GU253" s="309"/>
      <c r="GV253" s="309"/>
      <c r="GW253" s="309"/>
      <c r="GX253" s="309"/>
      <c r="GY253" s="309"/>
      <c r="GZ253" s="309"/>
      <c r="HA253" s="309"/>
      <c r="HB253" s="309"/>
      <c r="HC253" s="309"/>
      <c r="HD253" s="309"/>
      <c r="HE253" s="309"/>
      <c r="HF253" s="309"/>
      <c r="HG253" s="309"/>
      <c r="HH253" s="309"/>
      <c r="HI253" s="309"/>
      <c r="HJ253" s="309"/>
      <c r="HK253" s="309"/>
      <c r="HL253" s="309"/>
      <c r="HM253" s="309"/>
      <c r="HN253" s="309"/>
      <c r="HO253" s="309"/>
      <c r="HP253" s="309"/>
      <c r="HQ253" s="309"/>
      <c r="HR253" s="309"/>
      <c r="HS253" s="309"/>
      <c r="HT253" s="309"/>
      <c r="HU253" s="309"/>
      <c r="HV253" s="309"/>
      <c r="HW253" s="309"/>
      <c r="HX253" s="309"/>
      <c r="HY253" s="309"/>
      <c r="HZ253" s="309"/>
      <c r="IA253" s="309"/>
      <c r="IB253" s="309"/>
      <c r="IC253" s="309"/>
      <c r="ID253" s="309"/>
      <c r="IE253" s="309"/>
      <c r="IF253" s="309"/>
      <c r="IG253" s="309"/>
      <c r="IH253" s="309"/>
      <c r="II253" s="309"/>
      <c r="IJ253" s="309"/>
      <c r="IK253" s="309"/>
      <c r="IL253" s="309"/>
      <c r="IM253" s="309"/>
      <c r="IN253" s="309"/>
      <c r="IO253" s="309"/>
      <c r="IP253" s="309"/>
      <c r="IQ253" s="309"/>
      <c r="IR253" s="309"/>
      <c r="IS253" s="309"/>
      <c r="IT253" s="309"/>
      <c r="IU253" s="309"/>
      <c r="IV253" s="309"/>
      <c r="IW253" s="309"/>
      <c r="IX253" s="309"/>
      <c r="IY253" s="309"/>
      <c r="IZ253" s="309"/>
      <c r="JA253" s="309"/>
      <c r="JB253" s="309"/>
      <c r="JC253" s="309"/>
      <c r="JD253" s="309"/>
      <c r="JE253" s="309"/>
      <c r="JF253" s="309"/>
      <c r="JG253" s="309"/>
      <c r="JH253" s="309"/>
      <c r="JI253" s="309"/>
      <c r="JJ253" s="309"/>
      <c r="JK253" s="309"/>
      <c r="JL253" s="309"/>
      <c r="JM253" s="309"/>
      <c r="JN253" s="309"/>
      <c r="JO253" s="309"/>
      <c r="JP253" s="309"/>
      <c r="JQ253" s="309"/>
      <c r="JR253" s="309"/>
      <c r="JS253" s="309"/>
      <c r="JT253" s="309"/>
      <c r="JU253" s="309"/>
      <c r="JV253" s="309"/>
      <c r="JW253" s="309"/>
      <c r="JX253" s="309"/>
      <c r="JY253" s="309"/>
      <c r="JZ253" s="309"/>
      <c r="KA253" s="309"/>
      <c r="KB253" s="309"/>
      <c r="KC253" s="309"/>
      <c r="KD253" s="309"/>
      <c r="KE253" s="309"/>
      <c r="KF253" s="309"/>
      <c r="KG253" s="309"/>
      <c r="KH253" s="309"/>
      <c r="KI253" s="309"/>
      <c r="KJ253" s="309"/>
      <c r="KK253" s="309"/>
      <c r="KL253" s="309"/>
      <c r="KM253" s="309"/>
      <c r="KN253" s="309"/>
      <c r="KO253" s="309"/>
      <c r="KP253" s="309"/>
      <c r="KQ253" s="309"/>
      <c r="KR253" s="309"/>
      <c r="KS253" s="309"/>
      <c r="KT253" s="309"/>
      <c r="KU253" s="309"/>
      <c r="KV253" s="309"/>
      <c r="KW253" s="309"/>
      <c r="KX253" s="309"/>
      <c r="KY253" s="309"/>
      <c r="KZ253" s="309"/>
      <c r="LA253" s="309"/>
      <c r="LB253" s="309"/>
      <c r="LC253" s="309"/>
      <c r="LD253" s="309"/>
      <c r="LE253" s="309"/>
      <c r="LF253" s="309"/>
      <c r="LG253" s="309"/>
      <c r="LH253" s="309"/>
      <c r="LI253" s="309"/>
      <c r="LJ253" s="309"/>
      <c r="LK253" s="309"/>
      <c r="LL253" s="309"/>
      <c r="LM253" s="309"/>
      <c r="LN253" s="309"/>
      <c r="LO253" s="309"/>
      <c r="LP253" s="309"/>
      <c r="LQ253" s="309"/>
      <c r="LR253" s="309"/>
      <c r="LS253" s="309"/>
      <c r="LT253" s="309"/>
      <c r="LU253" s="309"/>
      <c r="LV253" s="309"/>
      <c r="LW253" s="309"/>
      <c r="LX253" s="309"/>
      <c r="LY253" s="309"/>
      <c r="LZ253" s="309"/>
      <c r="MA253" s="309"/>
      <c r="MB253" s="309"/>
      <c r="MC253" s="309"/>
      <c r="MD253" s="309"/>
      <c r="ME253" s="309"/>
      <c r="MF253" s="309"/>
      <c r="MG253" s="309"/>
      <c r="MH253" s="309"/>
      <c r="MI253" s="309"/>
      <c r="MJ253" s="309"/>
      <c r="MK253" s="309"/>
      <c r="ML253" s="309"/>
      <c r="MM253" s="309"/>
      <c r="MN253" s="309"/>
      <c r="MO253" s="309"/>
      <c r="MP253" s="309"/>
      <c r="MQ253" s="309"/>
      <c r="MR253" s="309"/>
      <c r="MS253" s="309"/>
      <c r="MT253" s="309"/>
      <c r="MU253" s="309"/>
      <c r="MV253" s="309"/>
      <c r="MW253" s="309"/>
      <c r="MX253" s="309"/>
      <c r="MY253" s="309"/>
      <c r="MZ253" s="309"/>
      <c r="NA253" s="309"/>
      <c r="NB253" s="309"/>
      <c r="NC253" s="309"/>
      <c r="ND253" s="309"/>
      <c r="NE253" s="309"/>
      <c r="NF253" s="309"/>
      <c r="NG253" s="309"/>
      <c r="NH253" s="309"/>
      <c r="NI253" s="309"/>
      <c r="NJ253" s="309"/>
      <c r="NK253" s="309"/>
      <c r="NL253" s="309"/>
      <c r="NM253" s="309"/>
      <c r="NN253" s="309"/>
      <c r="NO253" s="309"/>
      <c r="NP253" s="309"/>
      <c r="NQ253" s="309"/>
      <c r="NR253" s="309"/>
      <c r="NS253" s="309"/>
      <c r="NT253" s="309"/>
      <c r="NU253" s="309"/>
      <c r="NV253" s="309"/>
      <c r="NW253" s="309"/>
      <c r="NX253" s="309"/>
      <c r="NY253" s="309"/>
      <c r="NZ253" s="309"/>
      <c r="OA253" s="309"/>
      <c r="OB253" s="309"/>
      <c r="OC253" s="309"/>
      <c r="OD253" s="309"/>
      <c r="OE253" s="309"/>
      <c r="OF253" s="309"/>
      <c r="OG253" s="309"/>
      <c r="OH253" s="309"/>
      <c r="OI253" s="309"/>
      <c r="OJ253" s="309"/>
      <c r="OK253" s="309"/>
      <c r="OL253" s="309"/>
      <c r="OM253" s="309"/>
      <c r="ON253" s="309"/>
      <c r="OO253" s="309"/>
      <c r="OP253" s="309"/>
      <c r="OQ253" s="309"/>
      <c r="OR253" s="309"/>
      <c r="OS253" s="309"/>
      <c r="OT253" s="309"/>
      <c r="OU253" s="309"/>
      <c r="OV253" s="309"/>
      <c r="OW253" s="309"/>
      <c r="OX253" s="309"/>
      <c r="OY253" s="309"/>
      <c r="OZ253" s="309"/>
      <c r="PA253" s="309"/>
      <c r="PB253" s="309"/>
      <c r="PC253" s="309"/>
      <c r="PD253" s="309"/>
      <c r="PE253" s="309"/>
      <c r="PF253" s="309"/>
      <c r="PG253" s="309"/>
      <c r="PH253" s="309"/>
      <c r="PI253" s="309"/>
      <c r="PJ253" s="309"/>
      <c r="PK253" s="309"/>
      <c r="PL253" s="309"/>
      <c r="PM253" s="309"/>
      <c r="PN253" s="309"/>
      <c r="PO253" s="309"/>
      <c r="PP253" s="309"/>
      <c r="PQ253" s="309"/>
      <c r="PR253" s="309"/>
      <c r="PS253" s="309"/>
      <c r="PT253" s="309"/>
      <c r="PU253" s="309"/>
      <c r="PV253" s="309"/>
      <c r="PW253" s="309"/>
      <c r="PX253" s="309"/>
      <c r="PY253" s="309"/>
      <c r="PZ253" s="309"/>
      <c r="QA253" s="309"/>
      <c r="QB253" s="309"/>
      <c r="QC253" s="309"/>
      <c r="QD253" s="309"/>
      <c r="QE253" s="309"/>
      <c r="QF253" s="309"/>
      <c r="QG253" s="309"/>
      <c r="QH253" s="309"/>
      <c r="QI253" s="309"/>
      <c r="QJ253" s="309"/>
      <c r="QK253" s="309"/>
      <c r="QL253" s="309"/>
      <c r="QM253" s="309"/>
      <c r="QN253" s="309"/>
      <c r="QO253" s="309"/>
      <c r="QP253" s="309"/>
      <c r="QQ253" s="309"/>
      <c r="QR253" s="309"/>
      <c r="QS253" s="309"/>
      <c r="QT253" s="309"/>
      <c r="QU253" s="309"/>
      <c r="QV253" s="309"/>
      <c r="QW253" s="309"/>
      <c r="QX253" s="309"/>
      <c r="QY253" s="309"/>
      <c r="QZ253" s="309"/>
      <c r="RA253" s="309"/>
      <c r="RB253" s="309"/>
      <c r="RC253" s="309"/>
      <c r="RD253" s="309"/>
      <c r="RE253" s="309"/>
      <c r="RF253" s="309"/>
      <c r="RG253" s="309"/>
      <c r="RH253" s="309"/>
      <c r="RI253" s="309"/>
      <c r="RJ253" s="309"/>
      <c r="RK253" s="309"/>
      <c r="RL253" s="309"/>
      <c r="RM253" s="309"/>
      <c r="RN253" s="309"/>
      <c r="RO253" s="309"/>
      <c r="RP253" s="309"/>
      <c r="RQ253" s="309"/>
      <c r="RR253" s="309"/>
      <c r="RS253" s="309"/>
      <c r="RT253" s="309"/>
      <c r="RU253" s="309"/>
      <c r="RV253" s="309"/>
      <c r="RW253" s="309"/>
      <c r="RX253" s="309"/>
      <c r="RY253" s="309"/>
      <c r="RZ253" s="309"/>
      <c r="SA253" s="309"/>
      <c r="SB253" s="309"/>
      <c r="SC253" s="309"/>
      <c r="SD253" s="309"/>
      <c r="SE253" s="309"/>
      <c r="SF253" s="309"/>
      <c r="SG253" s="309"/>
      <c r="SH253" s="309"/>
      <c r="SI253" s="309"/>
      <c r="SJ253" s="309"/>
      <c r="SK253" s="309"/>
      <c r="SL253" s="309"/>
      <c r="SM253" s="309"/>
      <c r="SN253" s="309"/>
      <c r="SO253" s="309"/>
      <c r="SP253" s="309"/>
      <c r="SQ253" s="309"/>
      <c r="SR253" s="309"/>
      <c r="SS253" s="309"/>
      <c r="ST253" s="309"/>
      <c r="SU253" s="309"/>
      <c r="SV253" s="309"/>
      <c r="SW253" s="309"/>
      <c r="SX253" s="309"/>
      <c r="SY253" s="309"/>
      <c r="SZ253" s="309"/>
      <c r="TA253" s="309"/>
      <c r="TB253" s="309"/>
      <c r="TC253" s="309"/>
      <c r="TD253" s="309"/>
      <c r="TE253" s="309"/>
      <c r="TF253" s="309"/>
      <c r="TG253" s="309"/>
      <c r="TH253" s="309"/>
      <c r="TI253" s="309"/>
      <c r="TJ253" s="309"/>
      <c r="TK253" s="309"/>
      <c r="TL253" s="309"/>
      <c r="TM253" s="309"/>
      <c r="TN253" s="309"/>
      <c r="TO253" s="309"/>
      <c r="TP253" s="309"/>
      <c r="TQ253" s="309"/>
      <c r="TR253" s="309"/>
      <c r="TS253" s="309"/>
      <c r="TT253" s="309"/>
      <c r="TU253" s="309"/>
      <c r="TV253" s="309"/>
      <c r="TW253" s="309"/>
      <c r="TX253" s="309"/>
      <c r="TY253" s="309"/>
      <c r="TZ253" s="309"/>
      <c r="UA253" s="309"/>
      <c r="UB253" s="309"/>
      <c r="UC253" s="309"/>
      <c r="UD253" s="309"/>
      <c r="UE253" s="309"/>
      <c r="UF253" s="309"/>
      <c r="UG253" s="309"/>
      <c r="UH253" s="309"/>
      <c r="UI253" s="309"/>
      <c r="UJ253" s="309"/>
      <c r="UK253" s="309"/>
      <c r="UL253" s="309"/>
      <c r="UM253" s="309"/>
      <c r="UN253" s="309"/>
      <c r="UO253" s="309"/>
      <c r="UP253" s="309"/>
      <c r="UQ253" s="309"/>
      <c r="UR253" s="309"/>
      <c r="US253" s="309"/>
      <c r="UT253" s="309"/>
      <c r="UU253" s="309"/>
      <c r="UV253" s="309"/>
      <c r="UW253" s="309"/>
      <c r="UX253" s="309"/>
      <c r="UY253" s="309"/>
      <c r="UZ253" s="309"/>
      <c r="VA253" s="309"/>
      <c r="VB253" s="309"/>
      <c r="VC253" s="309"/>
      <c r="VD253" s="309"/>
      <c r="VE253" s="309"/>
      <c r="VF253" s="309"/>
      <c r="VG253" s="309"/>
      <c r="VH253" s="309"/>
      <c r="VI253" s="309"/>
      <c r="VJ253" s="309"/>
      <c r="VK253" s="309"/>
      <c r="VL253" s="309"/>
      <c r="VM253" s="309"/>
      <c r="VN253" s="309"/>
      <c r="VO253" s="309"/>
      <c r="VP253" s="309"/>
      <c r="VQ253" s="309"/>
      <c r="VR253" s="309"/>
      <c r="VS253" s="309"/>
      <c r="VT253" s="309"/>
      <c r="VU253" s="309"/>
      <c r="VV253" s="309"/>
      <c r="VW253" s="309"/>
      <c r="VX253" s="309"/>
      <c r="VY253" s="309"/>
      <c r="VZ253" s="309"/>
      <c r="WA253" s="309"/>
      <c r="WB253" s="309"/>
      <c r="WC253" s="309"/>
      <c r="WD253" s="309"/>
      <c r="WE253" s="309"/>
      <c r="WF253" s="309"/>
      <c r="WG253" s="309"/>
      <c r="WH253" s="309"/>
      <c r="WI253" s="309"/>
      <c r="WJ253" s="309"/>
      <c r="WK253" s="309"/>
      <c r="WL253" s="309"/>
      <c r="WM253" s="309"/>
      <c r="WN253" s="309"/>
      <c r="WO253" s="309"/>
      <c r="WP253" s="309"/>
      <c r="WQ253" s="309"/>
      <c r="WR253" s="309"/>
      <c r="WS253" s="309"/>
      <c r="WT253" s="309"/>
      <c r="WU253" s="309"/>
      <c r="WV253" s="309"/>
      <c r="WW253" s="309"/>
      <c r="WX253" s="309"/>
      <c r="WY253" s="309"/>
      <c r="WZ253" s="309"/>
      <c r="XA253" s="309"/>
      <c r="XB253" s="309"/>
      <c r="XC253" s="309"/>
      <c r="XD253" s="309"/>
      <c r="XE253" s="309"/>
      <c r="XF253" s="309"/>
      <c r="XG253" s="309"/>
      <c r="XH253" s="309"/>
      <c r="XI253" s="309"/>
      <c r="XJ253" s="309"/>
      <c r="XK253" s="309"/>
      <c r="XL253" s="309"/>
      <c r="XM253" s="309"/>
      <c r="XN253" s="309"/>
      <c r="XO253" s="309"/>
      <c r="XP253" s="309"/>
      <c r="XQ253" s="309"/>
      <c r="XR253" s="309"/>
      <c r="XS253" s="309"/>
      <c r="XT253" s="309"/>
      <c r="XU253" s="309"/>
      <c r="XV253" s="309"/>
      <c r="XW253" s="309"/>
      <c r="XX253" s="309"/>
      <c r="XY253" s="309"/>
      <c r="XZ253" s="309"/>
      <c r="YA253" s="309"/>
      <c r="YB253" s="309"/>
      <c r="YC253" s="309"/>
      <c r="YD253" s="309"/>
      <c r="YE253" s="309"/>
      <c r="YF253" s="309"/>
      <c r="YG253" s="309"/>
      <c r="YH253" s="309"/>
      <c r="YI253" s="309"/>
      <c r="YJ253" s="309"/>
      <c r="YK253" s="309"/>
      <c r="YL253" s="309"/>
      <c r="YM253" s="309"/>
      <c r="YN253" s="309"/>
      <c r="YO253" s="309"/>
      <c r="YP253" s="309"/>
      <c r="YQ253" s="309"/>
      <c r="YR253" s="309"/>
      <c r="YS253" s="309"/>
      <c r="YT253" s="309"/>
      <c r="YU253" s="309"/>
      <c r="YV253" s="309"/>
      <c r="YW253" s="309"/>
      <c r="YX253" s="309"/>
      <c r="YY253" s="309"/>
      <c r="YZ253" s="309"/>
      <c r="ZA253" s="309"/>
      <c r="ZB253" s="309"/>
      <c r="ZC253" s="309"/>
      <c r="ZD253" s="309"/>
      <c r="ZE253" s="309"/>
      <c r="ZF253" s="309"/>
      <c r="ZG253" s="309"/>
      <c r="ZH253" s="309"/>
      <c r="ZI253" s="309"/>
      <c r="ZJ253" s="309"/>
    </row>
    <row r="254" spans="1:686" s="308" customFormat="1" x14ac:dyDescent="0.3">
      <c r="E254" s="337"/>
      <c r="F254" s="337"/>
      <c r="G254" s="171"/>
      <c r="H254" s="1"/>
      <c r="Y254" s="309"/>
      <c r="Z254" s="309"/>
      <c r="AA254" s="309"/>
      <c r="AB254" s="309"/>
      <c r="AC254" s="309"/>
      <c r="AD254" s="309"/>
      <c r="AE254" s="309"/>
      <c r="AF254" s="309"/>
      <c r="AG254" s="309"/>
      <c r="AH254" s="309"/>
      <c r="AI254" s="309"/>
      <c r="AJ254" s="309"/>
      <c r="AK254" s="309"/>
      <c r="AL254" s="309"/>
      <c r="AM254" s="309"/>
      <c r="AN254" s="309"/>
      <c r="AO254" s="309"/>
      <c r="AP254" s="309"/>
      <c r="AQ254" s="309"/>
      <c r="AR254" s="309"/>
      <c r="AS254" s="309"/>
      <c r="AT254" s="309"/>
      <c r="AU254" s="309"/>
      <c r="AV254" s="309"/>
      <c r="AW254" s="309"/>
      <c r="AX254" s="309"/>
      <c r="AY254" s="309"/>
      <c r="AZ254" s="309"/>
      <c r="BA254" s="309"/>
      <c r="BB254" s="309"/>
      <c r="BC254" s="309"/>
      <c r="BD254" s="309"/>
      <c r="BE254" s="309"/>
      <c r="BF254" s="309"/>
      <c r="BG254" s="309"/>
      <c r="BH254" s="309"/>
      <c r="BI254" s="309"/>
      <c r="BJ254" s="309"/>
      <c r="BK254" s="309"/>
      <c r="BL254" s="309"/>
      <c r="BM254" s="309"/>
      <c r="BN254" s="309"/>
      <c r="BO254" s="309"/>
      <c r="BP254" s="309"/>
      <c r="BQ254" s="309"/>
      <c r="BR254" s="309"/>
      <c r="BS254" s="309"/>
      <c r="BT254" s="309"/>
      <c r="BU254" s="309"/>
      <c r="BV254" s="309"/>
      <c r="BW254" s="309"/>
      <c r="BX254" s="309"/>
      <c r="BY254" s="309"/>
      <c r="BZ254" s="309"/>
      <c r="CA254" s="309"/>
      <c r="CB254" s="309"/>
      <c r="CC254" s="309"/>
      <c r="CD254" s="309"/>
      <c r="CE254" s="309"/>
      <c r="CF254" s="309"/>
      <c r="CG254" s="309"/>
      <c r="CH254" s="309"/>
      <c r="CI254" s="309"/>
      <c r="CJ254" s="309"/>
      <c r="CK254" s="309"/>
      <c r="CL254" s="309"/>
      <c r="CM254" s="309"/>
      <c r="CN254" s="309"/>
      <c r="CO254" s="309"/>
      <c r="CP254" s="309"/>
      <c r="CQ254" s="309"/>
      <c r="CR254" s="309"/>
      <c r="CS254" s="309"/>
      <c r="CT254" s="309"/>
      <c r="CU254" s="309"/>
      <c r="CV254" s="309"/>
      <c r="CW254" s="309"/>
      <c r="CX254" s="309"/>
      <c r="CY254" s="309"/>
      <c r="CZ254" s="309"/>
      <c r="DA254" s="309"/>
      <c r="DB254" s="309"/>
      <c r="DC254" s="309"/>
      <c r="DD254" s="309"/>
      <c r="DE254" s="309"/>
      <c r="DF254" s="309"/>
      <c r="DG254" s="309"/>
      <c r="DH254" s="309"/>
      <c r="DI254" s="309"/>
      <c r="DJ254" s="309"/>
      <c r="DK254" s="309"/>
      <c r="DL254" s="309"/>
      <c r="DM254" s="309"/>
      <c r="DN254" s="309"/>
      <c r="DO254" s="309"/>
      <c r="DP254" s="309"/>
      <c r="DQ254" s="309"/>
      <c r="DR254" s="309"/>
      <c r="DS254" s="309"/>
      <c r="DT254" s="309"/>
      <c r="DU254" s="309"/>
      <c r="DV254" s="309"/>
      <c r="DW254" s="309"/>
      <c r="DX254" s="309"/>
      <c r="DY254" s="309"/>
      <c r="DZ254" s="309"/>
      <c r="EA254" s="309"/>
      <c r="EB254" s="309"/>
      <c r="EC254" s="309"/>
      <c r="ED254" s="309"/>
      <c r="EE254" s="309"/>
      <c r="EF254" s="309"/>
      <c r="EG254" s="309"/>
      <c r="EH254" s="309"/>
      <c r="EI254" s="309"/>
      <c r="EJ254" s="309"/>
      <c r="EK254" s="309"/>
      <c r="EL254" s="309"/>
      <c r="EM254" s="309"/>
      <c r="EN254" s="309"/>
      <c r="EO254" s="309"/>
      <c r="EP254" s="309"/>
      <c r="EQ254" s="309"/>
      <c r="ER254" s="309"/>
      <c r="ES254" s="309"/>
      <c r="ET254" s="309"/>
      <c r="EU254" s="309"/>
      <c r="EV254" s="309"/>
      <c r="EW254" s="309"/>
      <c r="EX254" s="309"/>
      <c r="EY254" s="309"/>
      <c r="EZ254" s="309"/>
      <c r="FA254" s="309"/>
      <c r="FB254" s="309"/>
      <c r="FC254" s="309"/>
      <c r="FD254" s="309"/>
      <c r="FE254" s="309"/>
      <c r="FF254" s="309"/>
      <c r="FG254" s="309"/>
      <c r="FH254" s="309"/>
      <c r="FI254" s="309"/>
      <c r="FJ254" s="309"/>
      <c r="FK254" s="309"/>
      <c r="FL254" s="309"/>
      <c r="FM254" s="309"/>
      <c r="FN254" s="309"/>
      <c r="FO254" s="309"/>
      <c r="FP254" s="309"/>
      <c r="FQ254" s="309"/>
      <c r="FR254" s="309"/>
      <c r="FS254" s="309"/>
      <c r="FT254" s="309"/>
      <c r="FU254" s="309"/>
      <c r="FV254" s="309"/>
      <c r="FW254" s="309"/>
      <c r="FX254" s="309"/>
      <c r="FY254" s="309"/>
      <c r="FZ254" s="309"/>
      <c r="GA254" s="309"/>
      <c r="GB254" s="309"/>
      <c r="GC254" s="309"/>
      <c r="GD254" s="309"/>
      <c r="GE254" s="309"/>
      <c r="GF254" s="309"/>
      <c r="GG254" s="309"/>
      <c r="GH254" s="309"/>
      <c r="GI254" s="309"/>
      <c r="GJ254" s="309"/>
      <c r="GK254" s="309"/>
      <c r="GL254" s="309"/>
      <c r="GM254" s="309"/>
      <c r="GN254" s="309"/>
      <c r="GO254" s="309"/>
      <c r="GP254" s="309"/>
      <c r="GQ254" s="309"/>
      <c r="GR254" s="309"/>
      <c r="GS254" s="309"/>
      <c r="GT254" s="309"/>
      <c r="GU254" s="309"/>
      <c r="GV254" s="309"/>
      <c r="GW254" s="309"/>
      <c r="GX254" s="309"/>
      <c r="GY254" s="309"/>
      <c r="GZ254" s="309"/>
      <c r="HA254" s="309"/>
      <c r="HB254" s="309"/>
      <c r="HC254" s="309"/>
      <c r="HD254" s="309"/>
      <c r="HE254" s="309"/>
      <c r="HF254" s="309"/>
      <c r="HG254" s="309"/>
      <c r="HH254" s="309"/>
      <c r="HI254" s="309"/>
      <c r="HJ254" s="309"/>
      <c r="HK254" s="309"/>
      <c r="HL254" s="309"/>
      <c r="HM254" s="309"/>
      <c r="HN254" s="309"/>
      <c r="HO254" s="309"/>
      <c r="HP254" s="309"/>
      <c r="HQ254" s="309"/>
      <c r="HR254" s="309"/>
      <c r="HS254" s="309"/>
      <c r="HT254" s="309"/>
      <c r="HU254" s="309"/>
      <c r="HV254" s="309"/>
      <c r="HW254" s="309"/>
      <c r="HX254" s="309"/>
      <c r="HY254" s="309"/>
      <c r="HZ254" s="309"/>
      <c r="IA254" s="309"/>
      <c r="IB254" s="309"/>
      <c r="IC254" s="309"/>
      <c r="ID254" s="309"/>
      <c r="IE254" s="309"/>
      <c r="IF254" s="309"/>
      <c r="IG254" s="309"/>
      <c r="IH254" s="309"/>
      <c r="II254" s="309"/>
      <c r="IJ254" s="309"/>
      <c r="IK254" s="309"/>
      <c r="IL254" s="309"/>
      <c r="IM254" s="309"/>
      <c r="IN254" s="309"/>
      <c r="IO254" s="309"/>
      <c r="IP254" s="309"/>
      <c r="IQ254" s="309"/>
      <c r="IR254" s="309"/>
      <c r="IS254" s="309"/>
      <c r="IT254" s="309"/>
      <c r="IU254" s="309"/>
      <c r="IV254" s="309"/>
      <c r="IW254" s="309"/>
      <c r="IX254" s="309"/>
      <c r="IY254" s="309"/>
      <c r="IZ254" s="309"/>
      <c r="JA254" s="309"/>
      <c r="JB254" s="309"/>
      <c r="JC254" s="309"/>
      <c r="JD254" s="309"/>
      <c r="JE254" s="309"/>
      <c r="JF254" s="309"/>
      <c r="JG254" s="309"/>
      <c r="JH254" s="309"/>
      <c r="JI254" s="309"/>
      <c r="JJ254" s="309"/>
      <c r="JK254" s="309"/>
      <c r="JL254" s="309"/>
      <c r="JM254" s="309"/>
      <c r="JN254" s="309"/>
      <c r="JO254" s="309"/>
      <c r="JP254" s="309"/>
      <c r="JQ254" s="309"/>
      <c r="JR254" s="309"/>
      <c r="JS254" s="309"/>
      <c r="JT254" s="309"/>
      <c r="JU254" s="309"/>
      <c r="JV254" s="309"/>
      <c r="JW254" s="309"/>
      <c r="JX254" s="309"/>
      <c r="JY254" s="309"/>
      <c r="JZ254" s="309"/>
      <c r="KA254" s="309"/>
      <c r="KB254" s="309"/>
      <c r="KC254" s="309"/>
      <c r="KD254" s="309"/>
      <c r="KE254" s="309"/>
      <c r="KF254" s="309"/>
      <c r="KG254" s="309"/>
      <c r="KH254" s="309"/>
      <c r="KI254" s="309"/>
      <c r="KJ254" s="309"/>
      <c r="KK254" s="309"/>
      <c r="KL254" s="309"/>
      <c r="KM254" s="309"/>
      <c r="KN254" s="309"/>
      <c r="KO254" s="309"/>
      <c r="KP254" s="309"/>
      <c r="KQ254" s="309"/>
      <c r="KR254" s="309"/>
      <c r="KS254" s="309"/>
      <c r="KT254" s="309"/>
      <c r="KU254" s="309"/>
      <c r="KV254" s="309"/>
      <c r="KW254" s="309"/>
      <c r="KX254" s="309"/>
      <c r="KY254" s="309"/>
      <c r="KZ254" s="309"/>
      <c r="LA254" s="309"/>
      <c r="LB254" s="309"/>
      <c r="LC254" s="309"/>
      <c r="LD254" s="309"/>
      <c r="LE254" s="309"/>
      <c r="LF254" s="309"/>
      <c r="LG254" s="309"/>
      <c r="LH254" s="309"/>
      <c r="LI254" s="309"/>
      <c r="LJ254" s="309"/>
      <c r="LK254" s="309"/>
      <c r="LL254" s="309"/>
      <c r="LM254" s="309"/>
      <c r="LN254" s="309"/>
      <c r="LO254" s="309"/>
      <c r="LP254" s="309"/>
      <c r="LQ254" s="309"/>
      <c r="LR254" s="309"/>
      <c r="LS254" s="309"/>
      <c r="LT254" s="309"/>
      <c r="LU254" s="309"/>
      <c r="LV254" s="309"/>
      <c r="LW254" s="309"/>
      <c r="LX254" s="309"/>
      <c r="LY254" s="309"/>
      <c r="LZ254" s="309"/>
      <c r="MA254" s="309"/>
      <c r="MB254" s="309"/>
      <c r="MC254" s="309"/>
      <c r="MD254" s="309"/>
      <c r="ME254" s="309"/>
      <c r="MF254" s="309"/>
      <c r="MG254" s="309"/>
      <c r="MH254" s="309"/>
      <c r="MI254" s="309"/>
      <c r="MJ254" s="309"/>
      <c r="MK254" s="309"/>
      <c r="ML254" s="309"/>
      <c r="MM254" s="309"/>
      <c r="MN254" s="309"/>
      <c r="MO254" s="309"/>
      <c r="MP254" s="309"/>
      <c r="MQ254" s="309"/>
      <c r="MR254" s="309"/>
      <c r="MS254" s="309"/>
      <c r="MT254" s="309"/>
      <c r="MU254" s="309"/>
      <c r="MV254" s="309"/>
      <c r="MW254" s="309"/>
      <c r="MX254" s="309"/>
      <c r="MY254" s="309"/>
      <c r="MZ254" s="309"/>
      <c r="NA254" s="309"/>
      <c r="NB254" s="309"/>
      <c r="NC254" s="309"/>
      <c r="ND254" s="309"/>
      <c r="NE254" s="309"/>
      <c r="NF254" s="309"/>
      <c r="NG254" s="309"/>
      <c r="NH254" s="309"/>
      <c r="NI254" s="309"/>
      <c r="NJ254" s="309"/>
      <c r="NK254" s="309"/>
      <c r="NL254" s="309"/>
      <c r="NM254" s="309"/>
      <c r="NN254" s="309"/>
      <c r="NO254" s="309"/>
      <c r="NP254" s="309"/>
      <c r="NQ254" s="309"/>
      <c r="NR254" s="309"/>
      <c r="NS254" s="309"/>
      <c r="NT254" s="309"/>
      <c r="NU254" s="309"/>
      <c r="NV254" s="309"/>
      <c r="NW254" s="309"/>
      <c r="NX254" s="309"/>
      <c r="NY254" s="309"/>
      <c r="NZ254" s="309"/>
      <c r="OA254" s="309"/>
      <c r="OB254" s="309"/>
      <c r="OC254" s="309"/>
      <c r="OD254" s="309"/>
      <c r="OE254" s="309"/>
      <c r="OF254" s="309"/>
      <c r="OG254" s="309"/>
      <c r="OH254" s="309"/>
      <c r="OI254" s="309"/>
      <c r="OJ254" s="309"/>
      <c r="OK254" s="309"/>
      <c r="OL254" s="309"/>
      <c r="OM254" s="309"/>
      <c r="ON254" s="309"/>
      <c r="OO254" s="309"/>
      <c r="OP254" s="309"/>
      <c r="OQ254" s="309"/>
      <c r="OR254" s="309"/>
      <c r="OS254" s="309"/>
      <c r="OT254" s="309"/>
      <c r="OU254" s="309"/>
      <c r="OV254" s="309"/>
      <c r="OW254" s="309"/>
      <c r="OX254" s="309"/>
      <c r="OY254" s="309"/>
      <c r="OZ254" s="309"/>
      <c r="PA254" s="309"/>
      <c r="PB254" s="309"/>
      <c r="PC254" s="309"/>
      <c r="PD254" s="309"/>
      <c r="PE254" s="309"/>
      <c r="PF254" s="309"/>
      <c r="PG254" s="309"/>
      <c r="PH254" s="309"/>
      <c r="PI254" s="309"/>
      <c r="PJ254" s="309"/>
      <c r="PK254" s="309"/>
      <c r="PL254" s="309"/>
      <c r="PM254" s="309"/>
      <c r="PN254" s="309"/>
      <c r="PO254" s="309"/>
      <c r="PP254" s="309"/>
      <c r="PQ254" s="309"/>
      <c r="PR254" s="309"/>
      <c r="PS254" s="309"/>
      <c r="PT254" s="309"/>
      <c r="PU254" s="309"/>
      <c r="PV254" s="309"/>
      <c r="PW254" s="309"/>
      <c r="PX254" s="309"/>
      <c r="PY254" s="309"/>
      <c r="PZ254" s="309"/>
      <c r="QA254" s="309"/>
      <c r="QB254" s="309"/>
      <c r="QC254" s="309"/>
      <c r="QD254" s="309"/>
      <c r="QE254" s="309"/>
      <c r="QF254" s="309"/>
      <c r="QG254" s="309"/>
      <c r="QH254" s="309"/>
      <c r="QI254" s="309"/>
      <c r="QJ254" s="309"/>
      <c r="QK254" s="309"/>
      <c r="QL254" s="309"/>
      <c r="QM254" s="309"/>
      <c r="QN254" s="309"/>
      <c r="QO254" s="309"/>
      <c r="QP254" s="309"/>
      <c r="QQ254" s="309"/>
      <c r="QR254" s="309"/>
      <c r="QS254" s="309"/>
      <c r="QT254" s="309"/>
      <c r="QU254" s="309"/>
      <c r="QV254" s="309"/>
      <c r="QW254" s="309"/>
      <c r="QX254" s="309"/>
      <c r="QY254" s="309"/>
      <c r="QZ254" s="309"/>
      <c r="RA254" s="309"/>
      <c r="RB254" s="309"/>
      <c r="RC254" s="309"/>
      <c r="RD254" s="309"/>
      <c r="RE254" s="309"/>
      <c r="RF254" s="309"/>
      <c r="RG254" s="309"/>
      <c r="RH254" s="309"/>
      <c r="RI254" s="309"/>
      <c r="RJ254" s="309"/>
      <c r="RK254" s="309"/>
      <c r="RL254" s="309"/>
      <c r="RM254" s="309"/>
      <c r="RN254" s="309"/>
      <c r="RO254" s="309"/>
      <c r="RP254" s="309"/>
      <c r="RQ254" s="309"/>
      <c r="RR254" s="309"/>
      <c r="RS254" s="309"/>
      <c r="RT254" s="309"/>
      <c r="RU254" s="309"/>
      <c r="RV254" s="309"/>
      <c r="RW254" s="309"/>
      <c r="RX254" s="309"/>
      <c r="RY254" s="309"/>
      <c r="RZ254" s="309"/>
      <c r="SA254" s="309"/>
      <c r="SB254" s="309"/>
      <c r="SC254" s="309"/>
      <c r="SD254" s="309"/>
      <c r="SE254" s="309"/>
      <c r="SF254" s="309"/>
      <c r="SG254" s="309"/>
      <c r="SH254" s="309"/>
      <c r="SI254" s="309"/>
      <c r="SJ254" s="309"/>
      <c r="SK254" s="309"/>
      <c r="SL254" s="309"/>
      <c r="SM254" s="309"/>
      <c r="SN254" s="309"/>
      <c r="SO254" s="309"/>
      <c r="SP254" s="309"/>
      <c r="SQ254" s="309"/>
      <c r="SR254" s="309"/>
      <c r="SS254" s="309"/>
      <c r="ST254" s="309"/>
      <c r="SU254" s="309"/>
      <c r="SV254" s="309"/>
      <c r="SW254" s="309"/>
      <c r="SX254" s="309"/>
      <c r="SY254" s="309"/>
      <c r="SZ254" s="309"/>
      <c r="TA254" s="309"/>
      <c r="TB254" s="309"/>
      <c r="TC254" s="309"/>
      <c r="TD254" s="309"/>
      <c r="TE254" s="309"/>
      <c r="TF254" s="309"/>
      <c r="TG254" s="309"/>
      <c r="TH254" s="309"/>
      <c r="TI254" s="309"/>
      <c r="TJ254" s="309"/>
      <c r="TK254" s="309"/>
      <c r="TL254" s="309"/>
      <c r="TM254" s="309"/>
      <c r="TN254" s="309"/>
      <c r="TO254" s="309"/>
      <c r="TP254" s="309"/>
      <c r="TQ254" s="309"/>
      <c r="TR254" s="309"/>
      <c r="TS254" s="309"/>
      <c r="TT254" s="309"/>
      <c r="TU254" s="309"/>
      <c r="TV254" s="309"/>
      <c r="TW254" s="309"/>
      <c r="TX254" s="309"/>
      <c r="TY254" s="309"/>
      <c r="TZ254" s="309"/>
      <c r="UA254" s="309"/>
      <c r="UB254" s="309"/>
      <c r="UC254" s="309"/>
      <c r="UD254" s="309"/>
      <c r="UE254" s="309"/>
      <c r="UF254" s="309"/>
      <c r="UG254" s="309"/>
      <c r="UH254" s="309"/>
      <c r="UI254" s="309"/>
      <c r="UJ254" s="309"/>
      <c r="UK254" s="309"/>
      <c r="UL254" s="309"/>
      <c r="UM254" s="309"/>
      <c r="UN254" s="309"/>
      <c r="UO254" s="309"/>
      <c r="UP254" s="309"/>
      <c r="UQ254" s="309"/>
      <c r="UR254" s="309"/>
      <c r="US254" s="309"/>
      <c r="UT254" s="309"/>
      <c r="UU254" s="309"/>
      <c r="UV254" s="309"/>
      <c r="UW254" s="309"/>
      <c r="UX254" s="309"/>
      <c r="UY254" s="309"/>
      <c r="UZ254" s="309"/>
      <c r="VA254" s="309"/>
      <c r="VB254" s="309"/>
      <c r="VC254" s="309"/>
      <c r="VD254" s="309"/>
      <c r="VE254" s="309"/>
      <c r="VF254" s="309"/>
      <c r="VG254" s="309"/>
      <c r="VH254" s="309"/>
      <c r="VI254" s="309"/>
      <c r="VJ254" s="309"/>
      <c r="VK254" s="309"/>
      <c r="VL254" s="309"/>
      <c r="VM254" s="309"/>
      <c r="VN254" s="309"/>
      <c r="VO254" s="309"/>
      <c r="VP254" s="309"/>
      <c r="VQ254" s="309"/>
      <c r="VR254" s="309"/>
      <c r="VS254" s="309"/>
      <c r="VT254" s="309"/>
      <c r="VU254" s="309"/>
      <c r="VV254" s="309"/>
      <c r="VW254" s="309"/>
      <c r="VX254" s="309"/>
      <c r="VY254" s="309"/>
      <c r="VZ254" s="309"/>
      <c r="WA254" s="309"/>
      <c r="WB254" s="309"/>
      <c r="WC254" s="309"/>
      <c r="WD254" s="309"/>
      <c r="WE254" s="309"/>
      <c r="WF254" s="309"/>
      <c r="WG254" s="309"/>
      <c r="WH254" s="309"/>
      <c r="WI254" s="309"/>
      <c r="WJ254" s="309"/>
      <c r="WK254" s="309"/>
      <c r="WL254" s="309"/>
      <c r="WM254" s="309"/>
      <c r="WN254" s="309"/>
      <c r="WO254" s="309"/>
      <c r="WP254" s="309"/>
      <c r="WQ254" s="309"/>
      <c r="WR254" s="309"/>
      <c r="WS254" s="309"/>
      <c r="WT254" s="309"/>
      <c r="WU254" s="309"/>
      <c r="WV254" s="309"/>
      <c r="WW254" s="309"/>
      <c r="WX254" s="309"/>
      <c r="WY254" s="309"/>
      <c r="WZ254" s="309"/>
      <c r="XA254" s="309"/>
      <c r="XB254" s="309"/>
      <c r="XC254" s="309"/>
      <c r="XD254" s="309"/>
      <c r="XE254" s="309"/>
      <c r="XF254" s="309"/>
      <c r="XG254" s="309"/>
      <c r="XH254" s="309"/>
      <c r="XI254" s="309"/>
      <c r="XJ254" s="309"/>
      <c r="XK254" s="309"/>
      <c r="XL254" s="309"/>
      <c r="XM254" s="309"/>
      <c r="XN254" s="309"/>
      <c r="XO254" s="309"/>
      <c r="XP254" s="309"/>
      <c r="XQ254" s="309"/>
      <c r="XR254" s="309"/>
      <c r="XS254" s="309"/>
      <c r="XT254" s="309"/>
      <c r="XU254" s="309"/>
      <c r="XV254" s="309"/>
      <c r="XW254" s="309"/>
      <c r="XX254" s="309"/>
      <c r="XY254" s="309"/>
      <c r="XZ254" s="309"/>
      <c r="YA254" s="309"/>
      <c r="YB254" s="309"/>
      <c r="YC254" s="309"/>
      <c r="YD254" s="309"/>
      <c r="YE254" s="309"/>
      <c r="YF254" s="309"/>
      <c r="YG254" s="309"/>
      <c r="YH254" s="309"/>
      <c r="YI254" s="309"/>
      <c r="YJ254" s="309"/>
      <c r="YK254" s="309"/>
      <c r="YL254" s="309"/>
      <c r="YM254" s="309"/>
      <c r="YN254" s="309"/>
      <c r="YO254" s="309"/>
      <c r="YP254" s="309"/>
      <c r="YQ254" s="309"/>
      <c r="YR254" s="309"/>
      <c r="YS254" s="309"/>
      <c r="YT254" s="309"/>
      <c r="YU254" s="309"/>
      <c r="YV254" s="309"/>
      <c r="YW254" s="309"/>
      <c r="YX254" s="309"/>
      <c r="YY254" s="309"/>
      <c r="YZ254" s="309"/>
      <c r="ZA254" s="309"/>
      <c r="ZB254" s="309"/>
      <c r="ZC254" s="309"/>
      <c r="ZD254" s="309"/>
      <c r="ZE254" s="309"/>
      <c r="ZF254" s="309"/>
      <c r="ZG254" s="309"/>
      <c r="ZH254" s="309"/>
      <c r="ZI254" s="309"/>
      <c r="ZJ254" s="309"/>
    </row>
    <row r="255" spans="1:686" s="308" customFormat="1" x14ac:dyDescent="0.3">
      <c r="E255" s="337"/>
      <c r="F255" s="337"/>
      <c r="G255" s="171"/>
      <c r="H255" s="1"/>
      <c r="Y255" s="309"/>
      <c r="Z255" s="309"/>
      <c r="AA255" s="309"/>
      <c r="AB255" s="309"/>
      <c r="AC255" s="309"/>
      <c r="AD255" s="309"/>
      <c r="AE255" s="309"/>
      <c r="AF255" s="309"/>
      <c r="AG255" s="309"/>
      <c r="AH255" s="309"/>
      <c r="AI255" s="309"/>
      <c r="AJ255" s="309"/>
      <c r="AK255" s="309"/>
      <c r="AL255" s="309"/>
      <c r="AM255" s="309"/>
      <c r="AN255" s="309"/>
      <c r="AO255" s="309"/>
      <c r="AP255" s="309"/>
      <c r="AQ255" s="309"/>
      <c r="AR255" s="309"/>
      <c r="AS255" s="309"/>
      <c r="AT255" s="309"/>
      <c r="AU255" s="309"/>
      <c r="AV255" s="309"/>
      <c r="AW255" s="309"/>
      <c r="AX255" s="309"/>
      <c r="AY255" s="309"/>
      <c r="AZ255" s="309"/>
      <c r="BA255" s="309"/>
      <c r="BB255" s="309"/>
      <c r="BC255" s="309"/>
      <c r="BD255" s="309"/>
      <c r="BE255" s="309"/>
      <c r="BF255" s="309"/>
      <c r="BG255" s="309"/>
      <c r="BH255" s="309"/>
      <c r="BI255" s="309"/>
      <c r="BJ255" s="309"/>
      <c r="BK255" s="309"/>
      <c r="BL255" s="309"/>
      <c r="BM255" s="309"/>
      <c r="BN255" s="309"/>
      <c r="BO255" s="309"/>
      <c r="BP255" s="309"/>
      <c r="BQ255" s="309"/>
      <c r="BR255" s="309"/>
      <c r="BS255" s="309"/>
      <c r="BT255" s="309"/>
      <c r="BU255" s="309"/>
      <c r="BV255" s="309"/>
      <c r="BW255" s="309"/>
      <c r="BX255" s="309"/>
      <c r="BY255" s="309"/>
      <c r="BZ255" s="309"/>
      <c r="CA255" s="309"/>
      <c r="CB255" s="309"/>
      <c r="CC255" s="309"/>
      <c r="CD255" s="309"/>
      <c r="CE255" s="309"/>
      <c r="CF255" s="309"/>
      <c r="CG255" s="309"/>
      <c r="CH255" s="309"/>
      <c r="CI255" s="309"/>
      <c r="CJ255" s="309"/>
      <c r="CK255" s="309"/>
      <c r="CL255" s="309"/>
      <c r="CM255" s="309"/>
      <c r="CN255" s="309"/>
      <c r="CO255" s="309"/>
      <c r="CP255" s="309"/>
      <c r="CQ255" s="309"/>
      <c r="CR255" s="309"/>
      <c r="CS255" s="309"/>
      <c r="CT255" s="309"/>
      <c r="CU255" s="309"/>
      <c r="CV255" s="309"/>
      <c r="CW255" s="309"/>
      <c r="CX255" s="309"/>
      <c r="CY255" s="309"/>
      <c r="CZ255" s="309"/>
      <c r="DA255" s="309"/>
      <c r="DB255" s="309"/>
      <c r="DC255" s="309"/>
      <c r="DD255" s="309"/>
      <c r="DE255" s="309"/>
      <c r="DF255" s="309"/>
      <c r="DG255" s="309"/>
      <c r="DH255" s="309"/>
      <c r="DI255" s="309"/>
      <c r="DJ255" s="309"/>
      <c r="DK255" s="309"/>
      <c r="DL255" s="309"/>
      <c r="DM255" s="309"/>
      <c r="DN255" s="309"/>
      <c r="DO255" s="309"/>
      <c r="DP255" s="309"/>
      <c r="DQ255" s="309"/>
      <c r="DR255" s="309"/>
      <c r="DS255" s="309"/>
      <c r="DT255" s="309"/>
      <c r="DU255" s="309"/>
      <c r="DV255" s="309"/>
      <c r="DW255" s="309"/>
      <c r="DX255" s="309"/>
      <c r="DY255" s="309"/>
      <c r="DZ255" s="309"/>
      <c r="EA255" s="309"/>
      <c r="EB255" s="309"/>
      <c r="EC255" s="309"/>
      <c r="ED255" s="309"/>
      <c r="EE255" s="309"/>
      <c r="EF255" s="309"/>
      <c r="EG255" s="309"/>
      <c r="EH255" s="309"/>
      <c r="EI255" s="309"/>
      <c r="EJ255" s="309"/>
      <c r="EK255" s="309"/>
      <c r="EL255" s="309"/>
      <c r="EM255" s="309"/>
      <c r="EN255" s="309"/>
      <c r="EO255" s="309"/>
      <c r="EP255" s="309"/>
      <c r="EQ255" s="309"/>
      <c r="ER255" s="309"/>
      <c r="ES255" s="309"/>
      <c r="ET255" s="309"/>
      <c r="EU255" s="309"/>
      <c r="EV255" s="309"/>
      <c r="EW255" s="309"/>
      <c r="EX255" s="309"/>
      <c r="EY255" s="309"/>
      <c r="EZ255" s="309"/>
      <c r="FA255" s="309"/>
      <c r="FB255" s="309"/>
      <c r="FC255" s="309"/>
      <c r="FD255" s="309"/>
      <c r="FE255" s="309"/>
      <c r="FF255" s="309"/>
      <c r="FG255" s="309"/>
      <c r="FH255" s="309"/>
      <c r="FI255" s="309"/>
      <c r="FJ255" s="309"/>
      <c r="FK255" s="309"/>
      <c r="FL255" s="309"/>
      <c r="FM255" s="309"/>
      <c r="FN255" s="309"/>
      <c r="FO255" s="309"/>
      <c r="FP255" s="309"/>
      <c r="FQ255" s="309"/>
      <c r="FR255" s="309"/>
      <c r="FS255" s="309"/>
      <c r="FT255" s="309"/>
      <c r="FU255" s="309"/>
      <c r="FV255" s="309"/>
      <c r="FW255" s="309"/>
      <c r="FX255" s="309"/>
      <c r="FY255" s="309"/>
      <c r="FZ255" s="309"/>
      <c r="GA255" s="309"/>
      <c r="GB255" s="309"/>
      <c r="GC255" s="309"/>
      <c r="GD255" s="309"/>
      <c r="GE255" s="309"/>
      <c r="GF255" s="309"/>
      <c r="GG255" s="309"/>
      <c r="GH255" s="309"/>
      <c r="GI255" s="309"/>
      <c r="GJ255" s="309"/>
      <c r="GK255" s="309"/>
      <c r="GL255" s="309"/>
      <c r="GM255" s="309"/>
      <c r="GN255" s="309"/>
      <c r="GO255" s="309"/>
      <c r="GP255" s="309"/>
      <c r="GQ255" s="309"/>
      <c r="GR255" s="309"/>
      <c r="GS255" s="309"/>
      <c r="GT255" s="309"/>
      <c r="GU255" s="309"/>
      <c r="GV255" s="309"/>
      <c r="GW255" s="309"/>
      <c r="GX255" s="309"/>
      <c r="GY255" s="309"/>
      <c r="GZ255" s="309"/>
      <c r="HA255" s="309"/>
      <c r="HB255" s="309"/>
      <c r="HC255" s="309"/>
      <c r="HD255" s="309"/>
      <c r="HE255" s="309"/>
      <c r="HF255" s="309"/>
      <c r="HG255" s="309"/>
      <c r="HH255" s="309"/>
      <c r="HI255" s="309"/>
      <c r="HJ255" s="309"/>
      <c r="HK255" s="309"/>
      <c r="HL255" s="309"/>
      <c r="HM255" s="309"/>
      <c r="HN255" s="309"/>
      <c r="HO255" s="309"/>
      <c r="HP255" s="309"/>
      <c r="HQ255" s="309"/>
      <c r="HR255" s="309"/>
      <c r="HS255" s="309"/>
      <c r="HT255" s="309"/>
      <c r="HU255" s="309"/>
      <c r="HV255" s="309"/>
      <c r="HW255" s="309"/>
      <c r="HX255" s="309"/>
      <c r="HY255" s="309"/>
      <c r="HZ255" s="309"/>
      <c r="IA255" s="309"/>
      <c r="IB255" s="309"/>
      <c r="IC255" s="309"/>
      <c r="ID255" s="309"/>
      <c r="IE255" s="309"/>
      <c r="IF255" s="309"/>
      <c r="IG255" s="309"/>
      <c r="IH255" s="309"/>
      <c r="II255" s="309"/>
      <c r="IJ255" s="309"/>
      <c r="IK255" s="309"/>
      <c r="IL255" s="309"/>
      <c r="IM255" s="309"/>
      <c r="IN255" s="309"/>
      <c r="IO255" s="309"/>
      <c r="IP255" s="309"/>
      <c r="IQ255" s="309"/>
      <c r="IR255" s="309"/>
      <c r="IS255" s="309"/>
      <c r="IT255" s="309"/>
      <c r="IU255" s="309"/>
      <c r="IV255" s="309"/>
      <c r="IW255" s="309"/>
      <c r="IX255" s="309"/>
      <c r="IY255" s="309"/>
      <c r="IZ255" s="309"/>
      <c r="JA255" s="309"/>
      <c r="JB255" s="309"/>
      <c r="JC255" s="309"/>
      <c r="JD255" s="309"/>
      <c r="JE255" s="309"/>
      <c r="JF255" s="309"/>
      <c r="JG255" s="309"/>
      <c r="JH255" s="309"/>
      <c r="JI255" s="309"/>
      <c r="JJ255" s="309"/>
      <c r="JK255" s="309"/>
      <c r="JL255" s="309"/>
      <c r="JM255" s="309"/>
      <c r="JN255" s="309"/>
      <c r="JO255" s="309"/>
      <c r="JP255" s="309"/>
      <c r="JQ255" s="309"/>
      <c r="JR255" s="309"/>
      <c r="JS255" s="309"/>
      <c r="JT255" s="309"/>
      <c r="JU255" s="309"/>
      <c r="JV255" s="309"/>
      <c r="JW255" s="309"/>
      <c r="JX255" s="309"/>
      <c r="JY255" s="309"/>
      <c r="JZ255" s="309"/>
      <c r="KA255" s="309"/>
      <c r="KB255" s="309"/>
      <c r="KC255" s="309"/>
      <c r="KD255" s="309"/>
      <c r="KE255" s="309"/>
      <c r="KF255" s="309"/>
      <c r="KG255" s="309"/>
      <c r="KH255" s="309"/>
      <c r="KI255" s="309"/>
      <c r="KJ255" s="309"/>
      <c r="KK255" s="309"/>
      <c r="KL255" s="309"/>
      <c r="KM255" s="309"/>
      <c r="KN255" s="309"/>
      <c r="KO255" s="309"/>
      <c r="KP255" s="309"/>
      <c r="KQ255" s="309"/>
      <c r="KR255" s="309"/>
      <c r="KS255" s="309"/>
      <c r="KT255" s="309"/>
      <c r="KU255" s="309"/>
      <c r="KV255" s="309"/>
      <c r="KW255" s="309"/>
      <c r="KX255" s="309"/>
      <c r="KY255" s="309"/>
      <c r="KZ255" s="309"/>
      <c r="LA255" s="309"/>
      <c r="LB255" s="309"/>
      <c r="LC255" s="309"/>
      <c r="LD255" s="309"/>
      <c r="LE255" s="309"/>
      <c r="LF255" s="309"/>
      <c r="LG255" s="309"/>
      <c r="LH255" s="309"/>
      <c r="LI255" s="309"/>
      <c r="LJ255" s="309"/>
      <c r="LK255" s="309"/>
      <c r="LL255" s="309"/>
      <c r="LM255" s="309"/>
      <c r="LN255" s="309"/>
      <c r="LO255" s="309"/>
      <c r="LP255" s="309"/>
      <c r="LQ255" s="309"/>
      <c r="LR255" s="309"/>
      <c r="LS255" s="309"/>
      <c r="LT255" s="309"/>
      <c r="LU255" s="309"/>
      <c r="LV255" s="309"/>
      <c r="LW255" s="309"/>
      <c r="LX255" s="309"/>
      <c r="LY255" s="309"/>
      <c r="LZ255" s="309"/>
      <c r="MA255" s="309"/>
      <c r="MB255" s="309"/>
      <c r="MC255" s="309"/>
      <c r="MD255" s="309"/>
      <c r="ME255" s="309"/>
      <c r="MF255" s="309"/>
      <c r="MG255" s="309"/>
      <c r="MH255" s="309"/>
      <c r="MI255" s="309"/>
      <c r="MJ255" s="309"/>
      <c r="MK255" s="309"/>
      <c r="ML255" s="309"/>
      <c r="MM255" s="309"/>
      <c r="MN255" s="309"/>
      <c r="MO255" s="309"/>
      <c r="MP255" s="309"/>
      <c r="MQ255" s="309"/>
      <c r="MR255" s="309"/>
      <c r="MS255" s="309"/>
      <c r="MT255" s="309"/>
      <c r="MU255" s="309"/>
      <c r="MV255" s="309"/>
      <c r="MW255" s="309"/>
      <c r="MX255" s="309"/>
      <c r="MY255" s="309"/>
      <c r="MZ255" s="309"/>
      <c r="NA255" s="309"/>
      <c r="NB255" s="309"/>
      <c r="NC255" s="309"/>
      <c r="ND255" s="309"/>
      <c r="NE255" s="309"/>
      <c r="NF255" s="309"/>
      <c r="NG255" s="309"/>
      <c r="NH255" s="309"/>
      <c r="NI255" s="309"/>
      <c r="NJ255" s="309"/>
      <c r="NK255" s="309"/>
      <c r="NL255" s="309"/>
      <c r="NM255" s="309"/>
      <c r="NN255" s="309"/>
      <c r="NO255" s="309"/>
      <c r="NP255" s="309"/>
      <c r="NQ255" s="309"/>
      <c r="NR255" s="309"/>
      <c r="NS255" s="309"/>
      <c r="NT255" s="309"/>
      <c r="NU255" s="309"/>
      <c r="NV255" s="309"/>
      <c r="NW255" s="309"/>
      <c r="NX255" s="309"/>
      <c r="NY255" s="309"/>
      <c r="NZ255" s="309"/>
      <c r="OA255" s="309"/>
      <c r="OB255" s="309"/>
      <c r="OC255" s="309"/>
      <c r="OD255" s="309"/>
      <c r="OE255" s="309"/>
      <c r="OF255" s="309"/>
      <c r="OG255" s="309"/>
      <c r="OH255" s="309"/>
      <c r="OI255" s="309"/>
      <c r="OJ255" s="309"/>
      <c r="OK255" s="309"/>
      <c r="OL255" s="309"/>
      <c r="OM255" s="309"/>
      <c r="ON255" s="309"/>
      <c r="OO255" s="309"/>
      <c r="OP255" s="309"/>
      <c r="OQ255" s="309"/>
      <c r="OR255" s="309"/>
      <c r="OS255" s="309"/>
      <c r="OT255" s="309"/>
      <c r="OU255" s="309"/>
      <c r="OV255" s="309"/>
      <c r="OW255" s="309"/>
      <c r="OX255" s="309"/>
      <c r="OY255" s="309"/>
      <c r="OZ255" s="309"/>
      <c r="PA255" s="309"/>
      <c r="PB255" s="309"/>
      <c r="PC255" s="309"/>
      <c r="PD255" s="309"/>
      <c r="PE255" s="309"/>
      <c r="PF255" s="309"/>
      <c r="PG255" s="309"/>
      <c r="PH255" s="309"/>
      <c r="PI255" s="309"/>
      <c r="PJ255" s="309"/>
      <c r="PK255" s="309"/>
      <c r="PL255" s="309"/>
      <c r="PM255" s="309"/>
      <c r="PN255" s="309"/>
      <c r="PO255" s="309"/>
      <c r="PP255" s="309"/>
      <c r="PQ255" s="309"/>
      <c r="PR255" s="309"/>
      <c r="PS255" s="309"/>
      <c r="PT255" s="309"/>
      <c r="PU255" s="309"/>
      <c r="PV255" s="309"/>
      <c r="PW255" s="309"/>
      <c r="PX255" s="309"/>
      <c r="PY255" s="309"/>
      <c r="PZ255" s="309"/>
      <c r="QA255" s="309"/>
      <c r="QB255" s="309"/>
      <c r="QC255" s="309"/>
      <c r="QD255" s="309"/>
      <c r="QE255" s="309"/>
      <c r="QF255" s="309"/>
      <c r="QG255" s="309"/>
      <c r="QH255" s="309"/>
      <c r="QI255" s="309"/>
      <c r="QJ255" s="309"/>
      <c r="QK255" s="309"/>
      <c r="QL255" s="309"/>
      <c r="QM255" s="309"/>
      <c r="QN255" s="309"/>
      <c r="QO255" s="309"/>
      <c r="QP255" s="309"/>
      <c r="QQ255" s="309"/>
      <c r="QR255" s="309"/>
      <c r="QS255" s="309"/>
      <c r="QT255" s="309"/>
      <c r="QU255" s="309"/>
      <c r="QV255" s="309"/>
      <c r="QW255" s="309"/>
      <c r="QX255" s="309"/>
      <c r="QY255" s="309"/>
      <c r="QZ255" s="309"/>
      <c r="RA255" s="309"/>
      <c r="RB255" s="309"/>
      <c r="RC255" s="309"/>
      <c r="RD255" s="309"/>
      <c r="RE255" s="309"/>
      <c r="RF255" s="309"/>
      <c r="RG255" s="309"/>
      <c r="RH255" s="309"/>
      <c r="RI255" s="309"/>
      <c r="RJ255" s="309"/>
      <c r="RK255" s="309"/>
      <c r="RL255" s="309"/>
      <c r="RM255" s="309"/>
      <c r="RN255" s="309"/>
      <c r="RO255" s="309"/>
      <c r="RP255" s="309"/>
      <c r="RQ255" s="309"/>
      <c r="RR255" s="309"/>
      <c r="RS255" s="309"/>
      <c r="RT255" s="309"/>
      <c r="RU255" s="309"/>
      <c r="RV255" s="309"/>
      <c r="RW255" s="309"/>
      <c r="RX255" s="309"/>
      <c r="RY255" s="309"/>
      <c r="RZ255" s="309"/>
      <c r="SA255" s="309"/>
      <c r="SB255" s="309"/>
      <c r="SC255" s="309"/>
      <c r="SD255" s="309"/>
      <c r="SE255" s="309"/>
      <c r="SF255" s="309"/>
      <c r="SG255" s="309"/>
      <c r="SH255" s="309"/>
      <c r="SI255" s="309"/>
      <c r="SJ255" s="309"/>
      <c r="SK255" s="309"/>
      <c r="SL255" s="309"/>
      <c r="SM255" s="309"/>
      <c r="SN255" s="309"/>
      <c r="SO255" s="309"/>
      <c r="SP255" s="309"/>
      <c r="SQ255" s="309"/>
      <c r="SR255" s="309"/>
      <c r="SS255" s="309"/>
      <c r="ST255" s="309"/>
      <c r="SU255" s="309"/>
      <c r="SV255" s="309"/>
      <c r="SW255" s="309"/>
      <c r="SX255" s="309"/>
      <c r="SY255" s="309"/>
      <c r="SZ255" s="309"/>
      <c r="TA255" s="309"/>
      <c r="TB255" s="309"/>
      <c r="TC255" s="309"/>
      <c r="TD255" s="309"/>
      <c r="TE255" s="309"/>
      <c r="TF255" s="309"/>
      <c r="TG255" s="309"/>
      <c r="TH255" s="309"/>
      <c r="TI255" s="309"/>
      <c r="TJ255" s="309"/>
      <c r="TK255" s="309"/>
      <c r="TL255" s="309"/>
      <c r="TM255" s="309"/>
      <c r="TN255" s="309"/>
      <c r="TO255" s="309"/>
      <c r="TP255" s="309"/>
      <c r="TQ255" s="309"/>
      <c r="TR255" s="309"/>
      <c r="TS255" s="309"/>
      <c r="TT255" s="309"/>
      <c r="TU255" s="309"/>
      <c r="TV255" s="309"/>
      <c r="TW255" s="309"/>
      <c r="TX255" s="309"/>
      <c r="TY255" s="309"/>
      <c r="TZ255" s="309"/>
      <c r="UA255" s="309"/>
      <c r="UB255" s="309"/>
      <c r="UC255" s="309"/>
      <c r="UD255" s="309"/>
      <c r="UE255" s="309"/>
      <c r="UF255" s="309"/>
      <c r="UG255" s="309"/>
      <c r="UH255" s="309"/>
      <c r="UI255" s="309"/>
      <c r="UJ255" s="309"/>
      <c r="UK255" s="309"/>
      <c r="UL255" s="309"/>
      <c r="UM255" s="309"/>
      <c r="UN255" s="309"/>
      <c r="UO255" s="309"/>
      <c r="UP255" s="309"/>
      <c r="UQ255" s="309"/>
      <c r="UR255" s="309"/>
      <c r="US255" s="309"/>
      <c r="UT255" s="309"/>
      <c r="UU255" s="309"/>
      <c r="UV255" s="309"/>
      <c r="UW255" s="309"/>
      <c r="UX255" s="309"/>
      <c r="UY255" s="309"/>
      <c r="UZ255" s="309"/>
      <c r="VA255" s="309"/>
      <c r="VB255" s="309"/>
      <c r="VC255" s="309"/>
      <c r="VD255" s="309"/>
      <c r="VE255" s="309"/>
      <c r="VF255" s="309"/>
      <c r="VG255" s="309"/>
      <c r="VH255" s="309"/>
      <c r="VI255" s="309"/>
      <c r="VJ255" s="309"/>
      <c r="VK255" s="309"/>
      <c r="VL255" s="309"/>
      <c r="VM255" s="309"/>
      <c r="VN255" s="309"/>
      <c r="VO255" s="309"/>
      <c r="VP255" s="309"/>
      <c r="VQ255" s="309"/>
      <c r="VR255" s="309"/>
      <c r="VS255" s="309"/>
      <c r="VT255" s="309"/>
      <c r="VU255" s="309"/>
      <c r="VV255" s="309"/>
      <c r="VW255" s="309"/>
      <c r="VX255" s="309"/>
      <c r="VY255" s="309"/>
      <c r="VZ255" s="309"/>
      <c r="WA255" s="309"/>
      <c r="WB255" s="309"/>
      <c r="WC255" s="309"/>
      <c r="WD255" s="309"/>
      <c r="WE255" s="309"/>
      <c r="WF255" s="309"/>
      <c r="WG255" s="309"/>
      <c r="WH255" s="309"/>
      <c r="WI255" s="309"/>
      <c r="WJ255" s="309"/>
      <c r="WK255" s="309"/>
      <c r="WL255" s="309"/>
      <c r="WM255" s="309"/>
      <c r="WN255" s="309"/>
      <c r="WO255" s="309"/>
      <c r="WP255" s="309"/>
      <c r="WQ255" s="309"/>
      <c r="WR255" s="309"/>
      <c r="WS255" s="309"/>
      <c r="WT255" s="309"/>
      <c r="WU255" s="309"/>
      <c r="WV255" s="309"/>
      <c r="WW255" s="309"/>
      <c r="WX255" s="309"/>
      <c r="WY255" s="309"/>
      <c r="WZ255" s="309"/>
      <c r="XA255" s="309"/>
      <c r="XB255" s="309"/>
      <c r="XC255" s="309"/>
      <c r="XD255" s="309"/>
      <c r="XE255" s="309"/>
      <c r="XF255" s="309"/>
      <c r="XG255" s="309"/>
      <c r="XH255" s="309"/>
      <c r="XI255" s="309"/>
      <c r="XJ255" s="309"/>
      <c r="XK255" s="309"/>
      <c r="XL255" s="309"/>
      <c r="XM255" s="309"/>
      <c r="XN255" s="309"/>
      <c r="XO255" s="309"/>
      <c r="XP255" s="309"/>
      <c r="XQ255" s="309"/>
      <c r="XR255" s="309"/>
      <c r="XS255" s="309"/>
      <c r="XT255" s="309"/>
      <c r="XU255" s="309"/>
      <c r="XV255" s="309"/>
      <c r="XW255" s="309"/>
      <c r="XX255" s="309"/>
      <c r="XY255" s="309"/>
      <c r="XZ255" s="309"/>
      <c r="YA255" s="309"/>
      <c r="YB255" s="309"/>
      <c r="YC255" s="309"/>
      <c r="YD255" s="309"/>
      <c r="YE255" s="309"/>
      <c r="YF255" s="309"/>
      <c r="YG255" s="309"/>
      <c r="YH255" s="309"/>
      <c r="YI255" s="309"/>
      <c r="YJ255" s="309"/>
      <c r="YK255" s="309"/>
      <c r="YL255" s="309"/>
      <c r="YM255" s="309"/>
      <c r="YN255" s="309"/>
      <c r="YO255" s="309"/>
      <c r="YP255" s="309"/>
      <c r="YQ255" s="309"/>
      <c r="YR255" s="309"/>
      <c r="YS255" s="309"/>
      <c r="YT255" s="309"/>
      <c r="YU255" s="309"/>
      <c r="YV255" s="309"/>
      <c r="YW255" s="309"/>
      <c r="YX255" s="309"/>
      <c r="YY255" s="309"/>
      <c r="YZ255" s="309"/>
      <c r="ZA255" s="309"/>
      <c r="ZB255" s="309"/>
      <c r="ZC255" s="309"/>
      <c r="ZD255" s="309"/>
      <c r="ZE255" s="309"/>
      <c r="ZF255" s="309"/>
      <c r="ZG255" s="309"/>
      <c r="ZH255" s="309"/>
      <c r="ZI255" s="309"/>
      <c r="ZJ255" s="309"/>
    </row>
    <row r="256" spans="1:686" s="308" customFormat="1" x14ac:dyDescent="0.3">
      <c r="E256" s="337"/>
      <c r="F256" s="337"/>
      <c r="G256" s="171"/>
      <c r="H256" s="1"/>
      <c r="Y256" s="309"/>
      <c r="Z256" s="309"/>
      <c r="AA256" s="309"/>
      <c r="AB256" s="309"/>
      <c r="AC256" s="309"/>
      <c r="AD256" s="309"/>
      <c r="AE256" s="309"/>
      <c r="AF256" s="309"/>
      <c r="AG256" s="309"/>
      <c r="AH256" s="309"/>
      <c r="AI256" s="309"/>
      <c r="AJ256" s="309"/>
      <c r="AK256" s="309"/>
      <c r="AL256" s="309"/>
      <c r="AM256" s="309"/>
      <c r="AN256" s="309"/>
      <c r="AO256" s="309"/>
      <c r="AP256" s="309"/>
      <c r="AQ256" s="309"/>
      <c r="AR256" s="309"/>
      <c r="AS256" s="309"/>
      <c r="AT256" s="309"/>
      <c r="AU256" s="309"/>
      <c r="AV256" s="309"/>
      <c r="AW256" s="309"/>
      <c r="AX256" s="309"/>
      <c r="AY256" s="309"/>
      <c r="AZ256" s="309"/>
      <c r="BA256" s="309"/>
      <c r="BB256" s="309"/>
      <c r="BC256" s="309"/>
      <c r="BD256" s="309"/>
      <c r="BE256" s="309"/>
      <c r="BF256" s="309"/>
      <c r="BG256" s="309"/>
      <c r="BH256" s="309"/>
      <c r="BI256" s="309"/>
      <c r="BJ256" s="309"/>
      <c r="BK256" s="309"/>
      <c r="BL256" s="309"/>
      <c r="BM256" s="309"/>
      <c r="BN256" s="309"/>
      <c r="BO256" s="309"/>
      <c r="BP256" s="309"/>
      <c r="BQ256" s="309"/>
      <c r="BR256" s="309"/>
      <c r="BS256" s="309"/>
      <c r="BT256" s="309"/>
      <c r="BU256" s="309"/>
      <c r="BV256" s="309"/>
      <c r="BW256" s="309"/>
      <c r="BX256" s="309"/>
      <c r="BY256" s="309"/>
      <c r="BZ256" s="309"/>
      <c r="CA256" s="309"/>
      <c r="CB256" s="309"/>
      <c r="CC256" s="309"/>
      <c r="CD256" s="309"/>
      <c r="CE256" s="309"/>
      <c r="CF256" s="309"/>
      <c r="CG256" s="309"/>
      <c r="CH256" s="309"/>
      <c r="CI256" s="309"/>
      <c r="CJ256" s="309"/>
      <c r="CK256" s="309"/>
      <c r="CL256" s="309"/>
      <c r="CM256" s="309"/>
      <c r="CN256" s="309"/>
      <c r="CO256" s="309"/>
      <c r="CP256" s="309"/>
      <c r="CQ256" s="309"/>
      <c r="CR256" s="309"/>
      <c r="CS256" s="309"/>
      <c r="CT256" s="309"/>
      <c r="CU256" s="309"/>
      <c r="CV256" s="309"/>
      <c r="CW256" s="309"/>
      <c r="CX256" s="309"/>
      <c r="CY256" s="309"/>
      <c r="CZ256" s="309"/>
      <c r="DA256" s="309"/>
      <c r="DB256" s="309"/>
      <c r="DC256" s="309"/>
      <c r="DD256" s="309"/>
      <c r="DE256" s="309"/>
      <c r="DF256" s="309"/>
      <c r="DG256" s="309"/>
      <c r="DH256" s="309"/>
      <c r="DI256" s="309"/>
      <c r="DJ256" s="309"/>
      <c r="DK256" s="309"/>
      <c r="DL256" s="309"/>
      <c r="DM256" s="309"/>
      <c r="DN256" s="309"/>
      <c r="DO256" s="309"/>
      <c r="DP256" s="309"/>
      <c r="DQ256" s="309"/>
      <c r="DR256" s="309"/>
      <c r="DS256" s="309"/>
      <c r="DT256" s="309"/>
      <c r="DU256" s="309"/>
      <c r="DV256" s="309"/>
      <c r="DW256" s="309"/>
      <c r="DX256" s="309"/>
      <c r="DY256" s="309"/>
      <c r="DZ256" s="309"/>
      <c r="EA256" s="309"/>
      <c r="EB256" s="309"/>
      <c r="EC256" s="309"/>
      <c r="ED256" s="309"/>
      <c r="EE256" s="309"/>
      <c r="EF256" s="309"/>
      <c r="EG256" s="309"/>
      <c r="EH256" s="309"/>
      <c r="EI256" s="309"/>
      <c r="EJ256" s="309"/>
      <c r="EK256" s="309"/>
      <c r="EL256" s="309"/>
      <c r="EM256" s="309"/>
      <c r="EN256" s="309"/>
      <c r="EO256" s="309"/>
      <c r="EP256" s="309"/>
      <c r="EQ256" s="309"/>
      <c r="ER256" s="309"/>
      <c r="ES256" s="309"/>
      <c r="ET256" s="309"/>
      <c r="EU256" s="309"/>
      <c r="EV256" s="309"/>
      <c r="EW256" s="309"/>
      <c r="EX256" s="309"/>
      <c r="EY256" s="309"/>
      <c r="EZ256" s="309"/>
      <c r="FA256" s="309"/>
      <c r="FB256" s="309"/>
      <c r="FC256" s="309"/>
      <c r="FD256" s="309"/>
      <c r="FE256" s="309"/>
      <c r="FF256" s="309"/>
      <c r="FG256" s="309"/>
      <c r="FH256" s="309"/>
      <c r="FI256" s="309"/>
      <c r="FJ256" s="309"/>
      <c r="FK256" s="309"/>
      <c r="FL256" s="309"/>
      <c r="FM256" s="309"/>
      <c r="FN256" s="309"/>
      <c r="FO256" s="309"/>
      <c r="FP256" s="309"/>
      <c r="FQ256" s="309"/>
      <c r="FR256" s="309"/>
      <c r="FS256" s="309"/>
      <c r="FT256" s="309"/>
      <c r="FU256" s="309"/>
      <c r="FV256" s="309"/>
      <c r="FW256" s="309"/>
      <c r="FX256" s="309"/>
      <c r="FY256" s="309"/>
      <c r="FZ256" s="309"/>
      <c r="GA256" s="309"/>
      <c r="GB256" s="309"/>
      <c r="GC256" s="309"/>
      <c r="GD256" s="309"/>
      <c r="GE256" s="309"/>
      <c r="GF256" s="309"/>
      <c r="GG256" s="309"/>
      <c r="GH256" s="309"/>
      <c r="GI256" s="309"/>
      <c r="GJ256" s="309"/>
      <c r="GK256" s="309"/>
      <c r="GL256" s="309"/>
      <c r="GM256" s="309"/>
      <c r="GN256" s="309"/>
      <c r="GO256" s="309"/>
      <c r="GP256" s="309"/>
      <c r="GQ256" s="309"/>
      <c r="GR256" s="309"/>
      <c r="GS256" s="309"/>
      <c r="GT256" s="309"/>
      <c r="GU256" s="309"/>
      <c r="GV256" s="309"/>
      <c r="GW256" s="309"/>
      <c r="GX256" s="309"/>
      <c r="GY256" s="309"/>
      <c r="GZ256" s="309"/>
      <c r="HA256" s="309"/>
      <c r="HB256" s="309"/>
      <c r="HC256" s="309"/>
      <c r="HD256" s="309"/>
      <c r="HE256" s="309"/>
      <c r="HF256" s="309"/>
      <c r="HG256" s="309"/>
      <c r="HH256" s="309"/>
      <c r="HI256" s="309"/>
      <c r="HJ256" s="309"/>
      <c r="HK256" s="309"/>
      <c r="HL256" s="309"/>
      <c r="HM256" s="309"/>
      <c r="HN256" s="309"/>
      <c r="HO256" s="309"/>
      <c r="HP256" s="309"/>
      <c r="HQ256" s="309"/>
      <c r="HR256" s="309"/>
      <c r="HS256" s="309"/>
      <c r="HT256" s="309"/>
      <c r="HU256" s="309"/>
      <c r="HV256" s="309"/>
      <c r="HW256" s="309"/>
      <c r="HX256" s="309"/>
      <c r="HY256" s="309"/>
      <c r="HZ256" s="309"/>
      <c r="IA256" s="309"/>
      <c r="IB256" s="309"/>
      <c r="IC256" s="309"/>
      <c r="ID256" s="309"/>
      <c r="IE256" s="309"/>
      <c r="IF256" s="309"/>
      <c r="IG256" s="309"/>
      <c r="IH256" s="309"/>
      <c r="II256" s="309"/>
      <c r="IJ256" s="309"/>
      <c r="IK256" s="309"/>
      <c r="IL256" s="309"/>
      <c r="IM256" s="309"/>
      <c r="IN256" s="309"/>
      <c r="IO256" s="309"/>
      <c r="IP256" s="309"/>
      <c r="IQ256" s="309"/>
      <c r="IR256" s="309"/>
      <c r="IS256" s="309"/>
      <c r="IT256" s="309"/>
      <c r="IU256" s="309"/>
      <c r="IV256" s="309"/>
      <c r="IW256" s="309"/>
      <c r="IX256" s="309"/>
      <c r="IY256" s="309"/>
      <c r="IZ256" s="309"/>
      <c r="JA256" s="309"/>
      <c r="JB256" s="309"/>
      <c r="JC256" s="309"/>
      <c r="JD256" s="309"/>
      <c r="JE256" s="309"/>
      <c r="JF256" s="309"/>
      <c r="JG256" s="309"/>
      <c r="JH256" s="309"/>
      <c r="JI256" s="309"/>
      <c r="JJ256" s="309"/>
      <c r="JK256" s="309"/>
      <c r="JL256" s="309"/>
      <c r="JM256" s="309"/>
      <c r="JN256" s="309"/>
      <c r="JO256" s="309"/>
      <c r="JP256" s="309"/>
      <c r="JQ256" s="309"/>
      <c r="JR256" s="309"/>
      <c r="JS256" s="309"/>
      <c r="JT256" s="309"/>
      <c r="JU256" s="309"/>
      <c r="JV256" s="309"/>
      <c r="JW256" s="309"/>
      <c r="JX256" s="309"/>
      <c r="JY256" s="309"/>
      <c r="JZ256" s="309"/>
      <c r="KA256" s="309"/>
      <c r="KB256" s="309"/>
      <c r="KC256" s="309"/>
      <c r="KD256" s="309"/>
      <c r="KE256" s="309"/>
      <c r="KF256" s="309"/>
      <c r="KG256" s="309"/>
      <c r="KH256" s="309"/>
      <c r="KI256" s="309"/>
      <c r="KJ256" s="309"/>
      <c r="KK256" s="309"/>
      <c r="KL256" s="309"/>
      <c r="KM256" s="309"/>
      <c r="KN256" s="309"/>
      <c r="KO256" s="309"/>
      <c r="KP256" s="309"/>
      <c r="KQ256" s="309"/>
      <c r="KR256" s="309"/>
      <c r="KS256" s="309"/>
      <c r="KT256" s="309"/>
      <c r="KU256" s="309"/>
      <c r="KV256" s="309"/>
      <c r="KW256" s="309"/>
      <c r="KX256" s="309"/>
      <c r="KY256" s="309"/>
      <c r="KZ256" s="309"/>
      <c r="LA256" s="309"/>
      <c r="LB256" s="309"/>
      <c r="LC256" s="309"/>
      <c r="LD256" s="309"/>
      <c r="LE256" s="309"/>
      <c r="LF256" s="309"/>
      <c r="LG256" s="309"/>
      <c r="LH256" s="309"/>
      <c r="LI256" s="309"/>
      <c r="LJ256" s="309"/>
      <c r="LK256" s="309"/>
      <c r="LL256" s="309"/>
      <c r="LM256" s="309"/>
      <c r="LN256" s="309"/>
      <c r="LO256" s="309"/>
      <c r="LP256" s="309"/>
      <c r="LQ256" s="309"/>
      <c r="LR256" s="309"/>
      <c r="LS256" s="309"/>
      <c r="LT256" s="309"/>
      <c r="LU256" s="309"/>
      <c r="LV256" s="309"/>
      <c r="LW256" s="309"/>
      <c r="LX256" s="309"/>
      <c r="LY256" s="309"/>
      <c r="LZ256" s="309"/>
      <c r="MA256" s="309"/>
      <c r="MB256" s="309"/>
      <c r="MC256" s="309"/>
      <c r="MD256" s="309"/>
      <c r="ME256" s="309"/>
      <c r="MF256" s="309"/>
      <c r="MG256" s="309"/>
      <c r="MH256" s="309"/>
      <c r="MI256" s="309"/>
      <c r="MJ256" s="309"/>
      <c r="MK256" s="309"/>
      <c r="ML256" s="309"/>
      <c r="MM256" s="309"/>
      <c r="MN256" s="309"/>
      <c r="MO256" s="309"/>
      <c r="MP256" s="309"/>
      <c r="MQ256" s="309"/>
      <c r="MR256" s="309"/>
      <c r="MS256" s="309"/>
      <c r="MT256" s="309"/>
      <c r="MU256" s="309"/>
      <c r="MV256" s="309"/>
      <c r="MW256" s="309"/>
      <c r="MX256" s="309"/>
      <c r="MY256" s="309"/>
      <c r="MZ256" s="309"/>
      <c r="NA256" s="309"/>
      <c r="NB256" s="309"/>
      <c r="NC256" s="309"/>
      <c r="ND256" s="309"/>
      <c r="NE256" s="309"/>
      <c r="NF256" s="309"/>
      <c r="NG256" s="309"/>
      <c r="NH256" s="309"/>
      <c r="NI256" s="309"/>
      <c r="NJ256" s="309"/>
      <c r="NK256" s="309"/>
      <c r="NL256" s="309"/>
      <c r="NM256" s="309"/>
      <c r="NN256" s="309"/>
      <c r="NO256" s="309"/>
      <c r="NP256" s="309"/>
      <c r="NQ256" s="309"/>
      <c r="NR256" s="309"/>
      <c r="NS256" s="309"/>
      <c r="NT256" s="309"/>
      <c r="NU256" s="309"/>
      <c r="NV256" s="309"/>
      <c r="NW256" s="309"/>
      <c r="NX256" s="309"/>
      <c r="NY256" s="309"/>
      <c r="NZ256" s="309"/>
      <c r="OA256" s="309"/>
      <c r="OB256" s="309"/>
      <c r="OC256" s="309"/>
      <c r="OD256" s="309"/>
      <c r="OE256" s="309"/>
      <c r="OF256" s="309"/>
      <c r="OG256" s="309"/>
      <c r="OH256" s="309"/>
      <c r="OI256" s="309"/>
      <c r="OJ256" s="309"/>
      <c r="OK256" s="309"/>
      <c r="OL256" s="309"/>
      <c r="OM256" s="309"/>
      <c r="ON256" s="309"/>
      <c r="OO256" s="309"/>
      <c r="OP256" s="309"/>
      <c r="OQ256" s="309"/>
      <c r="OR256" s="309"/>
      <c r="OS256" s="309"/>
      <c r="OT256" s="309"/>
      <c r="OU256" s="309"/>
      <c r="OV256" s="309"/>
      <c r="OW256" s="309"/>
      <c r="OX256" s="309"/>
      <c r="OY256" s="309"/>
      <c r="OZ256" s="309"/>
      <c r="PA256" s="309"/>
      <c r="PB256" s="309"/>
      <c r="PC256" s="309"/>
      <c r="PD256" s="309"/>
      <c r="PE256" s="309"/>
      <c r="PF256" s="309"/>
      <c r="PG256" s="309"/>
      <c r="PH256" s="309"/>
      <c r="PI256" s="309"/>
      <c r="PJ256" s="309"/>
      <c r="PK256" s="309"/>
      <c r="PL256" s="309"/>
      <c r="PM256" s="309"/>
      <c r="PN256" s="309"/>
      <c r="PO256" s="309"/>
      <c r="PP256" s="309"/>
      <c r="PQ256" s="309"/>
      <c r="PR256" s="309"/>
      <c r="PS256" s="309"/>
      <c r="PT256" s="309"/>
      <c r="PU256" s="309"/>
      <c r="PV256" s="309"/>
      <c r="PW256" s="309"/>
      <c r="PX256" s="309"/>
      <c r="PY256" s="309"/>
      <c r="PZ256" s="309"/>
      <c r="QA256" s="309"/>
      <c r="QB256" s="309"/>
      <c r="QC256" s="309"/>
      <c r="QD256" s="309"/>
      <c r="QE256" s="309"/>
      <c r="QF256" s="309"/>
      <c r="QG256" s="309"/>
      <c r="QH256" s="309"/>
      <c r="QI256" s="309"/>
      <c r="QJ256" s="309"/>
      <c r="QK256" s="309"/>
      <c r="QL256" s="309"/>
      <c r="QM256" s="309"/>
      <c r="QN256" s="309"/>
      <c r="QO256" s="309"/>
      <c r="QP256" s="309"/>
      <c r="QQ256" s="309"/>
      <c r="QR256" s="309"/>
      <c r="QS256" s="309"/>
      <c r="QT256" s="309"/>
      <c r="QU256" s="309"/>
      <c r="QV256" s="309"/>
      <c r="QW256" s="309"/>
      <c r="QX256" s="309"/>
      <c r="QY256" s="309"/>
      <c r="QZ256" s="309"/>
      <c r="RA256" s="309"/>
      <c r="RB256" s="309"/>
      <c r="RC256" s="309"/>
      <c r="RD256" s="309"/>
      <c r="RE256" s="309"/>
      <c r="RF256" s="309"/>
      <c r="RG256" s="309"/>
      <c r="RH256" s="309"/>
      <c r="RI256" s="309"/>
      <c r="RJ256" s="309"/>
      <c r="RK256" s="309"/>
      <c r="RL256" s="309"/>
      <c r="RM256" s="309"/>
      <c r="RN256" s="309"/>
      <c r="RO256" s="309"/>
      <c r="RP256" s="309"/>
      <c r="RQ256" s="309"/>
      <c r="RR256" s="309"/>
      <c r="RS256" s="309"/>
      <c r="RT256" s="309"/>
      <c r="RU256" s="309"/>
      <c r="RV256" s="309"/>
      <c r="RW256" s="309"/>
      <c r="RX256" s="309"/>
      <c r="RY256" s="309"/>
      <c r="RZ256" s="309"/>
      <c r="SA256" s="309"/>
      <c r="SB256" s="309"/>
      <c r="SC256" s="309"/>
      <c r="SD256" s="309"/>
      <c r="SE256" s="309"/>
      <c r="SF256" s="309"/>
      <c r="SG256" s="309"/>
      <c r="SH256" s="309"/>
      <c r="SI256" s="309"/>
      <c r="SJ256" s="309"/>
      <c r="SK256" s="309"/>
      <c r="SL256" s="309"/>
      <c r="SM256" s="309"/>
      <c r="SN256" s="309"/>
      <c r="SO256" s="309"/>
      <c r="SP256" s="309"/>
      <c r="SQ256" s="309"/>
      <c r="SR256" s="309"/>
      <c r="SS256" s="309"/>
      <c r="ST256" s="309"/>
      <c r="SU256" s="309"/>
      <c r="SV256" s="309"/>
      <c r="SW256" s="309"/>
      <c r="SX256" s="309"/>
      <c r="SY256" s="309"/>
      <c r="SZ256" s="309"/>
      <c r="TA256" s="309"/>
      <c r="TB256" s="309"/>
      <c r="TC256" s="309"/>
      <c r="TD256" s="309"/>
      <c r="TE256" s="309"/>
      <c r="TF256" s="309"/>
      <c r="TG256" s="309"/>
      <c r="TH256" s="309"/>
      <c r="TI256" s="309"/>
      <c r="TJ256" s="309"/>
      <c r="TK256" s="309"/>
      <c r="TL256" s="309"/>
      <c r="TM256" s="309"/>
      <c r="TN256" s="309"/>
      <c r="TO256" s="309"/>
      <c r="TP256" s="309"/>
      <c r="TQ256" s="309"/>
      <c r="TR256" s="309"/>
      <c r="TS256" s="309"/>
      <c r="TT256" s="309"/>
      <c r="TU256" s="309"/>
      <c r="TV256" s="309"/>
      <c r="TW256" s="309"/>
      <c r="TX256" s="309"/>
      <c r="TY256" s="309"/>
      <c r="TZ256" s="309"/>
      <c r="UA256" s="309"/>
      <c r="UB256" s="309"/>
      <c r="UC256" s="309"/>
      <c r="UD256" s="309"/>
      <c r="UE256" s="309"/>
      <c r="UF256" s="309"/>
      <c r="UG256" s="309"/>
      <c r="UH256" s="309"/>
      <c r="UI256" s="309"/>
      <c r="UJ256" s="309"/>
      <c r="UK256" s="309"/>
      <c r="UL256" s="309"/>
      <c r="UM256" s="309"/>
      <c r="UN256" s="309"/>
      <c r="UO256" s="309"/>
      <c r="UP256" s="309"/>
      <c r="UQ256" s="309"/>
      <c r="UR256" s="309"/>
      <c r="US256" s="309"/>
      <c r="UT256" s="309"/>
      <c r="UU256" s="309"/>
      <c r="UV256" s="309"/>
      <c r="UW256" s="309"/>
      <c r="UX256" s="309"/>
      <c r="UY256" s="309"/>
      <c r="UZ256" s="309"/>
      <c r="VA256" s="309"/>
      <c r="VB256" s="309"/>
      <c r="VC256" s="309"/>
      <c r="VD256" s="309"/>
      <c r="VE256" s="309"/>
      <c r="VF256" s="309"/>
      <c r="VG256" s="309"/>
      <c r="VH256" s="309"/>
      <c r="VI256" s="309"/>
      <c r="VJ256" s="309"/>
      <c r="VK256" s="309"/>
      <c r="VL256" s="309"/>
      <c r="VM256" s="309"/>
      <c r="VN256" s="309"/>
      <c r="VO256" s="309"/>
      <c r="VP256" s="309"/>
      <c r="VQ256" s="309"/>
      <c r="VR256" s="309"/>
      <c r="VS256" s="309"/>
      <c r="VT256" s="309"/>
      <c r="VU256" s="309"/>
      <c r="VV256" s="309"/>
      <c r="VW256" s="309"/>
      <c r="VX256" s="309"/>
      <c r="VY256" s="309"/>
      <c r="VZ256" s="309"/>
      <c r="WA256" s="309"/>
      <c r="WB256" s="309"/>
      <c r="WC256" s="309"/>
      <c r="WD256" s="309"/>
      <c r="WE256" s="309"/>
      <c r="WF256" s="309"/>
      <c r="WG256" s="309"/>
      <c r="WH256" s="309"/>
      <c r="WI256" s="309"/>
      <c r="WJ256" s="309"/>
      <c r="WK256" s="309"/>
      <c r="WL256" s="309"/>
      <c r="WM256" s="309"/>
      <c r="WN256" s="309"/>
      <c r="WO256" s="309"/>
      <c r="WP256" s="309"/>
      <c r="WQ256" s="309"/>
      <c r="WR256" s="309"/>
      <c r="WS256" s="309"/>
      <c r="WT256" s="309"/>
      <c r="WU256" s="309"/>
      <c r="WV256" s="309"/>
      <c r="WW256" s="309"/>
      <c r="WX256" s="309"/>
      <c r="WY256" s="309"/>
      <c r="WZ256" s="309"/>
      <c r="XA256" s="309"/>
      <c r="XB256" s="309"/>
      <c r="XC256" s="309"/>
      <c r="XD256" s="309"/>
      <c r="XE256" s="309"/>
      <c r="XF256" s="309"/>
      <c r="XG256" s="309"/>
      <c r="XH256" s="309"/>
      <c r="XI256" s="309"/>
      <c r="XJ256" s="309"/>
      <c r="XK256" s="309"/>
      <c r="XL256" s="309"/>
      <c r="XM256" s="309"/>
      <c r="XN256" s="309"/>
      <c r="XO256" s="309"/>
      <c r="XP256" s="309"/>
      <c r="XQ256" s="309"/>
      <c r="XR256" s="309"/>
      <c r="XS256" s="309"/>
      <c r="XT256" s="309"/>
      <c r="XU256" s="309"/>
      <c r="XV256" s="309"/>
      <c r="XW256" s="309"/>
      <c r="XX256" s="309"/>
      <c r="XY256" s="309"/>
      <c r="XZ256" s="309"/>
      <c r="YA256" s="309"/>
      <c r="YB256" s="309"/>
      <c r="YC256" s="309"/>
      <c r="YD256" s="309"/>
      <c r="YE256" s="309"/>
      <c r="YF256" s="309"/>
      <c r="YG256" s="309"/>
      <c r="YH256" s="309"/>
      <c r="YI256" s="309"/>
      <c r="YJ256" s="309"/>
      <c r="YK256" s="309"/>
      <c r="YL256" s="309"/>
      <c r="YM256" s="309"/>
      <c r="YN256" s="309"/>
      <c r="YO256" s="309"/>
      <c r="YP256" s="309"/>
      <c r="YQ256" s="309"/>
      <c r="YR256" s="309"/>
      <c r="YS256" s="309"/>
      <c r="YT256" s="309"/>
      <c r="YU256" s="309"/>
      <c r="YV256" s="309"/>
      <c r="YW256" s="309"/>
      <c r="YX256" s="309"/>
      <c r="YY256" s="309"/>
      <c r="YZ256" s="309"/>
      <c r="ZA256" s="309"/>
      <c r="ZB256" s="309"/>
      <c r="ZC256" s="309"/>
      <c r="ZD256" s="309"/>
      <c r="ZE256" s="309"/>
      <c r="ZF256" s="309"/>
      <c r="ZG256" s="309"/>
      <c r="ZH256" s="309"/>
      <c r="ZI256" s="309"/>
      <c r="ZJ256" s="309"/>
    </row>
    <row r="257" spans="5:686" s="308" customFormat="1" x14ac:dyDescent="0.3">
      <c r="E257" s="337"/>
      <c r="F257" s="337"/>
      <c r="G257" s="171"/>
      <c r="H257" s="1"/>
      <c r="Y257" s="309"/>
      <c r="Z257" s="309"/>
      <c r="AA257" s="309"/>
      <c r="AB257" s="309"/>
      <c r="AC257" s="309"/>
      <c r="AD257" s="309"/>
      <c r="AE257" s="309"/>
      <c r="AF257" s="309"/>
      <c r="AG257" s="309"/>
      <c r="AH257" s="309"/>
      <c r="AI257" s="309"/>
      <c r="AJ257" s="309"/>
      <c r="AK257" s="309"/>
      <c r="AL257" s="309"/>
      <c r="AM257" s="309"/>
      <c r="AN257" s="309"/>
      <c r="AO257" s="309"/>
      <c r="AP257" s="309"/>
      <c r="AQ257" s="309"/>
      <c r="AR257" s="309"/>
      <c r="AS257" s="309"/>
      <c r="AT257" s="309"/>
      <c r="AU257" s="309"/>
      <c r="AV257" s="309"/>
      <c r="AW257" s="309"/>
      <c r="AX257" s="309"/>
      <c r="AY257" s="309"/>
      <c r="AZ257" s="309"/>
      <c r="BA257" s="309"/>
      <c r="BB257" s="309"/>
      <c r="BC257" s="309"/>
      <c r="BD257" s="309"/>
      <c r="BE257" s="309"/>
      <c r="BF257" s="309"/>
      <c r="BG257" s="309"/>
      <c r="BH257" s="309"/>
      <c r="BI257" s="309"/>
      <c r="BJ257" s="309"/>
      <c r="BK257" s="309"/>
      <c r="BL257" s="309"/>
      <c r="BM257" s="309"/>
      <c r="BN257" s="309"/>
      <c r="BO257" s="309"/>
      <c r="BP257" s="309"/>
      <c r="BQ257" s="309"/>
      <c r="BR257" s="309"/>
      <c r="BS257" s="309"/>
      <c r="BT257" s="309"/>
      <c r="BU257" s="309"/>
      <c r="BV257" s="309"/>
      <c r="BW257" s="309"/>
      <c r="BX257" s="309"/>
      <c r="BY257" s="309"/>
      <c r="BZ257" s="309"/>
      <c r="CA257" s="309"/>
      <c r="CB257" s="309"/>
      <c r="CC257" s="309"/>
      <c r="CD257" s="309"/>
      <c r="CE257" s="309"/>
      <c r="CF257" s="309"/>
      <c r="CG257" s="309"/>
      <c r="CH257" s="309"/>
      <c r="CI257" s="309"/>
      <c r="CJ257" s="309"/>
      <c r="CK257" s="309"/>
      <c r="CL257" s="309"/>
      <c r="CM257" s="309"/>
      <c r="CN257" s="309"/>
      <c r="CO257" s="309"/>
      <c r="CP257" s="309"/>
      <c r="CQ257" s="309"/>
      <c r="CR257" s="309"/>
      <c r="CS257" s="309"/>
      <c r="CT257" s="309"/>
      <c r="CU257" s="309"/>
      <c r="CV257" s="309"/>
      <c r="CW257" s="309"/>
      <c r="CX257" s="309"/>
      <c r="CY257" s="309"/>
      <c r="CZ257" s="309"/>
      <c r="DA257" s="309"/>
      <c r="DB257" s="309"/>
      <c r="DC257" s="309"/>
      <c r="DD257" s="309"/>
      <c r="DE257" s="309"/>
      <c r="DF257" s="309"/>
      <c r="DG257" s="309"/>
      <c r="DH257" s="309"/>
      <c r="DI257" s="309"/>
      <c r="DJ257" s="309"/>
      <c r="DK257" s="309"/>
      <c r="DL257" s="309"/>
      <c r="DM257" s="309"/>
      <c r="DN257" s="309"/>
      <c r="DO257" s="309"/>
      <c r="DP257" s="309"/>
      <c r="DQ257" s="309"/>
      <c r="DR257" s="309"/>
      <c r="DS257" s="309"/>
      <c r="DT257" s="309"/>
      <c r="DU257" s="309"/>
      <c r="DV257" s="309"/>
      <c r="DW257" s="309"/>
      <c r="DX257" s="309"/>
      <c r="DY257" s="309"/>
      <c r="DZ257" s="309"/>
      <c r="EA257" s="309"/>
      <c r="EB257" s="309"/>
      <c r="EC257" s="309"/>
      <c r="ED257" s="309"/>
      <c r="EE257" s="309"/>
      <c r="EF257" s="309"/>
      <c r="EG257" s="309"/>
      <c r="EH257" s="309"/>
      <c r="EI257" s="309"/>
      <c r="EJ257" s="309"/>
      <c r="EK257" s="309"/>
      <c r="EL257" s="309"/>
      <c r="EM257" s="309"/>
      <c r="EN257" s="309"/>
      <c r="EO257" s="309"/>
      <c r="EP257" s="309"/>
      <c r="EQ257" s="309"/>
      <c r="ER257" s="309"/>
      <c r="ES257" s="309"/>
      <c r="ET257" s="309"/>
      <c r="EU257" s="309"/>
      <c r="EV257" s="309"/>
      <c r="EW257" s="309"/>
      <c r="EX257" s="309"/>
      <c r="EY257" s="309"/>
      <c r="EZ257" s="309"/>
      <c r="FA257" s="309"/>
      <c r="FB257" s="309"/>
      <c r="FC257" s="309"/>
      <c r="FD257" s="309"/>
      <c r="FE257" s="309"/>
      <c r="FF257" s="309"/>
      <c r="FG257" s="309"/>
      <c r="FH257" s="309"/>
      <c r="FI257" s="309"/>
      <c r="FJ257" s="309"/>
      <c r="FK257" s="309"/>
      <c r="FL257" s="309"/>
      <c r="FM257" s="309"/>
      <c r="FN257" s="309"/>
      <c r="FO257" s="309"/>
      <c r="FP257" s="309"/>
      <c r="FQ257" s="309"/>
      <c r="FR257" s="309"/>
      <c r="FS257" s="309"/>
      <c r="FT257" s="309"/>
      <c r="FU257" s="309"/>
      <c r="FV257" s="309"/>
      <c r="FW257" s="309"/>
      <c r="FX257" s="309"/>
      <c r="FY257" s="309"/>
      <c r="FZ257" s="309"/>
      <c r="GA257" s="309"/>
      <c r="GB257" s="309"/>
      <c r="GC257" s="309"/>
      <c r="GD257" s="309"/>
      <c r="GE257" s="309"/>
      <c r="GF257" s="309"/>
      <c r="GG257" s="309"/>
      <c r="GH257" s="309"/>
      <c r="GI257" s="309"/>
      <c r="GJ257" s="309"/>
      <c r="GK257" s="309"/>
      <c r="GL257" s="309"/>
      <c r="GM257" s="309"/>
      <c r="GN257" s="309"/>
      <c r="GO257" s="309"/>
      <c r="GP257" s="309"/>
      <c r="GQ257" s="309"/>
      <c r="GR257" s="309"/>
      <c r="GS257" s="309"/>
      <c r="GT257" s="309"/>
      <c r="GU257" s="309"/>
      <c r="GV257" s="309"/>
      <c r="GW257" s="309"/>
      <c r="GX257" s="309"/>
      <c r="GY257" s="309"/>
      <c r="GZ257" s="309"/>
      <c r="HA257" s="309"/>
      <c r="HB257" s="309"/>
      <c r="HC257" s="309"/>
      <c r="HD257" s="309"/>
      <c r="HE257" s="309"/>
      <c r="HF257" s="309"/>
      <c r="HG257" s="309"/>
      <c r="HH257" s="309"/>
      <c r="HI257" s="309"/>
      <c r="HJ257" s="309"/>
      <c r="HK257" s="309"/>
      <c r="HL257" s="309"/>
      <c r="HM257" s="309"/>
      <c r="HN257" s="309"/>
      <c r="HO257" s="309"/>
      <c r="HP257" s="309"/>
      <c r="HQ257" s="309"/>
      <c r="HR257" s="309"/>
      <c r="HS257" s="309"/>
      <c r="HT257" s="309"/>
      <c r="HU257" s="309"/>
      <c r="HV257" s="309"/>
      <c r="HW257" s="309"/>
      <c r="HX257" s="309"/>
      <c r="HY257" s="309"/>
      <c r="HZ257" s="309"/>
      <c r="IA257" s="309"/>
      <c r="IB257" s="309"/>
      <c r="IC257" s="309"/>
      <c r="ID257" s="309"/>
      <c r="IE257" s="309"/>
      <c r="IF257" s="309"/>
      <c r="IG257" s="309"/>
      <c r="IH257" s="309"/>
      <c r="II257" s="309"/>
      <c r="IJ257" s="309"/>
      <c r="IK257" s="309"/>
      <c r="IL257" s="309"/>
      <c r="IM257" s="309"/>
      <c r="IN257" s="309"/>
      <c r="IO257" s="309"/>
      <c r="IP257" s="309"/>
      <c r="IQ257" s="309"/>
      <c r="IR257" s="309"/>
      <c r="IS257" s="309"/>
      <c r="IT257" s="309"/>
      <c r="IU257" s="309"/>
      <c r="IV257" s="309"/>
      <c r="IW257" s="309"/>
      <c r="IX257" s="309"/>
      <c r="IY257" s="309"/>
      <c r="IZ257" s="309"/>
      <c r="JA257" s="309"/>
      <c r="JB257" s="309"/>
      <c r="JC257" s="309"/>
      <c r="JD257" s="309"/>
      <c r="JE257" s="309"/>
      <c r="JF257" s="309"/>
      <c r="JG257" s="309"/>
      <c r="JH257" s="309"/>
      <c r="JI257" s="309"/>
      <c r="JJ257" s="309"/>
      <c r="JK257" s="309"/>
      <c r="JL257" s="309"/>
      <c r="JM257" s="309"/>
      <c r="JN257" s="309"/>
      <c r="JO257" s="309"/>
      <c r="JP257" s="309"/>
      <c r="JQ257" s="309"/>
      <c r="JR257" s="309"/>
      <c r="JS257" s="309"/>
      <c r="JT257" s="309"/>
      <c r="JU257" s="309"/>
      <c r="JV257" s="309"/>
      <c r="JW257" s="309"/>
      <c r="JX257" s="309"/>
      <c r="JY257" s="309"/>
      <c r="JZ257" s="309"/>
      <c r="KA257" s="309"/>
      <c r="KB257" s="309"/>
      <c r="KC257" s="309"/>
      <c r="KD257" s="309"/>
      <c r="KE257" s="309"/>
      <c r="KF257" s="309"/>
      <c r="KG257" s="309"/>
      <c r="KH257" s="309"/>
      <c r="KI257" s="309"/>
      <c r="KJ257" s="309"/>
      <c r="KK257" s="309"/>
      <c r="KL257" s="309"/>
      <c r="KM257" s="309"/>
      <c r="KN257" s="309"/>
      <c r="KO257" s="309"/>
      <c r="KP257" s="309"/>
      <c r="KQ257" s="309"/>
      <c r="KR257" s="309"/>
      <c r="KS257" s="309"/>
      <c r="KT257" s="309"/>
      <c r="KU257" s="309"/>
      <c r="KV257" s="309"/>
      <c r="KW257" s="309"/>
      <c r="KX257" s="309"/>
      <c r="KY257" s="309"/>
      <c r="KZ257" s="309"/>
      <c r="LA257" s="309"/>
      <c r="LB257" s="309"/>
      <c r="LC257" s="309"/>
      <c r="LD257" s="309"/>
      <c r="LE257" s="309"/>
      <c r="LF257" s="309"/>
      <c r="LG257" s="309"/>
      <c r="LH257" s="309"/>
      <c r="LI257" s="309"/>
      <c r="LJ257" s="309"/>
      <c r="LK257" s="309"/>
      <c r="LL257" s="309"/>
      <c r="LM257" s="309"/>
      <c r="LN257" s="309"/>
      <c r="LO257" s="309"/>
      <c r="LP257" s="309"/>
      <c r="LQ257" s="309"/>
      <c r="LR257" s="309"/>
      <c r="LS257" s="309"/>
      <c r="LT257" s="309"/>
      <c r="LU257" s="309"/>
      <c r="LV257" s="309"/>
      <c r="LW257" s="309"/>
      <c r="LX257" s="309"/>
      <c r="LY257" s="309"/>
      <c r="LZ257" s="309"/>
      <c r="MA257" s="309"/>
      <c r="MB257" s="309"/>
      <c r="MC257" s="309"/>
      <c r="MD257" s="309"/>
      <c r="ME257" s="309"/>
      <c r="MF257" s="309"/>
      <c r="MG257" s="309"/>
      <c r="MH257" s="309"/>
      <c r="MI257" s="309"/>
      <c r="MJ257" s="309"/>
      <c r="MK257" s="309"/>
      <c r="ML257" s="309"/>
      <c r="MM257" s="309"/>
      <c r="MN257" s="309"/>
      <c r="MO257" s="309"/>
      <c r="MP257" s="309"/>
      <c r="MQ257" s="309"/>
      <c r="MR257" s="309"/>
      <c r="MS257" s="309"/>
      <c r="MT257" s="309"/>
      <c r="MU257" s="309"/>
      <c r="MV257" s="309"/>
      <c r="MW257" s="309"/>
      <c r="MX257" s="309"/>
      <c r="MY257" s="309"/>
      <c r="MZ257" s="309"/>
      <c r="NA257" s="309"/>
      <c r="NB257" s="309"/>
      <c r="NC257" s="309"/>
      <c r="ND257" s="309"/>
      <c r="NE257" s="309"/>
      <c r="NF257" s="309"/>
      <c r="NG257" s="309"/>
      <c r="NH257" s="309"/>
      <c r="NI257" s="309"/>
      <c r="NJ257" s="309"/>
      <c r="NK257" s="309"/>
      <c r="NL257" s="309"/>
      <c r="NM257" s="309"/>
      <c r="NN257" s="309"/>
      <c r="NO257" s="309"/>
      <c r="NP257" s="309"/>
      <c r="NQ257" s="309"/>
      <c r="NR257" s="309"/>
      <c r="NS257" s="309"/>
      <c r="NT257" s="309"/>
      <c r="NU257" s="309"/>
      <c r="NV257" s="309"/>
      <c r="NW257" s="309"/>
      <c r="NX257" s="309"/>
      <c r="NY257" s="309"/>
      <c r="NZ257" s="309"/>
      <c r="OA257" s="309"/>
      <c r="OB257" s="309"/>
      <c r="OC257" s="309"/>
      <c r="OD257" s="309"/>
      <c r="OE257" s="309"/>
      <c r="OF257" s="309"/>
      <c r="OG257" s="309"/>
      <c r="OH257" s="309"/>
      <c r="OI257" s="309"/>
      <c r="OJ257" s="309"/>
      <c r="OK257" s="309"/>
      <c r="OL257" s="309"/>
      <c r="OM257" s="309"/>
      <c r="ON257" s="309"/>
      <c r="OO257" s="309"/>
      <c r="OP257" s="309"/>
      <c r="OQ257" s="309"/>
      <c r="OR257" s="309"/>
      <c r="OS257" s="309"/>
      <c r="OT257" s="309"/>
      <c r="OU257" s="309"/>
      <c r="OV257" s="309"/>
      <c r="OW257" s="309"/>
      <c r="OX257" s="309"/>
      <c r="OY257" s="309"/>
      <c r="OZ257" s="309"/>
      <c r="PA257" s="309"/>
      <c r="PB257" s="309"/>
      <c r="PC257" s="309"/>
      <c r="PD257" s="309"/>
      <c r="PE257" s="309"/>
      <c r="PF257" s="309"/>
      <c r="PG257" s="309"/>
      <c r="PH257" s="309"/>
      <c r="PI257" s="309"/>
      <c r="PJ257" s="309"/>
      <c r="PK257" s="309"/>
      <c r="PL257" s="309"/>
      <c r="PM257" s="309"/>
      <c r="PN257" s="309"/>
      <c r="PO257" s="309"/>
      <c r="PP257" s="309"/>
      <c r="PQ257" s="309"/>
      <c r="PR257" s="309"/>
      <c r="PS257" s="309"/>
      <c r="PT257" s="309"/>
      <c r="PU257" s="309"/>
      <c r="PV257" s="309"/>
      <c r="PW257" s="309"/>
      <c r="PX257" s="309"/>
      <c r="PY257" s="309"/>
      <c r="PZ257" s="309"/>
      <c r="QA257" s="309"/>
      <c r="QB257" s="309"/>
      <c r="QC257" s="309"/>
      <c r="QD257" s="309"/>
      <c r="QE257" s="309"/>
      <c r="QF257" s="309"/>
      <c r="QG257" s="309"/>
      <c r="QH257" s="309"/>
      <c r="QI257" s="309"/>
      <c r="QJ257" s="309"/>
      <c r="QK257" s="309"/>
      <c r="QL257" s="309"/>
      <c r="QM257" s="309"/>
      <c r="QN257" s="309"/>
      <c r="QO257" s="309"/>
      <c r="QP257" s="309"/>
      <c r="QQ257" s="309"/>
      <c r="QR257" s="309"/>
      <c r="QS257" s="309"/>
      <c r="QT257" s="309"/>
      <c r="QU257" s="309"/>
      <c r="QV257" s="309"/>
      <c r="QW257" s="309"/>
      <c r="QX257" s="309"/>
      <c r="QY257" s="309"/>
      <c r="QZ257" s="309"/>
      <c r="RA257" s="309"/>
      <c r="RB257" s="309"/>
      <c r="RC257" s="309"/>
      <c r="RD257" s="309"/>
      <c r="RE257" s="309"/>
      <c r="RF257" s="309"/>
      <c r="RG257" s="309"/>
      <c r="RH257" s="309"/>
      <c r="RI257" s="309"/>
      <c r="RJ257" s="309"/>
      <c r="RK257" s="309"/>
      <c r="RL257" s="309"/>
      <c r="RM257" s="309"/>
      <c r="RN257" s="309"/>
      <c r="RO257" s="309"/>
      <c r="RP257" s="309"/>
      <c r="RQ257" s="309"/>
      <c r="RR257" s="309"/>
      <c r="RS257" s="309"/>
      <c r="RT257" s="309"/>
      <c r="RU257" s="309"/>
      <c r="RV257" s="309"/>
      <c r="RW257" s="309"/>
      <c r="RX257" s="309"/>
      <c r="RY257" s="309"/>
      <c r="RZ257" s="309"/>
      <c r="SA257" s="309"/>
      <c r="SB257" s="309"/>
      <c r="SC257" s="309"/>
      <c r="SD257" s="309"/>
      <c r="SE257" s="309"/>
      <c r="SF257" s="309"/>
      <c r="SG257" s="309"/>
      <c r="SH257" s="309"/>
      <c r="SI257" s="309"/>
      <c r="SJ257" s="309"/>
      <c r="SK257" s="309"/>
      <c r="SL257" s="309"/>
      <c r="SM257" s="309"/>
      <c r="SN257" s="309"/>
      <c r="SO257" s="309"/>
      <c r="SP257" s="309"/>
      <c r="SQ257" s="309"/>
      <c r="SR257" s="309"/>
      <c r="SS257" s="309"/>
      <c r="ST257" s="309"/>
      <c r="SU257" s="309"/>
      <c r="SV257" s="309"/>
      <c r="SW257" s="309"/>
      <c r="SX257" s="309"/>
      <c r="SY257" s="309"/>
      <c r="SZ257" s="309"/>
      <c r="TA257" s="309"/>
      <c r="TB257" s="309"/>
      <c r="TC257" s="309"/>
      <c r="TD257" s="309"/>
      <c r="TE257" s="309"/>
      <c r="TF257" s="309"/>
      <c r="TG257" s="309"/>
      <c r="TH257" s="309"/>
      <c r="TI257" s="309"/>
      <c r="TJ257" s="309"/>
      <c r="TK257" s="309"/>
      <c r="TL257" s="309"/>
      <c r="TM257" s="309"/>
      <c r="TN257" s="309"/>
      <c r="TO257" s="309"/>
      <c r="TP257" s="309"/>
      <c r="TQ257" s="309"/>
      <c r="TR257" s="309"/>
      <c r="TS257" s="309"/>
      <c r="TT257" s="309"/>
      <c r="TU257" s="309"/>
      <c r="TV257" s="309"/>
      <c r="TW257" s="309"/>
      <c r="TX257" s="309"/>
      <c r="TY257" s="309"/>
      <c r="TZ257" s="309"/>
      <c r="UA257" s="309"/>
      <c r="UB257" s="309"/>
      <c r="UC257" s="309"/>
      <c r="UD257" s="309"/>
      <c r="UE257" s="309"/>
      <c r="UF257" s="309"/>
      <c r="UG257" s="309"/>
      <c r="UH257" s="309"/>
      <c r="UI257" s="309"/>
      <c r="UJ257" s="309"/>
      <c r="UK257" s="309"/>
      <c r="UL257" s="309"/>
      <c r="UM257" s="309"/>
      <c r="UN257" s="309"/>
      <c r="UO257" s="309"/>
      <c r="UP257" s="309"/>
      <c r="UQ257" s="309"/>
      <c r="UR257" s="309"/>
      <c r="US257" s="309"/>
      <c r="UT257" s="309"/>
      <c r="UU257" s="309"/>
      <c r="UV257" s="309"/>
      <c r="UW257" s="309"/>
      <c r="UX257" s="309"/>
      <c r="UY257" s="309"/>
      <c r="UZ257" s="309"/>
      <c r="VA257" s="309"/>
      <c r="VB257" s="309"/>
      <c r="VC257" s="309"/>
      <c r="VD257" s="309"/>
      <c r="VE257" s="309"/>
      <c r="VF257" s="309"/>
      <c r="VG257" s="309"/>
      <c r="VH257" s="309"/>
      <c r="VI257" s="309"/>
      <c r="VJ257" s="309"/>
      <c r="VK257" s="309"/>
      <c r="VL257" s="309"/>
      <c r="VM257" s="309"/>
      <c r="VN257" s="309"/>
      <c r="VO257" s="309"/>
      <c r="VP257" s="309"/>
      <c r="VQ257" s="309"/>
      <c r="VR257" s="309"/>
      <c r="VS257" s="309"/>
      <c r="VT257" s="309"/>
      <c r="VU257" s="309"/>
      <c r="VV257" s="309"/>
      <c r="VW257" s="309"/>
      <c r="VX257" s="309"/>
      <c r="VY257" s="309"/>
      <c r="VZ257" s="309"/>
      <c r="WA257" s="309"/>
      <c r="WB257" s="309"/>
      <c r="WC257" s="309"/>
      <c r="WD257" s="309"/>
      <c r="WE257" s="309"/>
      <c r="WF257" s="309"/>
      <c r="WG257" s="309"/>
      <c r="WH257" s="309"/>
      <c r="WI257" s="309"/>
      <c r="WJ257" s="309"/>
      <c r="WK257" s="309"/>
      <c r="WL257" s="309"/>
      <c r="WM257" s="309"/>
      <c r="WN257" s="309"/>
      <c r="WO257" s="309"/>
      <c r="WP257" s="309"/>
      <c r="WQ257" s="309"/>
      <c r="WR257" s="309"/>
      <c r="WS257" s="309"/>
      <c r="WT257" s="309"/>
      <c r="WU257" s="309"/>
      <c r="WV257" s="309"/>
      <c r="WW257" s="309"/>
      <c r="WX257" s="309"/>
      <c r="WY257" s="309"/>
      <c r="WZ257" s="309"/>
      <c r="XA257" s="309"/>
      <c r="XB257" s="309"/>
      <c r="XC257" s="309"/>
      <c r="XD257" s="309"/>
      <c r="XE257" s="309"/>
      <c r="XF257" s="309"/>
      <c r="XG257" s="309"/>
      <c r="XH257" s="309"/>
      <c r="XI257" s="309"/>
      <c r="XJ257" s="309"/>
      <c r="XK257" s="309"/>
      <c r="XL257" s="309"/>
      <c r="XM257" s="309"/>
      <c r="XN257" s="309"/>
      <c r="XO257" s="309"/>
      <c r="XP257" s="309"/>
      <c r="XQ257" s="309"/>
      <c r="XR257" s="309"/>
      <c r="XS257" s="309"/>
      <c r="XT257" s="309"/>
      <c r="XU257" s="309"/>
      <c r="XV257" s="309"/>
      <c r="XW257" s="309"/>
      <c r="XX257" s="309"/>
      <c r="XY257" s="309"/>
      <c r="XZ257" s="309"/>
      <c r="YA257" s="309"/>
      <c r="YB257" s="309"/>
      <c r="YC257" s="309"/>
      <c r="YD257" s="309"/>
      <c r="YE257" s="309"/>
      <c r="YF257" s="309"/>
      <c r="YG257" s="309"/>
      <c r="YH257" s="309"/>
      <c r="YI257" s="309"/>
      <c r="YJ257" s="309"/>
      <c r="YK257" s="309"/>
      <c r="YL257" s="309"/>
      <c r="YM257" s="309"/>
      <c r="YN257" s="309"/>
      <c r="YO257" s="309"/>
      <c r="YP257" s="309"/>
      <c r="YQ257" s="309"/>
      <c r="YR257" s="309"/>
      <c r="YS257" s="309"/>
      <c r="YT257" s="309"/>
      <c r="YU257" s="309"/>
      <c r="YV257" s="309"/>
      <c r="YW257" s="309"/>
      <c r="YX257" s="309"/>
      <c r="YY257" s="309"/>
      <c r="YZ257" s="309"/>
      <c r="ZA257" s="309"/>
      <c r="ZB257" s="309"/>
      <c r="ZC257" s="309"/>
      <c r="ZD257" s="309"/>
      <c r="ZE257" s="309"/>
      <c r="ZF257" s="309"/>
      <c r="ZG257" s="309"/>
      <c r="ZH257" s="309"/>
      <c r="ZI257" s="309"/>
      <c r="ZJ257" s="309"/>
    </row>
    <row r="258" spans="5:686" s="308" customFormat="1" x14ac:dyDescent="0.3">
      <c r="E258" s="337"/>
      <c r="F258" s="337"/>
      <c r="G258" s="171"/>
      <c r="H258" s="1"/>
      <c r="Y258" s="309"/>
      <c r="Z258" s="309"/>
      <c r="AA258" s="309"/>
      <c r="AB258" s="309"/>
      <c r="AC258" s="309"/>
      <c r="AD258" s="309"/>
      <c r="AE258" s="309"/>
      <c r="AF258" s="309"/>
      <c r="AG258" s="309"/>
      <c r="AH258" s="309"/>
      <c r="AI258" s="309"/>
      <c r="AJ258" s="309"/>
      <c r="AK258" s="309"/>
      <c r="AL258" s="309"/>
      <c r="AM258" s="309"/>
      <c r="AN258" s="309"/>
      <c r="AO258" s="309"/>
      <c r="AP258" s="309"/>
      <c r="AQ258" s="309"/>
      <c r="AR258" s="309"/>
      <c r="AS258" s="309"/>
      <c r="AT258" s="309"/>
      <c r="AU258" s="309"/>
      <c r="AV258" s="309"/>
      <c r="AW258" s="309"/>
      <c r="AX258" s="309"/>
      <c r="AY258" s="309"/>
      <c r="AZ258" s="309"/>
      <c r="BA258" s="309"/>
      <c r="BB258" s="309"/>
      <c r="BC258" s="309"/>
      <c r="BD258" s="309"/>
      <c r="BE258" s="309"/>
      <c r="BF258" s="309"/>
      <c r="BG258" s="309"/>
      <c r="BH258" s="309"/>
      <c r="BI258" s="309"/>
      <c r="BJ258" s="309"/>
      <c r="BK258" s="309"/>
      <c r="BL258" s="309"/>
      <c r="BM258" s="309"/>
      <c r="BN258" s="309"/>
      <c r="BO258" s="309"/>
      <c r="BP258" s="309"/>
      <c r="BQ258" s="309"/>
      <c r="BR258" s="309"/>
      <c r="BS258" s="309"/>
      <c r="BT258" s="309"/>
      <c r="BU258" s="309"/>
      <c r="BV258" s="309"/>
      <c r="BW258" s="309"/>
      <c r="BX258" s="309"/>
      <c r="BY258" s="309"/>
      <c r="BZ258" s="309"/>
      <c r="CA258" s="309"/>
      <c r="CB258" s="309"/>
      <c r="CC258" s="309"/>
      <c r="CD258" s="309"/>
      <c r="CE258" s="309"/>
      <c r="CF258" s="309"/>
      <c r="CG258" s="309"/>
      <c r="CH258" s="309"/>
      <c r="CI258" s="309"/>
      <c r="CJ258" s="309"/>
      <c r="CK258" s="309"/>
      <c r="CL258" s="309"/>
      <c r="CM258" s="309"/>
      <c r="CN258" s="309"/>
      <c r="CO258" s="309"/>
      <c r="CP258" s="309"/>
      <c r="CQ258" s="309"/>
      <c r="CR258" s="309"/>
      <c r="CS258" s="309"/>
      <c r="CT258" s="309"/>
      <c r="CU258" s="309"/>
      <c r="CV258" s="309"/>
      <c r="CW258" s="309"/>
      <c r="CX258" s="309"/>
      <c r="CY258" s="309"/>
      <c r="CZ258" s="309"/>
      <c r="DA258" s="309"/>
      <c r="DB258" s="309"/>
      <c r="DC258" s="309"/>
      <c r="DD258" s="309"/>
      <c r="DE258" s="309"/>
      <c r="DF258" s="309"/>
      <c r="DG258" s="309"/>
      <c r="DH258" s="309"/>
      <c r="DI258" s="309"/>
      <c r="DJ258" s="309"/>
      <c r="DK258" s="309"/>
      <c r="DL258" s="309"/>
      <c r="DM258" s="309"/>
      <c r="DN258" s="309"/>
      <c r="DO258" s="309"/>
      <c r="DP258" s="309"/>
      <c r="DQ258" s="309"/>
      <c r="DR258" s="309"/>
      <c r="DS258" s="309"/>
      <c r="DT258" s="309"/>
      <c r="DU258" s="309"/>
      <c r="DV258" s="309"/>
      <c r="DW258" s="309"/>
      <c r="DX258" s="309"/>
      <c r="DY258" s="309"/>
      <c r="DZ258" s="309"/>
      <c r="EA258" s="309"/>
      <c r="EB258" s="309"/>
      <c r="EC258" s="309"/>
      <c r="ED258" s="309"/>
      <c r="EE258" s="309"/>
      <c r="EF258" s="309"/>
      <c r="EG258" s="309"/>
      <c r="EH258" s="309"/>
      <c r="EI258" s="309"/>
      <c r="EJ258" s="309"/>
      <c r="EK258" s="309"/>
      <c r="EL258" s="309"/>
      <c r="EM258" s="309"/>
      <c r="EN258" s="309"/>
      <c r="EO258" s="309"/>
      <c r="EP258" s="309"/>
      <c r="EQ258" s="309"/>
      <c r="ER258" s="309"/>
      <c r="ES258" s="309"/>
      <c r="ET258" s="309"/>
      <c r="EU258" s="309"/>
      <c r="EV258" s="309"/>
      <c r="EW258" s="309"/>
      <c r="EX258" s="309"/>
      <c r="EY258" s="309"/>
      <c r="EZ258" s="309"/>
      <c r="FA258" s="309"/>
      <c r="FB258" s="309"/>
      <c r="FC258" s="309"/>
      <c r="FD258" s="309"/>
      <c r="FE258" s="309"/>
      <c r="FF258" s="309"/>
      <c r="FG258" s="309"/>
      <c r="FH258" s="309"/>
      <c r="FI258" s="309"/>
      <c r="FJ258" s="309"/>
      <c r="FK258" s="309"/>
      <c r="FL258" s="309"/>
      <c r="FM258" s="309"/>
      <c r="FN258" s="309"/>
      <c r="FO258" s="309"/>
      <c r="FP258" s="309"/>
      <c r="FQ258" s="309"/>
      <c r="FR258" s="309"/>
      <c r="FS258" s="309"/>
      <c r="FT258" s="309"/>
      <c r="FU258" s="309"/>
      <c r="FV258" s="309"/>
      <c r="FW258" s="309"/>
      <c r="FX258" s="309"/>
      <c r="FY258" s="309"/>
      <c r="FZ258" s="309"/>
      <c r="GA258" s="309"/>
      <c r="GB258" s="309"/>
      <c r="GC258" s="309"/>
      <c r="GD258" s="309"/>
      <c r="GE258" s="309"/>
      <c r="GF258" s="309"/>
      <c r="GG258" s="309"/>
      <c r="GH258" s="309"/>
      <c r="GI258" s="309"/>
      <c r="GJ258" s="309"/>
      <c r="GK258" s="309"/>
      <c r="GL258" s="309"/>
      <c r="GM258" s="309"/>
      <c r="GN258" s="309"/>
      <c r="GO258" s="309"/>
      <c r="GP258" s="309"/>
      <c r="GQ258" s="309"/>
      <c r="GR258" s="309"/>
      <c r="GS258" s="309"/>
      <c r="GT258" s="309"/>
      <c r="GU258" s="309"/>
      <c r="GV258" s="309"/>
      <c r="GW258" s="309"/>
      <c r="GX258" s="309"/>
      <c r="GY258" s="309"/>
      <c r="GZ258" s="309"/>
      <c r="HA258" s="309"/>
      <c r="HB258" s="309"/>
      <c r="HC258" s="309"/>
      <c r="HD258" s="309"/>
      <c r="HE258" s="309"/>
      <c r="HF258" s="309"/>
      <c r="HG258" s="309"/>
      <c r="HH258" s="309"/>
      <c r="HI258" s="309"/>
      <c r="HJ258" s="309"/>
      <c r="HK258" s="309"/>
      <c r="HL258" s="309"/>
      <c r="HM258" s="309"/>
      <c r="HN258" s="309"/>
      <c r="HO258" s="309"/>
      <c r="HP258" s="309"/>
      <c r="HQ258" s="309"/>
      <c r="HR258" s="309"/>
      <c r="HS258" s="309"/>
      <c r="HT258" s="309"/>
      <c r="HU258" s="309"/>
      <c r="HV258" s="309"/>
      <c r="HW258" s="309"/>
      <c r="HX258" s="309"/>
      <c r="HY258" s="309"/>
      <c r="HZ258" s="309"/>
      <c r="IA258" s="309"/>
      <c r="IB258" s="309"/>
      <c r="IC258" s="309"/>
      <c r="ID258" s="309"/>
      <c r="IE258" s="309"/>
      <c r="IF258" s="309"/>
      <c r="IG258" s="309"/>
      <c r="IH258" s="309"/>
      <c r="II258" s="309"/>
      <c r="IJ258" s="309"/>
      <c r="IK258" s="309"/>
      <c r="IL258" s="309"/>
      <c r="IM258" s="309"/>
      <c r="IN258" s="309"/>
      <c r="IO258" s="309"/>
      <c r="IP258" s="309"/>
      <c r="IQ258" s="309"/>
      <c r="IR258" s="309"/>
      <c r="IS258" s="309"/>
      <c r="IT258" s="309"/>
      <c r="IU258" s="309"/>
      <c r="IV258" s="309"/>
      <c r="IW258" s="309"/>
      <c r="IX258" s="309"/>
      <c r="IY258" s="309"/>
      <c r="IZ258" s="309"/>
      <c r="JA258" s="309"/>
      <c r="JB258" s="309"/>
      <c r="JC258" s="309"/>
      <c r="JD258" s="309"/>
      <c r="JE258" s="309"/>
      <c r="JF258" s="309"/>
      <c r="JG258" s="309"/>
      <c r="JH258" s="309"/>
      <c r="JI258" s="309"/>
      <c r="JJ258" s="309"/>
      <c r="JK258" s="309"/>
      <c r="JL258" s="309"/>
      <c r="JM258" s="309"/>
      <c r="JN258" s="309"/>
      <c r="JO258" s="309"/>
      <c r="JP258" s="309"/>
      <c r="JQ258" s="309"/>
      <c r="JR258" s="309"/>
      <c r="JS258" s="309"/>
      <c r="JT258" s="309"/>
      <c r="JU258" s="309"/>
      <c r="JV258" s="309"/>
      <c r="JW258" s="309"/>
      <c r="JX258" s="309"/>
      <c r="JY258" s="309"/>
      <c r="JZ258" s="309"/>
      <c r="KA258" s="309"/>
      <c r="KB258" s="309"/>
      <c r="KC258" s="309"/>
      <c r="KD258" s="309"/>
      <c r="KE258" s="309"/>
      <c r="KF258" s="309"/>
      <c r="KG258" s="309"/>
      <c r="KH258" s="309"/>
      <c r="KI258" s="309"/>
      <c r="KJ258" s="309"/>
      <c r="KK258" s="309"/>
      <c r="KL258" s="309"/>
      <c r="KM258" s="309"/>
      <c r="KN258" s="309"/>
      <c r="KO258" s="309"/>
      <c r="KP258" s="309"/>
      <c r="KQ258" s="309"/>
      <c r="KR258" s="309"/>
      <c r="KS258" s="309"/>
      <c r="KT258" s="309"/>
      <c r="KU258" s="309"/>
      <c r="KV258" s="309"/>
      <c r="KW258" s="309"/>
      <c r="KX258" s="309"/>
      <c r="KY258" s="309"/>
      <c r="KZ258" s="309"/>
      <c r="LA258" s="309"/>
      <c r="LB258" s="309"/>
      <c r="LC258" s="309"/>
      <c r="LD258" s="309"/>
      <c r="LE258" s="309"/>
      <c r="LF258" s="309"/>
      <c r="LG258" s="309"/>
      <c r="LH258" s="309"/>
      <c r="LI258" s="309"/>
      <c r="LJ258" s="309"/>
      <c r="LK258" s="309"/>
      <c r="LL258" s="309"/>
      <c r="LM258" s="309"/>
      <c r="LN258" s="309"/>
      <c r="LO258" s="309"/>
      <c r="LP258" s="309"/>
      <c r="LQ258" s="309"/>
      <c r="LR258" s="309"/>
      <c r="LS258" s="309"/>
      <c r="LT258" s="309"/>
      <c r="LU258" s="309"/>
      <c r="LV258" s="309"/>
      <c r="LW258" s="309"/>
      <c r="LX258" s="309"/>
      <c r="LY258" s="309"/>
      <c r="LZ258" s="309"/>
      <c r="MA258" s="309"/>
      <c r="MB258" s="309"/>
      <c r="MC258" s="309"/>
      <c r="MD258" s="309"/>
      <c r="ME258" s="309"/>
      <c r="MF258" s="309"/>
      <c r="MG258" s="309"/>
      <c r="MH258" s="309"/>
      <c r="MI258" s="309"/>
      <c r="MJ258" s="309"/>
      <c r="MK258" s="309"/>
      <c r="ML258" s="309"/>
      <c r="MM258" s="309"/>
      <c r="MN258" s="309"/>
      <c r="MO258" s="309"/>
      <c r="MP258" s="309"/>
      <c r="MQ258" s="309"/>
      <c r="MR258" s="309"/>
      <c r="MS258" s="309"/>
      <c r="MT258" s="309"/>
      <c r="MU258" s="309"/>
      <c r="MV258" s="309"/>
      <c r="MW258" s="309"/>
      <c r="MX258" s="309"/>
      <c r="MY258" s="309"/>
      <c r="MZ258" s="309"/>
      <c r="NA258" s="309"/>
      <c r="NB258" s="309"/>
      <c r="NC258" s="309"/>
      <c r="ND258" s="309"/>
      <c r="NE258" s="309"/>
      <c r="NF258" s="309"/>
      <c r="NG258" s="309"/>
      <c r="NH258" s="309"/>
      <c r="NI258" s="309"/>
      <c r="NJ258" s="309"/>
      <c r="NK258" s="309"/>
      <c r="NL258" s="309"/>
      <c r="NM258" s="309"/>
      <c r="NN258" s="309"/>
      <c r="NO258" s="309"/>
      <c r="NP258" s="309"/>
      <c r="NQ258" s="309"/>
      <c r="NR258" s="309"/>
      <c r="NS258" s="309"/>
      <c r="NT258" s="309"/>
      <c r="NU258" s="309"/>
      <c r="NV258" s="309"/>
      <c r="NW258" s="309"/>
      <c r="NX258" s="309"/>
      <c r="NY258" s="309"/>
      <c r="NZ258" s="309"/>
      <c r="OA258" s="309"/>
      <c r="OB258" s="309"/>
      <c r="OC258" s="309"/>
      <c r="OD258" s="309"/>
      <c r="OE258" s="309"/>
      <c r="OF258" s="309"/>
      <c r="OG258" s="309"/>
      <c r="OH258" s="309"/>
      <c r="OI258" s="309"/>
      <c r="OJ258" s="309"/>
      <c r="OK258" s="309"/>
      <c r="OL258" s="309"/>
      <c r="OM258" s="309"/>
      <c r="ON258" s="309"/>
      <c r="OO258" s="309"/>
      <c r="OP258" s="309"/>
      <c r="OQ258" s="309"/>
      <c r="OR258" s="309"/>
      <c r="OS258" s="309"/>
      <c r="OT258" s="309"/>
      <c r="OU258" s="309"/>
      <c r="OV258" s="309"/>
      <c r="OW258" s="309"/>
      <c r="OX258" s="309"/>
      <c r="OY258" s="309"/>
      <c r="OZ258" s="309"/>
      <c r="PA258" s="309"/>
      <c r="PB258" s="309"/>
      <c r="PC258" s="309"/>
      <c r="PD258" s="309"/>
      <c r="PE258" s="309"/>
      <c r="PF258" s="309"/>
      <c r="PG258" s="309"/>
      <c r="PH258" s="309"/>
      <c r="PI258" s="309"/>
      <c r="PJ258" s="309"/>
      <c r="PK258" s="309"/>
      <c r="PL258" s="309"/>
      <c r="PM258" s="309"/>
      <c r="PN258" s="309"/>
      <c r="PO258" s="309"/>
      <c r="PP258" s="309"/>
      <c r="PQ258" s="309"/>
      <c r="PR258" s="309"/>
      <c r="PS258" s="309"/>
      <c r="PT258" s="309"/>
      <c r="PU258" s="309"/>
      <c r="PV258" s="309"/>
      <c r="PW258" s="309"/>
      <c r="PX258" s="309"/>
      <c r="PY258" s="309"/>
      <c r="PZ258" s="309"/>
      <c r="QA258" s="309"/>
      <c r="QB258" s="309"/>
      <c r="QC258" s="309"/>
      <c r="QD258" s="309"/>
      <c r="QE258" s="309"/>
      <c r="QF258" s="309"/>
      <c r="QG258" s="309"/>
      <c r="QH258" s="309"/>
      <c r="QI258" s="309"/>
      <c r="QJ258" s="309"/>
      <c r="QK258" s="309"/>
      <c r="QL258" s="309"/>
      <c r="QM258" s="309"/>
      <c r="QN258" s="309"/>
      <c r="QO258" s="309"/>
      <c r="QP258" s="309"/>
      <c r="QQ258" s="309"/>
      <c r="QR258" s="309"/>
      <c r="QS258" s="309"/>
      <c r="QT258" s="309"/>
      <c r="QU258" s="309"/>
      <c r="QV258" s="309"/>
      <c r="QW258" s="309"/>
      <c r="QX258" s="309"/>
      <c r="QY258" s="309"/>
      <c r="QZ258" s="309"/>
      <c r="RA258" s="309"/>
      <c r="RB258" s="309"/>
      <c r="RC258" s="309"/>
      <c r="RD258" s="309"/>
      <c r="RE258" s="309"/>
      <c r="RF258" s="309"/>
      <c r="RG258" s="309"/>
      <c r="RH258" s="309"/>
      <c r="RI258" s="309"/>
      <c r="RJ258" s="309"/>
      <c r="RK258" s="309"/>
      <c r="RL258" s="309"/>
      <c r="RM258" s="309"/>
      <c r="RN258" s="309"/>
      <c r="RO258" s="309"/>
      <c r="RP258" s="309"/>
      <c r="RQ258" s="309"/>
      <c r="RR258" s="309"/>
      <c r="RS258" s="309"/>
      <c r="RT258" s="309"/>
      <c r="RU258" s="309"/>
      <c r="RV258" s="309"/>
      <c r="RW258" s="309"/>
      <c r="RX258" s="309"/>
      <c r="RY258" s="309"/>
      <c r="RZ258" s="309"/>
      <c r="SA258" s="309"/>
      <c r="SB258" s="309"/>
      <c r="SC258" s="309"/>
      <c r="SD258" s="309"/>
      <c r="SE258" s="309"/>
      <c r="SF258" s="309"/>
      <c r="SG258" s="309"/>
      <c r="SH258" s="309"/>
      <c r="SI258" s="309"/>
      <c r="SJ258" s="309"/>
      <c r="SK258" s="309"/>
      <c r="SL258" s="309"/>
      <c r="SM258" s="309"/>
      <c r="SN258" s="309"/>
      <c r="SO258" s="309"/>
      <c r="SP258" s="309"/>
      <c r="SQ258" s="309"/>
      <c r="SR258" s="309"/>
      <c r="SS258" s="309"/>
      <c r="ST258" s="309"/>
      <c r="SU258" s="309"/>
      <c r="SV258" s="309"/>
      <c r="SW258" s="309"/>
      <c r="SX258" s="309"/>
      <c r="SY258" s="309"/>
      <c r="SZ258" s="309"/>
      <c r="TA258" s="309"/>
      <c r="TB258" s="309"/>
      <c r="TC258" s="309"/>
      <c r="TD258" s="309"/>
      <c r="TE258" s="309"/>
      <c r="TF258" s="309"/>
      <c r="TG258" s="309"/>
      <c r="TH258" s="309"/>
      <c r="TI258" s="309"/>
      <c r="TJ258" s="309"/>
      <c r="TK258" s="309"/>
      <c r="TL258" s="309"/>
      <c r="TM258" s="309"/>
      <c r="TN258" s="309"/>
      <c r="TO258" s="309"/>
      <c r="TP258" s="309"/>
      <c r="TQ258" s="309"/>
      <c r="TR258" s="309"/>
      <c r="TS258" s="309"/>
      <c r="TT258" s="309"/>
      <c r="TU258" s="309"/>
      <c r="TV258" s="309"/>
      <c r="TW258" s="309"/>
      <c r="TX258" s="309"/>
      <c r="TY258" s="309"/>
      <c r="TZ258" s="309"/>
      <c r="UA258" s="309"/>
      <c r="UB258" s="309"/>
      <c r="UC258" s="309"/>
      <c r="UD258" s="309"/>
      <c r="UE258" s="309"/>
      <c r="UF258" s="309"/>
      <c r="UG258" s="309"/>
      <c r="UH258" s="309"/>
      <c r="UI258" s="309"/>
      <c r="UJ258" s="309"/>
      <c r="UK258" s="309"/>
      <c r="UL258" s="309"/>
      <c r="UM258" s="309"/>
      <c r="UN258" s="309"/>
      <c r="UO258" s="309"/>
      <c r="UP258" s="309"/>
      <c r="UQ258" s="309"/>
      <c r="UR258" s="309"/>
      <c r="US258" s="309"/>
      <c r="UT258" s="309"/>
      <c r="UU258" s="309"/>
      <c r="UV258" s="309"/>
      <c r="UW258" s="309"/>
      <c r="UX258" s="309"/>
      <c r="UY258" s="309"/>
      <c r="UZ258" s="309"/>
      <c r="VA258" s="309"/>
      <c r="VB258" s="309"/>
      <c r="VC258" s="309"/>
      <c r="VD258" s="309"/>
      <c r="VE258" s="309"/>
      <c r="VF258" s="309"/>
      <c r="VG258" s="309"/>
      <c r="VH258" s="309"/>
      <c r="VI258" s="309"/>
      <c r="VJ258" s="309"/>
      <c r="VK258" s="309"/>
      <c r="VL258" s="309"/>
      <c r="VM258" s="309"/>
      <c r="VN258" s="309"/>
      <c r="VO258" s="309"/>
      <c r="VP258" s="309"/>
      <c r="VQ258" s="309"/>
      <c r="VR258" s="309"/>
      <c r="VS258" s="309"/>
      <c r="VT258" s="309"/>
      <c r="VU258" s="309"/>
      <c r="VV258" s="309"/>
      <c r="VW258" s="309"/>
      <c r="VX258" s="309"/>
      <c r="VY258" s="309"/>
      <c r="VZ258" s="309"/>
      <c r="WA258" s="309"/>
      <c r="WB258" s="309"/>
      <c r="WC258" s="309"/>
      <c r="WD258" s="309"/>
      <c r="WE258" s="309"/>
      <c r="WF258" s="309"/>
      <c r="WG258" s="309"/>
      <c r="WH258" s="309"/>
      <c r="WI258" s="309"/>
      <c r="WJ258" s="309"/>
      <c r="WK258" s="309"/>
      <c r="WL258" s="309"/>
      <c r="WM258" s="309"/>
      <c r="WN258" s="309"/>
      <c r="WO258" s="309"/>
      <c r="WP258" s="309"/>
      <c r="WQ258" s="309"/>
      <c r="WR258" s="309"/>
      <c r="WS258" s="309"/>
      <c r="WT258" s="309"/>
      <c r="WU258" s="309"/>
      <c r="WV258" s="309"/>
      <c r="WW258" s="309"/>
      <c r="WX258" s="309"/>
      <c r="WY258" s="309"/>
      <c r="WZ258" s="309"/>
      <c r="XA258" s="309"/>
      <c r="XB258" s="309"/>
      <c r="XC258" s="309"/>
      <c r="XD258" s="309"/>
      <c r="XE258" s="309"/>
      <c r="XF258" s="309"/>
      <c r="XG258" s="309"/>
      <c r="XH258" s="309"/>
      <c r="XI258" s="309"/>
      <c r="XJ258" s="309"/>
      <c r="XK258" s="309"/>
      <c r="XL258" s="309"/>
      <c r="XM258" s="309"/>
      <c r="XN258" s="309"/>
      <c r="XO258" s="309"/>
      <c r="XP258" s="309"/>
      <c r="XQ258" s="309"/>
      <c r="XR258" s="309"/>
      <c r="XS258" s="309"/>
      <c r="XT258" s="309"/>
      <c r="XU258" s="309"/>
      <c r="XV258" s="309"/>
      <c r="XW258" s="309"/>
      <c r="XX258" s="309"/>
      <c r="XY258" s="309"/>
      <c r="XZ258" s="309"/>
      <c r="YA258" s="309"/>
      <c r="YB258" s="309"/>
      <c r="YC258" s="309"/>
      <c r="YD258" s="309"/>
      <c r="YE258" s="309"/>
      <c r="YF258" s="309"/>
      <c r="YG258" s="309"/>
      <c r="YH258" s="309"/>
      <c r="YI258" s="309"/>
      <c r="YJ258" s="309"/>
      <c r="YK258" s="309"/>
      <c r="YL258" s="309"/>
      <c r="YM258" s="309"/>
      <c r="YN258" s="309"/>
      <c r="YO258" s="309"/>
      <c r="YP258" s="309"/>
      <c r="YQ258" s="309"/>
      <c r="YR258" s="309"/>
      <c r="YS258" s="309"/>
      <c r="YT258" s="309"/>
      <c r="YU258" s="309"/>
      <c r="YV258" s="309"/>
      <c r="YW258" s="309"/>
      <c r="YX258" s="309"/>
      <c r="YY258" s="309"/>
      <c r="YZ258" s="309"/>
      <c r="ZA258" s="309"/>
      <c r="ZB258" s="309"/>
      <c r="ZC258" s="309"/>
      <c r="ZD258" s="309"/>
      <c r="ZE258" s="309"/>
      <c r="ZF258" s="309"/>
      <c r="ZG258" s="309"/>
      <c r="ZH258" s="309"/>
      <c r="ZI258" s="309"/>
      <c r="ZJ258" s="309"/>
    </row>
    <row r="259" spans="5:686" s="308" customFormat="1" x14ac:dyDescent="0.3">
      <c r="E259" s="337"/>
      <c r="F259" s="337"/>
      <c r="G259" s="171"/>
      <c r="H259" s="1"/>
      <c r="Y259" s="309"/>
      <c r="Z259" s="309"/>
      <c r="AA259" s="309"/>
      <c r="AB259" s="309"/>
      <c r="AC259" s="309"/>
      <c r="AD259" s="309"/>
      <c r="AE259" s="309"/>
      <c r="AF259" s="309"/>
      <c r="AG259" s="309"/>
      <c r="AH259" s="309"/>
      <c r="AI259" s="309"/>
      <c r="AJ259" s="309"/>
      <c r="AK259" s="309"/>
      <c r="AL259" s="309"/>
      <c r="AM259" s="309"/>
      <c r="AN259" s="309"/>
      <c r="AO259" s="309"/>
      <c r="AP259" s="309"/>
      <c r="AQ259" s="309"/>
      <c r="AR259" s="309"/>
      <c r="AS259" s="309"/>
      <c r="AT259" s="309"/>
      <c r="AU259" s="309"/>
      <c r="AV259" s="309"/>
      <c r="AW259" s="309"/>
      <c r="AX259" s="309"/>
      <c r="AY259" s="309"/>
      <c r="AZ259" s="309"/>
      <c r="BA259" s="309"/>
      <c r="BB259" s="309"/>
      <c r="BC259" s="309"/>
      <c r="BD259" s="309"/>
      <c r="BE259" s="309"/>
      <c r="BF259" s="309"/>
      <c r="BG259" s="309"/>
      <c r="BH259" s="309"/>
      <c r="BI259" s="309"/>
      <c r="BJ259" s="309"/>
      <c r="BK259" s="309"/>
      <c r="BL259" s="309"/>
      <c r="BM259" s="309"/>
      <c r="BN259" s="309"/>
      <c r="BO259" s="309"/>
      <c r="BP259" s="309"/>
      <c r="BQ259" s="309"/>
      <c r="BR259" s="309"/>
      <c r="BS259" s="309"/>
      <c r="BT259" s="309"/>
      <c r="BU259" s="309"/>
      <c r="BV259" s="309"/>
      <c r="BW259" s="309"/>
      <c r="BX259" s="309"/>
      <c r="BY259" s="309"/>
      <c r="BZ259" s="309"/>
      <c r="CA259" s="309"/>
      <c r="CB259" s="309"/>
      <c r="CC259" s="309"/>
      <c r="CD259" s="309"/>
      <c r="CE259" s="309"/>
      <c r="CF259" s="309"/>
      <c r="CG259" s="309"/>
      <c r="CH259" s="309"/>
      <c r="CI259" s="309"/>
      <c r="CJ259" s="309"/>
      <c r="CK259" s="309"/>
      <c r="CL259" s="309"/>
      <c r="CM259" s="309"/>
      <c r="CN259" s="309"/>
      <c r="CO259" s="309"/>
      <c r="CP259" s="309"/>
      <c r="CQ259" s="309"/>
      <c r="CR259" s="309"/>
      <c r="CS259" s="309"/>
      <c r="CT259" s="309"/>
      <c r="CU259" s="309"/>
      <c r="CV259" s="309"/>
      <c r="CW259" s="309"/>
      <c r="CX259" s="309"/>
      <c r="CY259" s="309"/>
      <c r="CZ259" s="309"/>
      <c r="DA259" s="309"/>
      <c r="DB259" s="309"/>
      <c r="DC259" s="309"/>
      <c r="DD259" s="309"/>
      <c r="DE259" s="309"/>
      <c r="DF259" s="309"/>
      <c r="DG259" s="309"/>
      <c r="DH259" s="309"/>
      <c r="DI259" s="309"/>
      <c r="DJ259" s="309"/>
      <c r="DK259" s="309"/>
      <c r="DL259" s="309"/>
      <c r="DM259" s="309"/>
      <c r="DN259" s="309"/>
      <c r="DO259" s="309"/>
      <c r="DP259" s="309"/>
      <c r="DQ259" s="309"/>
      <c r="DR259" s="309"/>
      <c r="DS259" s="309"/>
      <c r="DT259" s="309"/>
      <c r="DU259" s="309"/>
      <c r="DV259" s="309"/>
      <c r="DW259" s="309"/>
      <c r="DX259" s="309"/>
      <c r="DY259" s="309"/>
      <c r="DZ259" s="309"/>
      <c r="EA259" s="309"/>
      <c r="EB259" s="309"/>
      <c r="EC259" s="309"/>
      <c r="ED259" s="309"/>
      <c r="EE259" s="309"/>
      <c r="EF259" s="309"/>
      <c r="EG259" s="309"/>
      <c r="EH259" s="309"/>
      <c r="EI259" s="309"/>
      <c r="EJ259" s="309"/>
      <c r="EK259" s="309"/>
      <c r="EL259" s="309"/>
      <c r="EM259" s="309"/>
      <c r="EN259" s="309"/>
      <c r="EO259" s="309"/>
      <c r="EP259" s="309"/>
      <c r="EQ259" s="309"/>
      <c r="ER259" s="309"/>
      <c r="ES259" s="309"/>
      <c r="ET259" s="309"/>
      <c r="EU259" s="309"/>
      <c r="EV259" s="309"/>
      <c r="EW259" s="309"/>
      <c r="EX259" s="309"/>
      <c r="EY259" s="309"/>
      <c r="EZ259" s="309"/>
      <c r="FA259" s="309"/>
      <c r="FB259" s="309"/>
      <c r="FC259" s="309"/>
      <c r="FD259" s="309"/>
      <c r="FE259" s="309"/>
      <c r="FF259" s="309"/>
      <c r="FG259" s="309"/>
      <c r="FH259" s="309"/>
      <c r="FI259" s="309"/>
      <c r="FJ259" s="309"/>
      <c r="FK259" s="309"/>
      <c r="FL259" s="309"/>
      <c r="FM259" s="309"/>
      <c r="FN259" s="309"/>
      <c r="FO259" s="309"/>
      <c r="FP259" s="309"/>
      <c r="FQ259" s="309"/>
      <c r="FR259" s="309"/>
      <c r="FS259" s="309"/>
      <c r="FT259" s="309"/>
      <c r="FU259" s="309"/>
      <c r="FV259" s="309"/>
      <c r="FW259" s="309"/>
      <c r="FX259" s="309"/>
      <c r="FY259" s="309"/>
      <c r="FZ259" s="309"/>
      <c r="GA259" s="309"/>
      <c r="GB259" s="309"/>
      <c r="GC259" s="309"/>
      <c r="GD259" s="309"/>
      <c r="GE259" s="309"/>
      <c r="GF259" s="309"/>
      <c r="GG259" s="309"/>
      <c r="GH259" s="309"/>
      <c r="GI259" s="309"/>
      <c r="GJ259" s="309"/>
      <c r="GK259" s="309"/>
      <c r="GL259" s="309"/>
      <c r="GM259" s="309"/>
      <c r="GN259" s="309"/>
      <c r="GO259" s="309"/>
      <c r="GP259" s="309"/>
      <c r="GQ259" s="309"/>
      <c r="GR259" s="309"/>
      <c r="GS259" s="309"/>
      <c r="GT259" s="309"/>
      <c r="GU259" s="309"/>
      <c r="GV259" s="309"/>
      <c r="GW259" s="309"/>
      <c r="GX259" s="309"/>
      <c r="GY259" s="309"/>
      <c r="GZ259" s="309"/>
      <c r="HA259" s="309"/>
      <c r="HB259" s="309"/>
      <c r="HC259" s="309"/>
      <c r="HD259" s="309"/>
      <c r="HE259" s="309"/>
      <c r="HF259" s="309"/>
      <c r="HG259" s="309"/>
      <c r="HH259" s="309"/>
      <c r="HI259" s="309"/>
      <c r="HJ259" s="309"/>
      <c r="HK259" s="309"/>
      <c r="HL259" s="309"/>
      <c r="HM259" s="309"/>
      <c r="HN259" s="309"/>
      <c r="HO259" s="309"/>
      <c r="HP259" s="309"/>
      <c r="HQ259" s="309"/>
      <c r="HR259" s="309"/>
      <c r="HS259" s="309"/>
      <c r="HT259" s="309"/>
      <c r="HU259" s="309"/>
      <c r="HV259" s="309"/>
      <c r="HW259" s="309"/>
      <c r="HX259" s="309"/>
      <c r="HY259" s="309"/>
      <c r="HZ259" s="309"/>
      <c r="IA259" s="309"/>
      <c r="IB259" s="309"/>
      <c r="IC259" s="309"/>
      <c r="ID259" s="309"/>
      <c r="IE259" s="309"/>
      <c r="IF259" s="309"/>
      <c r="IG259" s="309"/>
      <c r="IH259" s="309"/>
      <c r="II259" s="309"/>
      <c r="IJ259" s="309"/>
      <c r="IK259" s="309"/>
      <c r="IL259" s="309"/>
      <c r="IM259" s="309"/>
      <c r="IN259" s="309"/>
      <c r="IO259" s="309"/>
      <c r="IP259" s="309"/>
      <c r="IQ259" s="309"/>
      <c r="IR259" s="309"/>
      <c r="IS259" s="309"/>
      <c r="IT259" s="309"/>
      <c r="IU259" s="309"/>
      <c r="IV259" s="309"/>
      <c r="IW259" s="309"/>
      <c r="IX259" s="309"/>
      <c r="IY259" s="309"/>
      <c r="IZ259" s="309"/>
      <c r="JA259" s="309"/>
      <c r="JB259" s="309"/>
      <c r="JC259" s="309"/>
      <c r="JD259" s="309"/>
      <c r="JE259" s="309"/>
      <c r="JF259" s="309"/>
      <c r="JG259" s="309"/>
      <c r="JH259" s="309"/>
      <c r="JI259" s="309"/>
      <c r="JJ259" s="309"/>
      <c r="JK259" s="309"/>
      <c r="JL259" s="309"/>
      <c r="JM259" s="309"/>
      <c r="JN259" s="309"/>
      <c r="JO259" s="309"/>
      <c r="JP259" s="309"/>
      <c r="JQ259" s="309"/>
      <c r="JR259" s="309"/>
      <c r="JS259" s="309"/>
      <c r="JT259" s="309"/>
      <c r="JU259" s="309"/>
      <c r="JV259" s="309"/>
      <c r="JW259" s="309"/>
      <c r="JX259" s="309"/>
      <c r="JY259" s="309"/>
      <c r="JZ259" s="309"/>
      <c r="KA259" s="309"/>
      <c r="KB259" s="309"/>
      <c r="KC259" s="309"/>
      <c r="KD259" s="309"/>
      <c r="KE259" s="309"/>
      <c r="KF259" s="309"/>
      <c r="KG259" s="309"/>
      <c r="KH259" s="309"/>
      <c r="KI259" s="309"/>
      <c r="KJ259" s="309"/>
      <c r="KK259" s="309"/>
      <c r="KL259" s="309"/>
      <c r="KM259" s="309"/>
      <c r="KN259" s="309"/>
      <c r="KO259" s="309"/>
      <c r="KP259" s="309"/>
      <c r="KQ259" s="309"/>
      <c r="KR259" s="309"/>
      <c r="KS259" s="309"/>
      <c r="KT259" s="309"/>
      <c r="KU259" s="309"/>
      <c r="KV259" s="309"/>
      <c r="KW259" s="309"/>
      <c r="KX259" s="309"/>
      <c r="KY259" s="309"/>
      <c r="KZ259" s="309"/>
      <c r="LA259" s="309"/>
      <c r="LB259" s="309"/>
      <c r="LC259" s="309"/>
      <c r="LD259" s="309"/>
      <c r="LE259" s="309"/>
      <c r="LF259" s="309"/>
      <c r="LG259" s="309"/>
      <c r="LH259" s="309"/>
      <c r="LI259" s="309"/>
      <c r="LJ259" s="309"/>
      <c r="LK259" s="309"/>
      <c r="LL259" s="309"/>
      <c r="LM259" s="309"/>
      <c r="LN259" s="309"/>
      <c r="LO259" s="309"/>
      <c r="LP259" s="309"/>
      <c r="LQ259" s="309"/>
      <c r="LR259" s="309"/>
      <c r="LS259" s="309"/>
      <c r="LT259" s="309"/>
      <c r="LU259" s="309"/>
      <c r="LV259" s="309"/>
      <c r="LW259" s="309"/>
      <c r="LX259" s="309"/>
      <c r="LY259" s="309"/>
      <c r="LZ259" s="309"/>
      <c r="MA259" s="309"/>
      <c r="MB259" s="309"/>
      <c r="MC259" s="309"/>
      <c r="MD259" s="309"/>
      <c r="ME259" s="309"/>
      <c r="MF259" s="309"/>
      <c r="MG259" s="309"/>
      <c r="MH259" s="309"/>
      <c r="MI259" s="309"/>
      <c r="MJ259" s="309"/>
      <c r="MK259" s="309"/>
      <c r="ML259" s="309"/>
      <c r="MM259" s="309"/>
      <c r="MN259" s="309"/>
      <c r="MO259" s="309"/>
      <c r="MP259" s="309"/>
      <c r="MQ259" s="309"/>
      <c r="MR259" s="309"/>
      <c r="MS259" s="309"/>
      <c r="MT259" s="309"/>
      <c r="MU259" s="309"/>
      <c r="MV259" s="309"/>
      <c r="MW259" s="309"/>
      <c r="MX259" s="309"/>
      <c r="MY259" s="309"/>
      <c r="MZ259" s="309"/>
      <c r="NA259" s="309"/>
      <c r="NB259" s="309"/>
      <c r="NC259" s="309"/>
      <c r="ND259" s="309"/>
      <c r="NE259" s="309"/>
      <c r="NF259" s="309"/>
      <c r="NG259" s="309"/>
      <c r="NH259" s="309"/>
      <c r="NI259" s="309"/>
      <c r="NJ259" s="309"/>
      <c r="NK259" s="309"/>
      <c r="NL259" s="309"/>
      <c r="NM259" s="309"/>
      <c r="NN259" s="309"/>
      <c r="NO259" s="309"/>
      <c r="NP259" s="309"/>
      <c r="NQ259" s="309"/>
      <c r="NR259" s="309"/>
      <c r="NS259" s="309"/>
      <c r="NT259" s="309"/>
      <c r="NU259" s="309"/>
      <c r="NV259" s="309"/>
      <c r="NW259" s="309"/>
      <c r="NX259" s="309"/>
      <c r="NY259" s="309"/>
      <c r="NZ259" s="309"/>
      <c r="OA259" s="309"/>
      <c r="OB259" s="309"/>
      <c r="OC259" s="309"/>
      <c r="OD259" s="309"/>
      <c r="OE259" s="309"/>
      <c r="OF259" s="309"/>
      <c r="OG259" s="309"/>
      <c r="OH259" s="309"/>
      <c r="OI259" s="309"/>
      <c r="OJ259" s="309"/>
      <c r="OK259" s="309"/>
      <c r="OL259" s="309"/>
      <c r="OM259" s="309"/>
      <c r="ON259" s="309"/>
      <c r="OO259" s="309"/>
      <c r="OP259" s="309"/>
      <c r="OQ259" s="309"/>
      <c r="OR259" s="309"/>
      <c r="OS259" s="309"/>
      <c r="OT259" s="309"/>
      <c r="OU259" s="309"/>
      <c r="OV259" s="309"/>
      <c r="OW259" s="309"/>
      <c r="OX259" s="309"/>
      <c r="OY259" s="309"/>
      <c r="OZ259" s="309"/>
      <c r="PA259" s="309"/>
      <c r="PB259" s="309"/>
      <c r="PC259" s="309"/>
      <c r="PD259" s="309"/>
      <c r="PE259" s="309"/>
      <c r="PF259" s="309"/>
      <c r="PG259" s="309"/>
      <c r="PH259" s="309"/>
      <c r="PI259" s="309"/>
      <c r="PJ259" s="309"/>
      <c r="PK259" s="309"/>
      <c r="PL259" s="309"/>
      <c r="PM259" s="309"/>
      <c r="PN259" s="309"/>
      <c r="PO259" s="309"/>
      <c r="PP259" s="309"/>
      <c r="PQ259" s="309"/>
      <c r="PR259" s="309"/>
      <c r="PS259" s="309"/>
      <c r="PT259" s="309"/>
      <c r="PU259" s="309"/>
      <c r="PV259" s="309"/>
      <c r="PW259" s="309"/>
      <c r="PX259" s="309"/>
      <c r="PY259" s="309"/>
      <c r="PZ259" s="309"/>
      <c r="QA259" s="309"/>
      <c r="QB259" s="309"/>
      <c r="QC259" s="309"/>
      <c r="QD259" s="309"/>
      <c r="QE259" s="309"/>
      <c r="QF259" s="309"/>
      <c r="QG259" s="309"/>
      <c r="QH259" s="309"/>
      <c r="QI259" s="309"/>
      <c r="QJ259" s="309"/>
      <c r="QK259" s="309"/>
      <c r="QL259" s="309"/>
      <c r="QM259" s="309"/>
      <c r="QN259" s="309"/>
      <c r="QO259" s="309"/>
      <c r="QP259" s="309"/>
      <c r="QQ259" s="309"/>
      <c r="QR259" s="309"/>
      <c r="QS259" s="309"/>
      <c r="QT259" s="309"/>
      <c r="QU259" s="309"/>
      <c r="QV259" s="309"/>
      <c r="QW259" s="309"/>
      <c r="QX259" s="309"/>
      <c r="QY259" s="309"/>
      <c r="QZ259" s="309"/>
      <c r="RA259" s="309"/>
      <c r="RB259" s="309"/>
      <c r="RC259" s="309"/>
      <c r="RD259" s="309"/>
      <c r="RE259" s="309"/>
      <c r="RF259" s="309"/>
      <c r="RG259" s="309"/>
      <c r="RH259" s="309"/>
      <c r="RI259" s="309"/>
      <c r="RJ259" s="309"/>
      <c r="RK259" s="309"/>
      <c r="RL259" s="309"/>
      <c r="RM259" s="309"/>
      <c r="RN259" s="309"/>
      <c r="RO259" s="309"/>
      <c r="RP259" s="309"/>
      <c r="RQ259" s="309"/>
      <c r="RR259" s="309"/>
      <c r="RS259" s="309"/>
      <c r="RT259" s="309"/>
      <c r="RU259" s="309"/>
      <c r="RV259" s="309"/>
      <c r="RW259" s="309"/>
      <c r="RX259" s="309"/>
      <c r="RY259" s="309"/>
      <c r="RZ259" s="309"/>
      <c r="SA259" s="309"/>
      <c r="SB259" s="309"/>
      <c r="SC259" s="309"/>
      <c r="SD259" s="309"/>
      <c r="SE259" s="309"/>
      <c r="SF259" s="309"/>
      <c r="SG259" s="309"/>
      <c r="SH259" s="309"/>
      <c r="SI259" s="309"/>
      <c r="SJ259" s="309"/>
      <c r="SK259" s="309"/>
      <c r="SL259" s="309"/>
      <c r="SM259" s="309"/>
      <c r="SN259" s="309"/>
      <c r="SO259" s="309"/>
      <c r="SP259" s="309"/>
      <c r="SQ259" s="309"/>
      <c r="SR259" s="309"/>
      <c r="SS259" s="309"/>
      <c r="ST259" s="309"/>
      <c r="SU259" s="309"/>
      <c r="SV259" s="309"/>
      <c r="SW259" s="309"/>
      <c r="SX259" s="309"/>
      <c r="SY259" s="309"/>
      <c r="SZ259" s="309"/>
      <c r="TA259" s="309"/>
      <c r="TB259" s="309"/>
      <c r="TC259" s="309"/>
      <c r="TD259" s="309"/>
      <c r="TE259" s="309"/>
      <c r="TF259" s="309"/>
      <c r="TG259" s="309"/>
      <c r="TH259" s="309"/>
      <c r="TI259" s="309"/>
      <c r="TJ259" s="309"/>
      <c r="TK259" s="309"/>
      <c r="TL259" s="309"/>
      <c r="TM259" s="309"/>
      <c r="TN259" s="309"/>
      <c r="TO259" s="309"/>
      <c r="TP259" s="309"/>
      <c r="TQ259" s="309"/>
      <c r="TR259" s="309"/>
      <c r="TS259" s="309"/>
      <c r="TT259" s="309"/>
      <c r="TU259" s="309"/>
      <c r="TV259" s="309"/>
      <c r="TW259" s="309"/>
      <c r="TX259" s="309"/>
      <c r="TY259" s="309"/>
      <c r="TZ259" s="309"/>
      <c r="UA259" s="309"/>
      <c r="UB259" s="309"/>
      <c r="UC259" s="309"/>
      <c r="UD259" s="309"/>
      <c r="UE259" s="309"/>
      <c r="UF259" s="309"/>
      <c r="UG259" s="309"/>
      <c r="UH259" s="309"/>
      <c r="UI259" s="309"/>
      <c r="UJ259" s="309"/>
      <c r="UK259" s="309"/>
      <c r="UL259" s="309"/>
      <c r="UM259" s="309"/>
      <c r="UN259" s="309"/>
      <c r="UO259" s="309"/>
      <c r="UP259" s="309"/>
      <c r="UQ259" s="309"/>
      <c r="UR259" s="309"/>
      <c r="US259" s="309"/>
      <c r="UT259" s="309"/>
      <c r="UU259" s="309"/>
      <c r="UV259" s="309"/>
      <c r="UW259" s="309"/>
      <c r="UX259" s="309"/>
      <c r="UY259" s="309"/>
      <c r="UZ259" s="309"/>
      <c r="VA259" s="309"/>
      <c r="VB259" s="309"/>
      <c r="VC259" s="309"/>
      <c r="VD259" s="309"/>
      <c r="VE259" s="309"/>
      <c r="VF259" s="309"/>
      <c r="VG259" s="309"/>
      <c r="VH259" s="309"/>
      <c r="VI259" s="309"/>
      <c r="VJ259" s="309"/>
      <c r="VK259" s="309"/>
      <c r="VL259" s="309"/>
      <c r="VM259" s="309"/>
      <c r="VN259" s="309"/>
      <c r="VO259" s="309"/>
      <c r="VP259" s="309"/>
      <c r="VQ259" s="309"/>
      <c r="VR259" s="309"/>
      <c r="VS259" s="309"/>
      <c r="VT259" s="309"/>
      <c r="VU259" s="309"/>
      <c r="VV259" s="309"/>
      <c r="VW259" s="309"/>
      <c r="VX259" s="309"/>
      <c r="VY259" s="309"/>
      <c r="VZ259" s="309"/>
      <c r="WA259" s="309"/>
      <c r="WB259" s="309"/>
      <c r="WC259" s="309"/>
      <c r="WD259" s="309"/>
      <c r="WE259" s="309"/>
      <c r="WF259" s="309"/>
      <c r="WG259" s="309"/>
      <c r="WH259" s="309"/>
      <c r="WI259" s="309"/>
      <c r="WJ259" s="309"/>
      <c r="WK259" s="309"/>
      <c r="WL259" s="309"/>
      <c r="WM259" s="309"/>
      <c r="WN259" s="309"/>
      <c r="WO259" s="309"/>
      <c r="WP259" s="309"/>
      <c r="WQ259" s="309"/>
      <c r="WR259" s="309"/>
      <c r="WS259" s="309"/>
      <c r="WT259" s="309"/>
      <c r="WU259" s="309"/>
      <c r="WV259" s="309"/>
      <c r="WW259" s="309"/>
      <c r="WX259" s="309"/>
      <c r="WY259" s="309"/>
      <c r="WZ259" s="309"/>
      <c r="XA259" s="309"/>
      <c r="XB259" s="309"/>
      <c r="XC259" s="309"/>
      <c r="XD259" s="309"/>
      <c r="XE259" s="309"/>
      <c r="XF259" s="309"/>
      <c r="XG259" s="309"/>
      <c r="XH259" s="309"/>
      <c r="XI259" s="309"/>
      <c r="XJ259" s="309"/>
      <c r="XK259" s="309"/>
      <c r="XL259" s="309"/>
      <c r="XM259" s="309"/>
      <c r="XN259" s="309"/>
      <c r="XO259" s="309"/>
      <c r="XP259" s="309"/>
      <c r="XQ259" s="309"/>
      <c r="XR259" s="309"/>
      <c r="XS259" s="309"/>
      <c r="XT259" s="309"/>
      <c r="XU259" s="309"/>
      <c r="XV259" s="309"/>
      <c r="XW259" s="309"/>
      <c r="XX259" s="309"/>
      <c r="XY259" s="309"/>
      <c r="XZ259" s="309"/>
      <c r="YA259" s="309"/>
      <c r="YB259" s="309"/>
      <c r="YC259" s="309"/>
      <c r="YD259" s="309"/>
      <c r="YE259" s="309"/>
      <c r="YF259" s="309"/>
      <c r="YG259" s="309"/>
      <c r="YH259" s="309"/>
      <c r="YI259" s="309"/>
      <c r="YJ259" s="309"/>
      <c r="YK259" s="309"/>
      <c r="YL259" s="309"/>
      <c r="YM259" s="309"/>
      <c r="YN259" s="309"/>
      <c r="YO259" s="309"/>
      <c r="YP259" s="309"/>
      <c r="YQ259" s="309"/>
      <c r="YR259" s="309"/>
      <c r="YS259" s="309"/>
      <c r="YT259" s="309"/>
      <c r="YU259" s="309"/>
      <c r="YV259" s="309"/>
      <c r="YW259" s="309"/>
      <c r="YX259" s="309"/>
      <c r="YY259" s="309"/>
      <c r="YZ259" s="309"/>
      <c r="ZA259" s="309"/>
      <c r="ZB259" s="309"/>
      <c r="ZC259" s="309"/>
      <c r="ZD259" s="309"/>
      <c r="ZE259" s="309"/>
      <c r="ZF259" s="309"/>
      <c r="ZG259" s="309"/>
      <c r="ZH259" s="309"/>
      <c r="ZI259" s="309"/>
      <c r="ZJ259" s="309"/>
    </row>
    <row r="260" spans="5:686" s="308" customFormat="1" x14ac:dyDescent="0.3">
      <c r="E260" s="337"/>
      <c r="F260" s="337"/>
      <c r="G260" s="171"/>
      <c r="H260" s="1"/>
      <c r="Y260" s="309"/>
      <c r="Z260" s="309"/>
      <c r="AA260" s="309"/>
      <c r="AB260" s="309"/>
      <c r="AC260" s="309"/>
      <c r="AD260" s="309"/>
      <c r="AE260" s="309"/>
      <c r="AF260" s="309"/>
      <c r="AG260" s="309"/>
      <c r="AH260" s="309"/>
      <c r="AI260" s="309"/>
      <c r="AJ260" s="309"/>
      <c r="AK260" s="309"/>
      <c r="AL260" s="309"/>
      <c r="AM260" s="309"/>
      <c r="AN260" s="309"/>
      <c r="AO260" s="309"/>
      <c r="AP260" s="309"/>
      <c r="AQ260" s="309"/>
      <c r="AR260" s="309"/>
      <c r="AS260" s="309"/>
      <c r="AT260" s="309"/>
      <c r="AU260" s="309"/>
      <c r="AV260" s="309"/>
      <c r="AW260" s="309"/>
      <c r="AX260" s="309"/>
      <c r="AY260" s="309"/>
      <c r="AZ260" s="309"/>
      <c r="BA260" s="309"/>
      <c r="BB260" s="309"/>
      <c r="BC260" s="309"/>
      <c r="BD260" s="309"/>
      <c r="BE260" s="309"/>
      <c r="BF260" s="309"/>
      <c r="BG260" s="309"/>
      <c r="BH260" s="309"/>
      <c r="BI260" s="309"/>
      <c r="BJ260" s="309"/>
      <c r="BK260" s="309"/>
      <c r="BL260" s="309"/>
      <c r="BM260" s="309"/>
      <c r="BN260" s="309"/>
      <c r="BO260" s="309"/>
      <c r="BP260" s="309"/>
      <c r="BQ260" s="309"/>
      <c r="BR260" s="309"/>
      <c r="BS260" s="309"/>
      <c r="BT260" s="309"/>
      <c r="BU260" s="309"/>
      <c r="BV260" s="309"/>
      <c r="BW260" s="309"/>
      <c r="BX260" s="309"/>
      <c r="BY260" s="309"/>
      <c r="BZ260" s="309"/>
      <c r="CA260" s="309"/>
      <c r="CB260" s="309"/>
      <c r="CC260" s="309"/>
      <c r="CD260" s="309"/>
      <c r="CE260" s="309"/>
      <c r="CF260" s="309"/>
      <c r="CG260" s="309"/>
      <c r="CH260" s="309"/>
      <c r="CI260" s="309"/>
      <c r="CJ260" s="309"/>
      <c r="CK260" s="309"/>
      <c r="CL260" s="309"/>
      <c r="CM260" s="309"/>
      <c r="CN260" s="309"/>
      <c r="CO260" s="309"/>
      <c r="CP260" s="309"/>
      <c r="CQ260" s="309"/>
      <c r="CR260" s="309"/>
      <c r="CS260" s="309"/>
      <c r="CT260" s="309"/>
      <c r="CU260" s="309"/>
      <c r="CV260" s="309"/>
      <c r="CW260" s="309"/>
      <c r="CX260" s="309"/>
      <c r="CY260" s="309"/>
      <c r="CZ260" s="309"/>
      <c r="DA260" s="309"/>
      <c r="DB260" s="309"/>
      <c r="DC260" s="309"/>
      <c r="DD260" s="309"/>
      <c r="DE260" s="309"/>
      <c r="DF260" s="309"/>
      <c r="DG260" s="309"/>
      <c r="DH260" s="309"/>
      <c r="DI260" s="309"/>
      <c r="DJ260" s="309"/>
      <c r="DK260" s="309"/>
      <c r="DL260" s="309"/>
      <c r="DM260" s="309"/>
      <c r="DN260" s="309"/>
      <c r="DO260" s="309"/>
      <c r="DP260" s="309"/>
      <c r="DQ260" s="309"/>
      <c r="DR260" s="309"/>
      <c r="DS260" s="309"/>
      <c r="DT260" s="309"/>
      <c r="DU260" s="309"/>
      <c r="DV260" s="309"/>
      <c r="DW260" s="309"/>
      <c r="DX260" s="309"/>
      <c r="DY260" s="309"/>
      <c r="DZ260" s="309"/>
      <c r="EA260" s="309"/>
      <c r="EB260" s="309"/>
      <c r="EC260" s="309"/>
      <c r="ED260" s="309"/>
      <c r="EE260" s="309"/>
      <c r="EF260" s="309"/>
      <c r="EG260" s="309"/>
      <c r="EH260" s="309"/>
      <c r="EI260" s="309"/>
      <c r="EJ260" s="309"/>
      <c r="EK260" s="309"/>
      <c r="EL260" s="309"/>
      <c r="EM260" s="309"/>
      <c r="EN260" s="309"/>
      <c r="EO260" s="309"/>
      <c r="EP260" s="309"/>
      <c r="EQ260" s="309"/>
      <c r="ER260" s="309"/>
      <c r="ES260" s="309"/>
      <c r="ET260" s="309"/>
      <c r="EU260" s="309"/>
      <c r="EV260" s="309"/>
      <c r="EW260" s="309"/>
      <c r="EX260" s="309"/>
      <c r="EY260" s="309"/>
      <c r="EZ260" s="309"/>
      <c r="FA260" s="309"/>
      <c r="FB260" s="309"/>
      <c r="FC260" s="309"/>
      <c r="FD260" s="309"/>
      <c r="FE260" s="309"/>
      <c r="FF260" s="309"/>
      <c r="FG260" s="309"/>
      <c r="FH260" s="309"/>
      <c r="FI260" s="309"/>
      <c r="FJ260" s="309"/>
      <c r="FK260" s="309"/>
      <c r="FL260" s="309"/>
      <c r="FM260" s="309"/>
      <c r="FN260" s="309"/>
      <c r="FO260" s="309"/>
      <c r="FP260" s="309"/>
      <c r="FQ260" s="309"/>
      <c r="FR260" s="309"/>
      <c r="FS260" s="309"/>
      <c r="FT260" s="309"/>
      <c r="FU260" s="309"/>
      <c r="FV260" s="309"/>
      <c r="FW260" s="309"/>
      <c r="FX260" s="309"/>
      <c r="FY260" s="309"/>
      <c r="FZ260" s="309"/>
      <c r="GA260" s="309"/>
      <c r="GB260" s="309"/>
      <c r="GC260" s="309"/>
      <c r="GD260" s="309"/>
      <c r="GE260" s="309"/>
      <c r="GF260" s="309"/>
      <c r="GG260" s="309"/>
      <c r="GH260" s="309"/>
      <c r="GI260" s="309"/>
      <c r="GJ260" s="309"/>
      <c r="GK260" s="309"/>
      <c r="GL260" s="309"/>
      <c r="GM260" s="309"/>
      <c r="GN260" s="309"/>
      <c r="GO260" s="309"/>
      <c r="GP260" s="309"/>
      <c r="GQ260" s="309"/>
      <c r="GR260" s="309"/>
      <c r="GS260" s="309"/>
      <c r="GT260" s="309"/>
      <c r="GU260" s="309"/>
      <c r="GV260" s="309"/>
      <c r="GW260" s="309"/>
      <c r="GX260" s="309"/>
      <c r="GY260" s="309"/>
      <c r="GZ260" s="309"/>
      <c r="HA260" s="309"/>
      <c r="HB260" s="309"/>
      <c r="HC260" s="309"/>
      <c r="HD260" s="309"/>
      <c r="HE260" s="309"/>
      <c r="HF260" s="309"/>
      <c r="HG260" s="309"/>
      <c r="HH260" s="309"/>
      <c r="HI260" s="309"/>
      <c r="HJ260" s="309"/>
      <c r="HK260" s="309"/>
      <c r="HL260" s="309"/>
      <c r="HM260" s="309"/>
      <c r="HN260" s="309"/>
      <c r="HO260" s="309"/>
      <c r="HP260" s="309"/>
      <c r="HQ260" s="309"/>
      <c r="HR260" s="309"/>
      <c r="HS260" s="309"/>
      <c r="HT260" s="309"/>
      <c r="HU260" s="309"/>
      <c r="HV260" s="309"/>
      <c r="HW260" s="309"/>
      <c r="HX260" s="309"/>
      <c r="HY260" s="309"/>
      <c r="HZ260" s="309"/>
      <c r="IA260" s="309"/>
      <c r="IB260" s="309"/>
      <c r="IC260" s="309"/>
      <c r="ID260" s="309"/>
      <c r="IE260" s="309"/>
      <c r="IF260" s="309"/>
      <c r="IG260" s="309"/>
      <c r="IH260" s="309"/>
      <c r="II260" s="309"/>
      <c r="IJ260" s="309"/>
      <c r="IK260" s="309"/>
      <c r="IL260" s="309"/>
      <c r="IM260" s="309"/>
      <c r="IN260" s="309"/>
      <c r="IO260" s="309"/>
      <c r="IP260" s="309"/>
      <c r="IQ260" s="309"/>
      <c r="IR260" s="309"/>
      <c r="IS260" s="309"/>
      <c r="IT260" s="309"/>
      <c r="IU260" s="309"/>
      <c r="IV260" s="309"/>
      <c r="IW260" s="309"/>
      <c r="IX260" s="309"/>
      <c r="IY260" s="309"/>
      <c r="IZ260" s="309"/>
      <c r="JA260" s="309"/>
      <c r="JB260" s="309"/>
      <c r="JC260" s="309"/>
      <c r="JD260" s="309"/>
      <c r="JE260" s="309"/>
      <c r="JF260" s="309"/>
      <c r="JG260" s="309"/>
      <c r="JH260" s="309"/>
      <c r="JI260" s="309"/>
      <c r="JJ260" s="309"/>
      <c r="JK260" s="309"/>
      <c r="JL260" s="309"/>
      <c r="JM260" s="309"/>
      <c r="JN260" s="309"/>
      <c r="JO260" s="309"/>
      <c r="JP260" s="309"/>
      <c r="JQ260" s="309"/>
      <c r="JR260" s="309"/>
      <c r="JS260" s="309"/>
      <c r="JT260" s="309"/>
      <c r="JU260" s="309"/>
      <c r="JV260" s="309"/>
      <c r="JW260" s="309"/>
      <c r="JX260" s="309"/>
      <c r="JY260" s="309"/>
      <c r="JZ260" s="309"/>
      <c r="KA260" s="309"/>
      <c r="KB260" s="309"/>
      <c r="KC260" s="309"/>
      <c r="KD260" s="309"/>
      <c r="KE260" s="309"/>
      <c r="KF260" s="309"/>
      <c r="KG260" s="309"/>
      <c r="KH260" s="309"/>
      <c r="KI260" s="309"/>
      <c r="KJ260" s="309"/>
      <c r="KK260" s="309"/>
      <c r="KL260" s="309"/>
      <c r="KM260" s="309"/>
      <c r="KN260" s="309"/>
      <c r="KO260" s="309"/>
      <c r="KP260" s="309"/>
      <c r="KQ260" s="309"/>
      <c r="KR260" s="309"/>
      <c r="KS260" s="309"/>
      <c r="KT260" s="309"/>
      <c r="KU260" s="309"/>
      <c r="KV260" s="309"/>
      <c r="KW260" s="309"/>
      <c r="KX260" s="309"/>
      <c r="KY260" s="309"/>
      <c r="KZ260" s="309"/>
      <c r="LA260" s="309"/>
      <c r="LB260" s="309"/>
      <c r="LC260" s="309"/>
      <c r="LD260" s="309"/>
      <c r="LE260" s="309"/>
      <c r="LF260" s="309"/>
      <c r="LG260" s="309"/>
      <c r="LH260" s="309"/>
      <c r="LI260" s="309"/>
      <c r="LJ260" s="309"/>
      <c r="LK260" s="309"/>
      <c r="LL260" s="309"/>
      <c r="LM260" s="309"/>
      <c r="LN260" s="309"/>
      <c r="LO260" s="309"/>
      <c r="LP260" s="309"/>
      <c r="LQ260" s="309"/>
      <c r="LR260" s="309"/>
      <c r="LS260" s="309"/>
      <c r="LT260" s="309"/>
      <c r="LU260" s="309"/>
      <c r="LV260" s="309"/>
      <c r="LW260" s="309"/>
      <c r="LX260" s="309"/>
      <c r="LY260" s="309"/>
      <c r="LZ260" s="309"/>
      <c r="MA260" s="309"/>
      <c r="MB260" s="309"/>
      <c r="MC260" s="309"/>
      <c r="MD260" s="309"/>
      <c r="ME260" s="309"/>
      <c r="MF260" s="309"/>
      <c r="MG260" s="309"/>
      <c r="MH260" s="309"/>
      <c r="MI260" s="309"/>
      <c r="MJ260" s="309"/>
      <c r="MK260" s="309"/>
      <c r="ML260" s="309"/>
      <c r="MM260" s="309"/>
      <c r="MN260" s="309"/>
      <c r="MO260" s="309"/>
      <c r="MP260" s="309"/>
      <c r="MQ260" s="309"/>
      <c r="MR260" s="309"/>
      <c r="MS260" s="309"/>
      <c r="MT260" s="309"/>
      <c r="MU260" s="309"/>
      <c r="MV260" s="309"/>
      <c r="MW260" s="309"/>
      <c r="MX260" s="309"/>
      <c r="MY260" s="309"/>
      <c r="MZ260" s="309"/>
      <c r="NA260" s="309"/>
      <c r="NB260" s="309"/>
      <c r="NC260" s="309"/>
      <c r="ND260" s="309"/>
      <c r="NE260" s="309"/>
      <c r="NF260" s="309"/>
      <c r="NG260" s="309"/>
      <c r="NH260" s="309"/>
      <c r="NI260" s="309"/>
      <c r="NJ260" s="309"/>
      <c r="NK260" s="309"/>
      <c r="NL260" s="309"/>
      <c r="NM260" s="309"/>
      <c r="NN260" s="309"/>
      <c r="NO260" s="309"/>
      <c r="NP260" s="309"/>
      <c r="NQ260" s="309"/>
      <c r="NR260" s="309"/>
      <c r="NS260" s="309"/>
      <c r="NT260" s="309"/>
      <c r="NU260" s="309"/>
      <c r="NV260" s="309"/>
      <c r="NW260" s="309"/>
      <c r="NX260" s="309"/>
      <c r="NY260" s="309"/>
      <c r="NZ260" s="309"/>
      <c r="OA260" s="309"/>
      <c r="OB260" s="309"/>
      <c r="OC260" s="309"/>
      <c r="OD260" s="309"/>
      <c r="OE260" s="309"/>
      <c r="OF260" s="309"/>
      <c r="OG260" s="309"/>
      <c r="OH260" s="309"/>
      <c r="OI260" s="309"/>
      <c r="OJ260" s="309"/>
      <c r="OK260" s="309"/>
      <c r="OL260" s="309"/>
      <c r="OM260" s="309"/>
      <c r="ON260" s="309"/>
      <c r="OO260" s="309"/>
      <c r="OP260" s="309"/>
      <c r="OQ260" s="309"/>
      <c r="OR260" s="309"/>
      <c r="OS260" s="309"/>
      <c r="OT260" s="309"/>
      <c r="OU260" s="309"/>
      <c r="OV260" s="309"/>
      <c r="OW260" s="309"/>
      <c r="OX260" s="309"/>
      <c r="OY260" s="309"/>
      <c r="OZ260" s="309"/>
      <c r="PA260" s="309"/>
      <c r="PB260" s="309"/>
      <c r="PC260" s="309"/>
      <c r="PD260" s="309"/>
      <c r="PE260" s="309"/>
      <c r="PF260" s="309"/>
      <c r="PG260" s="309"/>
      <c r="PH260" s="309"/>
      <c r="PI260" s="309"/>
      <c r="PJ260" s="309"/>
      <c r="PK260" s="309"/>
      <c r="PL260" s="309"/>
      <c r="PM260" s="309"/>
      <c r="PN260" s="309"/>
      <c r="PO260" s="309"/>
      <c r="PP260" s="309"/>
      <c r="PQ260" s="309"/>
      <c r="PR260" s="309"/>
      <c r="PS260" s="309"/>
      <c r="PT260" s="309"/>
      <c r="PU260" s="309"/>
      <c r="PV260" s="309"/>
      <c r="PW260" s="309"/>
      <c r="PX260" s="309"/>
      <c r="PY260" s="309"/>
      <c r="PZ260" s="309"/>
      <c r="QA260" s="309"/>
      <c r="QB260" s="309"/>
      <c r="QC260" s="309"/>
      <c r="QD260" s="309"/>
      <c r="QE260" s="309"/>
      <c r="QF260" s="309"/>
      <c r="QG260" s="309"/>
      <c r="QH260" s="309"/>
      <c r="QI260" s="309"/>
      <c r="QJ260" s="309"/>
      <c r="QK260" s="309"/>
      <c r="QL260" s="309"/>
      <c r="QM260" s="309"/>
      <c r="QN260" s="309"/>
      <c r="QO260" s="309"/>
      <c r="QP260" s="309"/>
      <c r="QQ260" s="309"/>
      <c r="QR260" s="309"/>
      <c r="QS260" s="309"/>
      <c r="QT260" s="309"/>
      <c r="QU260" s="309"/>
      <c r="QV260" s="309"/>
      <c r="QW260" s="309"/>
      <c r="QX260" s="309"/>
      <c r="QY260" s="309"/>
      <c r="QZ260" s="309"/>
      <c r="RA260" s="309"/>
      <c r="RB260" s="309"/>
      <c r="RC260" s="309"/>
      <c r="RD260" s="309"/>
      <c r="RE260" s="309"/>
      <c r="RF260" s="309"/>
      <c r="RG260" s="309"/>
      <c r="RH260" s="309"/>
      <c r="RI260" s="309"/>
      <c r="RJ260" s="309"/>
      <c r="RK260" s="309"/>
      <c r="RL260" s="309"/>
      <c r="RM260" s="309"/>
      <c r="RN260" s="309"/>
      <c r="RO260" s="309"/>
      <c r="RP260" s="309"/>
      <c r="RQ260" s="309"/>
      <c r="RR260" s="309"/>
      <c r="RS260" s="309"/>
      <c r="RT260" s="309"/>
      <c r="RU260" s="309"/>
      <c r="RV260" s="309"/>
      <c r="RW260" s="309"/>
      <c r="RX260" s="309"/>
      <c r="RY260" s="309"/>
      <c r="RZ260" s="309"/>
      <c r="SA260" s="309"/>
      <c r="SB260" s="309"/>
      <c r="SC260" s="309"/>
      <c r="SD260" s="309"/>
      <c r="SE260" s="309"/>
      <c r="SF260" s="309"/>
      <c r="SG260" s="309"/>
      <c r="SH260" s="309"/>
      <c r="SI260" s="309"/>
      <c r="SJ260" s="309"/>
      <c r="SK260" s="309"/>
      <c r="SL260" s="309"/>
      <c r="SM260" s="309"/>
      <c r="SN260" s="309"/>
      <c r="SO260" s="309"/>
      <c r="SP260" s="309"/>
      <c r="SQ260" s="309"/>
      <c r="SR260" s="309"/>
      <c r="SS260" s="309"/>
      <c r="ST260" s="309"/>
      <c r="SU260" s="309"/>
      <c r="SV260" s="309"/>
      <c r="SW260" s="309"/>
      <c r="SX260" s="309"/>
      <c r="SY260" s="309"/>
      <c r="SZ260" s="309"/>
      <c r="TA260" s="309"/>
      <c r="TB260" s="309"/>
      <c r="TC260" s="309"/>
      <c r="TD260" s="309"/>
      <c r="TE260" s="309"/>
      <c r="TF260" s="309"/>
      <c r="TG260" s="309"/>
      <c r="TH260" s="309"/>
      <c r="TI260" s="309"/>
      <c r="TJ260" s="309"/>
      <c r="TK260" s="309"/>
      <c r="TL260" s="309"/>
      <c r="TM260" s="309"/>
      <c r="TN260" s="309"/>
      <c r="TO260" s="309"/>
      <c r="TP260" s="309"/>
      <c r="TQ260" s="309"/>
      <c r="TR260" s="309"/>
      <c r="TS260" s="309"/>
      <c r="TT260" s="309"/>
      <c r="TU260" s="309"/>
      <c r="TV260" s="309"/>
      <c r="TW260" s="309"/>
      <c r="TX260" s="309"/>
      <c r="TY260" s="309"/>
      <c r="TZ260" s="309"/>
      <c r="UA260" s="309"/>
      <c r="UB260" s="309"/>
      <c r="UC260" s="309"/>
      <c r="UD260" s="309"/>
      <c r="UE260" s="309"/>
      <c r="UF260" s="309"/>
      <c r="UG260" s="309"/>
      <c r="UH260" s="309"/>
      <c r="UI260" s="309"/>
      <c r="UJ260" s="309"/>
      <c r="UK260" s="309"/>
      <c r="UL260" s="309"/>
      <c r="UM260" s="309"/>
      <c r="UN260" s="309"/>
      <c r="UO260" s="309"/>
      <c r="UP260" s="309"/>
      <c r="UQ260" s="309"/>
      <c r="UR260" s="309"/>
      <c r="US260" s="309"/>
      <c r="UT260" s="309"/>
      <c r="UU260" s="309"/>
      <c r="UV260" s="309"/>
      <c r="UW260" s="309"/>
      <c r="UX260" s="309"/>
      <c r="UY260" s="309"/>
      <c r="UZ260" s="309"/>
      <c r="VA260" s="309"/>
      <c r="VB260" s="309"/>
      <c r="VC260" s="309"/>
      <c r="VD260" s="309"/>
      <c r="VE260" s="309"/>
      <c r="VF260" s="309"/>
      <c r="VG260" s="309"/>
      <c r="VH260" s="309"/>
      <c r="VI260" s="309"/>
      <c r="VJ260" s="309"/>
      <c r="VK260" s="309"/>
      <c r="VL260" s="309"/>
      <c r="VM260" s="309"/>
      <c r="VN260" s="309"/>
      <c r="VO260" s="309"/>
      <c r="VP260" s="309"/>
      <c r="VQ260" s="309"/>
      <c r="VR260" s="309"/>
      <c r="VS260" s="309"/>
      <c r="VT260" s="309"/>
      <c r="VU260" s="309"/>
      <c r="VV260" s="309"/>
      <c r="VW260" s="309"/>
      <c r="VX260" s="309"/>
      <c r="VY260" s="309"/>
      <c r="VZ260" s="309"/>
      <c r="WA260" s="309"/>
      <c r="WB260" s="309"/>
      <c r="WC260" s="309"/>
      <c r="WD260" s="309"/>
      <c r="WE260" s="309"/>
      <c r="WF260" s="309"/>
      <c r="WG260" s="309"/>
      <c r="WH260" s="309"/>
      <c r="WI260" s="309"/>
      <c r="WJ260" s="309"/>
      <c r="WK260" s="309"/>
      <c r="WL260" s="309"/>
      <c r="WM260" s="309"/>
      <c r="WN260" s="309"/>
      <c r="WO260" s="309"/>
      <c r="WP260" s="309"/>
      <c r="WQ260" s="309"/>
      <c r="WR260" s="309"/>
      <c r="WS260" s="309"/>
      <c r="WT260" s="309"/>
      <c r="WU260" s="309"/>
      <c r="WV260" s="309"/>
      <c r="WW260" s="309"/>
      <c r="WX260" s="309"/>
      <c r="WY260" s="309"/>
      <c r="WZ260" s="309"/>
      <c r="XA260" s="309"/>
      <c r="XB260" s="309"/>
      <c r="XC260" s="309"/>
      <c r="XD260" s="309"/>
      <c r="XE260" s="309"/>
      <c r="XF260" s="309"/>
      <c r="XG260" s="309"/>
      <c r="XH260" s="309"/>
      <c r="XI260" s="309"/>
      <c r="XJ260" s="309"/>
      <c r="XK260" s="309"/>
      <c r="XL260" s="309"/>
      <c r="XM260" s="309"/>
      <c r="XN260" s="309"/>
      <c r="XO260" s="309"/>
      <c r="XP260" s="309"/>
      <c r="XQ260" s="309"/>
      <c r="XR260" s="309"/>
      <c r="XS260" s="309"/>
      <c r="XT260" s="309"/>
      <c r="XU260" s="309"/>
      <c r="XV260" s="309"/>
      <c r="XW260" s="309"/>
      <c r="XX260" s="309"/>
      <c r="XY260" s="309"/>
      <c r="XZ260" s="309"/>
      <c r="YA260" s="309"/>
      <c r="YB260" s="309"/>
      <c r="YC260" s="309"/>
      <c r="YD260" s="309"/>
      <c r="YE260" s="309"/>
      <c r="YF260" s="309"/>
      <c r="YG260" s="309"/>
      <c r="YH260" s="309"/>
      <c r="YI260" s="309"/>
      <c r="YJ260" s="309"/>
      <c r="YK260" s="309"/>
      <c r="YL260" s="309"/>
      <c r="YM260" s="309"/>
      <c r="YN260" s="309"/>
      <c r="YO260" s="309"/>
      <c r="YP260" s="309"/>
      <c r="YQ260" s="309"/>
      <c r="YR260" s="309"/>
      <c r="YS260" s="309"/>
      <c r="YT260" s="309"/>
      <c r="YU260" s="309"/>
      <c r="YV260" s="309"/>
      <c r="YW260" s="309"/>
      <c r="YX260" s="309"/>
      <c r="YY260" s="309"/>
      <c r="YZ260" s="309"/>
      <c r="ZA260" s="309"/>
      <c r="ZB260" s="309"/>
      <c r="ZC260" s="309"/>
      <c r="ZD260" s="309"/>
      <c r="ZE260" s="309"/>
      <c r="ZF260" s="309"/>
      <c r="ZG260" s="309"/>
      <c r="ZH260" s="309"/>
      <c r="ZI260" s="309"/>
      <c r="ZJ260" s="309"/>
    </row>
    <row r="261" spans="5:686" s="308" customFormat="1" x14ac:dyDescent="0.3">
      <c r="E261" s="337"/>
      <c r="F261" s="337"/>
      <c r="G261" s="171"/>
      <c r="H261" s="1"/>
      <c r="Y261" s="309"/>
      <c r="Z261" s="309"/>
      <c r="AA261" s="309"/>
      <c r="AB261" s="309"/>
      <c r="AC261" s="309"/>
      <c r="AD261" s="309"/>
      <c r="AE261" s="309"/>
      <c r="AF261" s="309"/>
      <c r="AG261" s="309"/>
      <c r="AH261" s="309"/>
      <c r="AI261" s="309"/>
      <c r="AJ261" s="309"/>
      <c r="AK261" s="309"/>
      <c r="AL261" s="309"/>
      <c r="AM261" s="309"/>
      <c r="AN261" s="309"/>
      <c r="AO261" s="309"/>
      <c r="AP261" s="309"/>
      <c r="AQ261" s="309"/>
      <c r="AR261" s="309"/>
      <c r="AS261" s="309"/>
      <c r="AT261" s="309"/>
      <c r="AU261" s="309"/>
      <c r="AV261" s="309"/>
      <c r="AW261" s="309"/>
      <c r="AX261" s="309"/>
      <c r="AY261" s="309"/>
      <c r="AZ261" s="309"/>
      <c r="BA261" s="309"/>
      <c r="BB261" s="309"/>
      <c r="BC261" s="309"/>
      <c r="BD261" s="309"/>
      <c r="BE261" s="309"/>
      <c r="BF261" s="309"/>
      <c r="BG261" s="309"/>
      <c r="BH261" s="309"/>
      <c r="BI261" s="309"/>
      <c r="BJ261" s="309"/>
      <c r="BK261" s="309"/>
      <c r="BL261" s="309"/>
      <c r="BM261" s="309"/>
      <c r="BN261" s="309"/>
      <c r="BO261" s="309"/>
      <c r="BP261" s="309"/>
      <c r="BQ261" s="309"/>
      <c r="BR261" s="309"/>
      <c r="BS261" s="309"/>
      <c r="BT261" s="309"/>
      <c r="BU261" s="309"/>
      <c r="BV261" s="309"/>
      <c r="BW261" s="309"/>
      <c r="BX261" s="309"/>
      <c r="BY261" s="309"/>
      <c r="BZ261" s="309"/>
      <c r="CA261" s="309"/>
      <c r="CB261" s="309"/>
      <c r="CC261" s="309"/>
      <c r="CD261" s="309"/>
      <c r="CE261" s="309"/>
      <c r="CF261" s="309"/>
      <c r="CG261" s="309"/>
      <c r="CH261" s="309"/>
      <c r="CI261" s="309"/>
      <c r="CJ261" s="309"/>
      <c r="CK261" s="309"/>
      <c r="CL261" s="309"/>
      <c r="CM261" s="309"/>
      <c r="CN261" s="309"/>
      <c r="CO261" s="309"/>
      <c r="CP261" s="309"/>
      <c r="CQ261" s="309"/>
      <c r="CR261" s="309"/>
      <c r="CS261" s="309"/>
      <c r="CT261" s="309"/>
      <c r="CU261" s="309"/>
      <c r="CV261" s="309"/>
      <c r="CW261" s="309"/>
      <c r="CX261" s="309"/>
      <c r="CY261" s="309"/>
      <c r="CZ261" s="309"/>
      <c r="DA261" s="309"/>
      <c r="DB261" s="309"/>
      <c r="DC261" s="309"/>
      <c r="DD261" s="309"/>
      <c r="DE261" s="309"/>
      <c r="DF261" s="309"/>
      <c r="DG261" s="309"/>
      <c r="DH261" s="309"/>
      <c r="DI261" s="309"/>
      <c r="DJ261" s="309"/>
      <c r="DK261" s="309"/>
      <c r="DL261" s="309"/>
      <c r="DM261" s="309"/>
      <c r="DN261" s="309"/>
      <c r="DO261" s="309"/>
      <c r="DP261" s="309"/>
      <c r="DQ261" s="309"/>
      <c r="DR261" s="309"/>
      <c r="DS261" s="309"/>
      <c r="DT261" s="309"/>
      <c r="DU261" s="309"/>
      <c r="DV261" s="309"/>
      <c r="DW261" s="309"/>
      <c r="DX261" s="309"/>
      <c r="DY261" s="309"/>
      <c r="DZ261" s="309"/>
      <c r="EA261" s="309"/>
      <c r="EB261" s="309"/>
      <c r="EC261" s="309"/>
      <c r="ED261" s="309"/>
      <c r="EE261" s="309"/>
      <c r="EF261" s="309"/>
      <c r="EG261" s="309"/>
      <c r="EH261" s="309"/>
      <c r="EI261" s="309"/>
      <c r="EJ261" s="309"/>
      <c r="EK261" s="309"/>
      <c r="EL261" s="309"/>
      <c r="EM261" s="309"/>
      <c r="EN261" s="309"/>
      <c r="EO261" s="309"/>
      <c r="EP261" s="309"/>
      <c r="EQ261" s="309"/>
      <c r="ER261" s="309"/>
      <c r="ES261" s="309"/>
      <c r="ET261" s="309"/>
      <c r="EU261" s="309"/>
      <c r="EV261" s="309"/>
      <c r="EW261" s="309"/>
      <c r="EX261" s="309"/>
      <c r="EY261" s="309"/>
      <c r="EZ261" s="309"/>
      <c r="FA261" s="309"/>
      <c r="FB261" s="309"/>
      <c r="FC261" s="309"/>
      <c r="FD261" s="309"/>
      <c r="FE261" s="309"/>
      <c r="FF261" s="309"/>
      <c r="FG261" s="309"/>
      <c r="FH261" s="309"/>
      <c r="FI261" s="309"/>
      <c r="FJ261" s="309"/>
      <c r="FK261" s="309"/>
      <c r="FL261" s="309"/>
      <c r="FM261" s="309"/>
      <c r="FN261" s="309"/>
      <c r="FO261" s="309"/>
      <c r="FP261" s="309"/>
      <c r="FQ261" s="309"/>
      <c r="FR261" s="309"/>
      <c r="FS261" s="309"/>
      <c r="FT261" s="309"/>
      <c r="FU261" s="309"/>
      <c r="FV261" s="309"/>
      <c r="FW261" s="309"/>
      <c r="FX261" s="309"/>
      <c r="FY261" s="309"/>
      <c r="FZ261" s="309"/>
      <c r="GA261" s="309"/>
      <c r="GB261" s="309"/>
      <c r="GC261" s="309"/>
      <c r="GD261" s="309"/>
      <c r="GE261" s="309"/>
      <c r="GF261" s="309"/>
      <c r="GG261" s="309"/>
      <c r="GH261" s="309"/>
      <c r="GI261" s="309"/>
      <c r="GJ261" s="309"/>
      <c r="GK261" s="309"/>
      <c r="GL261" s="309"/>
      <c r="GM261" s="309"/>
      <c r="GN261" s="309"/>
      <c r="GO261" s="309"/>
      <c r="GP261" s="309"/>
      <c r="GQ261" s="309"/>
      <c r="GR261" s="309"/>
      <c r="GS261" s="309"/>
      <c r="GT261" s="309"/>
      <c r="GU261" s="309"/>
      <c r="GV261" s="309"/>
      <c r="GW261" s="309"/>
      <c r="GX261" s="309"/>
      <c r="GY261" s="309"/>
      <c r="GZ261" s="309"/>
      <c r="HA261" s="309"/>
      <c r="HB261" s="309"/>
      <c r="HC261" s="309"/>
      <c r="HD261" s="309"/>
      <c r="HE261" s="309"/>
      <c r="HF261" s="309"/>
      <c r="HG261" s="309"/>
      <c r="HH261" s="309"/>
      <c r="HI261" s="309"/>
      <c r="HJ261" s="309"/>
      <c r="HK261" s="309"/>
      <c r="HL261" s="309"/>
      <c r="HM261" s="309"/>
      <c r="HN261" s="309"/>
      <c r="HO261" s="309"/>
      <c r="HP261" s="309"/>
      <c r="HQ261" s="309"/>
      <c r="HR261" s="309"/>
      <c r="HS261" s="309"/>
      <c r="HT261" s="309"/>
      <c r="HU261" s="309"/>
      <c r="HV261" s="309"/>
      <c r="HW261" s="309"/>
      <c r="HX261" s="309"/>
      <c r="HY261" s="309"/>
      <c r="HZ261" s="309"/>
      <c r="IA261" s="309"/>
      <c r="IB261" s="309"/>
      <c r="IC261" s="309"/>
      <c r="ID261" s="309"/>
      <c r="IE261" s="309"/>
      <c r="IF261" s="309"/>
      <c r="IG261" s="309"/>
      <c r="IH261" s="309"/>
      <c r="II261" s="309"/>
      <c r="IJ261" s="309"/>
      <c r="IK261" s="309"/>
      <c r="IL261" s="309"/>
      <c r="IM261" s="309"/>
      <c r="IN261" s="309"/>
      <c r="IO261" s="309"/>
      <c r="IP261" s="309"/>
      <c r="IQ261" s="309"/>
      <c r="IR261" s="309"/>
      <c r="IS261" s="309"/>
      <c r="IT261" s="309"/>
      <c r="IU261" s="309"/>
      <c r="IV261" s="309"/>
      <c r="IW261" s="309"/>
      <c r="IX261" s="309"/>
      <c r="IY261" s="309"/>
      <c r="IZ261" s="309"/>
      <c r="JA261" s="309"/>
      <c r="JB261" s="309"/>
      <c r="JC261" s="309"/>
      <c r="JD261" s="309"/>
      <c r="JE261" s="309"/>
      <c r="JF261" s="309"/>
      <c r="JG261" s="309"/>
      <c r="JH261" s="309"/>
      <c r="JI261" s="309"/>
      <c r="JJ261" s="309"/>
      <c r="JK261" s="309"/>
      <c r="JL261" s="309"/>
      <c r="JM261" s="309"/>
      <c r="JN261" s="309"/>
      <c r="JO261" s="309"/>
      <c r="JP261" s="309"/>
      <c r="JQ261" s="309"/>
      <c r="JR261" s="309"/>
      <c r="JS261" s="309"/>
      <c r="JT261" s="309"/>
      <c r="JU261" s="309"/>
      <c r="JV261" s="309"/>
      <c r="JW261" s="309"/>
      <c r="JX261" s="309"/>
      <c r="JY261" s="309"/>
      <c r="JZ261" s="309"/>
      <c r="KA261" s="309"/>
      <c r="KB261" s="309"/>
      <c r="KC261" s="309"/>
      <c r="KD261" s="309"/>
      <c r="KE261" s="309"/>
      <c r="KF261" s="309"/>
      <c r="KG261" s="309"/>
      <c r="KH261" s="309"/>
      <c r="KI261" s="309"/>
      <c r="KJ261" s="309"/>
      <c r="KK261" s="309"/>
      <c r="KL261" s="309"/>
      <c r="KM261" s="309"/>
      <c r="KN261" s="309"/>
      <c r="KO261" s="309"/>
      <c r="KP261" s="309"/>
      <c r="KQ261" s="309"/>
      <c r="KR261" s="309"/>
      <c r="KS261" s="309"/>
      <c r="KT261" s="309"/>
      <c r="KU261" s="309"/>
      <c r="KV261" s="309"/>
      <c r="KW261" s="309"/>
      <c r="KX261" s="309"/>
      <c r="KY261" s="309"/>
      <c r="KZ261" s="309"/>
      <c r="LA261" s="309"/>
      <c r="LB261" s="309"/>
      <c r="LC261" s="309"/>
      <c r="LD261" s="309"/>
      <c r="LE261" s="309"/>
      <c r="LF261" s="309"/>
      <c r="LG261" s="309"/>
      <c r="LH261" s="309"/>
      <c r="LI261" s="309"/>
      <c r="LJ261" s="309"/>
      <c r="LK261" s="309"/>
      <c r="LL261" s="309"/>
      <c r="LM261" s="309"/>
      <c r="LN261" s="309"/>
      <c r="LO261" s="309"/>
      <c r="LP261" s="309"/>
      <c r="LQ261" s="309"/>
      <c r="LR261" s="309"/>
      <c r="LS261" s="309"/>
      <c r="LT261" s="309"/>
      <c r="LU261" s="309"/>
      <c r="LV261" s="309"/>
      <c r="LW261" s="309"/>
      <c r="LX261" s="309"/>
      <c r="LY261" s="309"/>
      <c r="LZ261" s="309"/>
      <c r="MA261" s="309"/>
      <c r="MB261" s="309"/>
      <c r="MC261" s="309"/>
      <c r="MD261" s="309"/>
      <c r="ME261" s="309"/>
      <c r="MF261" s="309"/>
      <c r="MG261" s="309"/>
      <c r="MH261" s="309"/>
      <c r="MI261" s="309"/>
      <c r="MJ261" s="309"/>
      <c r="MK261" s="309"/>
      <c r="ML261" s="309"/>
      <c r="MM261" s="309"/>
      <c r="MN261" s="309"/>
      <c r="MO261" s="309"/>
      <c r="MP261" s="309"/>
      <c r="MQ261" s="309"/>
      <c r="MR261" s="309"/>
      <c r="MS261" s="309"/>
      <c r="MT261" s="309"/>
      <c r="MU261" s="309"/>
      <c r="MV261" s="309"/>
      <c r="MW261" s="309"/>
      <c r="MX261" s="309"/>
      <c r="MY261" s="309"/>
      <c r="MZ261" s="309"/>
      <c r="NA261" s="309"/>
      <c r="NB261" s="309"/>
      <c r="NC261" s="309"/>
      <c r="ND261" s="309"/>
      <c r="NE261" s="309"/>
      <c r="NF261" s="309"/>
      <c r="NG261" s="309"/>
      <c r="NH261" s="309"/>
      <c r="NI261" s="309"/>
      <c r="NJ261" s="309"/>
      <c r="NK261" s="309"/>
      <c r="NL261" s="309"/>
      <c r="NM261" s="309"/>
      <c r="NN261" s="309"/>
      <c r="NO261" s="309"/>
      <c r="NP261" s="309"/>
      <c r="NQ261" s="309"/>
      <c r="NR261" s="309"/>
      <c r="NS261" s="309"/>
      <c r="NT261" s="309"/>
      <c r="NU261" s="309"/>
      <c r="NV261" s="309"/>
      <c r="NW261" s="309"/>
      <c r="NX261" s="309"/>
      <c r="NY261" s="309"/>
      <c r="NZ261" s="309"/>
      <c r="OA261" s="309"/>
      <c r="OB261" s="309"/>
      <c r="OC261" s="309"/>
      <c r="OD261" s="309"/>
      <c r="OE261" s="309"/>
      <c r="OF261" s="309"/>
      <c r="OG261" s="309"/>
      <c r="OH261" s="309"/>
      <c r="OI261" s="309"/>
      <c r="OJ261" s="309"/>
      <c r="OK261" s="309"/>
      <c r="OL261" s="309"/>
      <c r="OM261" s="309"/>
      <c r="ON261" s="309"/>
      <c r="OO261" s="309"/>
      <c r="OP261" s="309"/>
      <c r="OQ261" s="309"/>
      <c r="OR261" s="309"/>
      <c r="OS261" s="309"/>
      <c r="OT261" s="309"/>
      <c r="OU261" s="309"/>
      <c r="OV261" s="309"/>
      <c r="OW261" s="309"/>
      <c r="OX261" s="309"/>
      <c r="OY261" s="309"/>
      <c r="OZ261" s="309"/>
      <c r="PA261" s="309"/>
      <c r="PB261" s="309"/>
      <c r="PC261" s="309"/>
      <c r="PD261" s="309"/>
      <c r="PE261" s="309"/>
      <c r="PF261" s="309"/>
      <c r="PG261" s="309"/>
      <c r="PH261" s="309"/>
      <c r="PI261" s="309"/>
      <c r="PJ261" s="309"/>
      <c r="PK261" s="309"/>
      <c r="PL261" s="309"/>
      <c r="PM261" s="309"/>
      <c r="PN261" s="309"/>
      <c r="PO261" s="309"/>
      <c r="PP261" s="309"/>
      <c r="PQ261" s="309"/>
      <c r="PR261" s="309"/>
      <c r="PS261" s="309"/>
      <c r="PT261" s="309"/>
      <c r="PU261" s="309"/>
      <c r="PV261" s="309"/>
      <c r="PW261" s="309"/>
      <c r="PX261" s="309"/>
      <c r="PY261" s="309"/>
      <c r="PZ261" s="309"/>
      <c r="QA261" s="309"/>
      <c r="QB261" s="309"/>
      <c r="QC261" s="309"/>
      <c r="QD261" s="309"/>
      <c r="QE261" s="309"/>
      <c r="QF261" s="309"/>
      <c r="QG261" s="309"/>
      <c r="QH261" s="309"/>
      <c r="QI261" s="309"/>
      <c r="QJ261" s="309"/>
      <c r="QK261" s="309"/>
      <c r="QL261" s="309"/>
      <c r="QM261" s="309"/>
      <c r="QN261" s="309"/>
      <c r="QO261" s="309"/>
      <c r="QP261" s="309"/>
      <c r="QQ261" s="309"/>
      <c r="QR261" s="309"/>
      <c r="QS261" s="309"/>
      <c r="QT261" s="309"/>
      <c r="QU261" s="309"/>
      <c r="QV261" s="309"/>
      <c r="QW261" s="309"/>
      <c r="QX261" s="309"/>
      <c r="QY261" s="309"/>
      <c r="QZ261" s="309"/>
      <c r="RA261" s="309"/>
      <c r="RB261" s="309"/>
      <c r="RC261" s="309"/>
      <c r="RD261" s="309"/>
      <c r="RE261" s="309"/>
      <c r="RF261" s="309"/>
      <c r="RG261" s="309"/>
      <c r="RH261" s="309"/>
      <c r="RI261" s="309"/>
      <c r="RJ261" s="309"/>
      <c r="RK261" s="309"/>
      <c r="RL261" s="309"/>
      <c r="RM261" s="309"/>
      <c r="RN261" s="309"/>
      <c r="RO261" s="309"/>
      <c r="RP261" s="309"/>
      <c r="RQ261" s="309"/>
      <c r="RR261" s="309"/>
      <c r="RS261" s="309"/>
      <c r="RT261" s="309"/>
      <c r="RU261" s="309"/>
      <c r="RV261" s="309"/>
      <c r="RW261" s="309"/>
      <c r="RX261" s="309"/>
      <c r="RY261" s="309"/>
      <c r="RZ261" s="309"/>
      <c r="SA261" s="309"/>
      <c r="SB261" s="309"/>
      <c r="SC261" s="309"/>
      <c r="SD261" s="309"/>
      <c r="SE261" s="309"/>
      <c r="SF261" s="309"/>
      <c r="SG261" s="309"/>
      <c r="SH261" s="309"/>
      <c r="SI261" s="309"/>
      <c r="SJ261" s="309"/>
      <c r="SK261" s="309"/>
      <c r="SL261" s="309"/>
      <c r="SM261" s="309"/>
      <c r="SN261" s="309"/>
      <c r="SO261" s="309"/>
      <c r="SP261" s="309"/>
      <c r="SQ261" s="309"/>
      <c r="SR261" s="309"/>
      <c r="SS261" s="309"/>
      <c r="ST261" s="309"/>
      <c r="SU261" s="309"/>
      <c r="SV261" s="309"/>
      <c r="SW261" s="309"/>
      <c r="SX261" s="309"/>
      <c r="SY261" s="309"/>
      <c r="SZ261" s="309"/>
      <c r="TA261" s="309"/>
      <c r="TB261" s="309"/>
      <c r="TC261" s="309"/>
      <c r="TD261" s="309"/>
      <c r="TE261" s="309"/>
      <c r="TF261" s="309"/>
      <c r="TG261" s="309"/>
      <c r="TH261" s="309"/>
      <c r="TI261" s="309"/>
      <c r="TJ261" s="309"/>
      <c r="TK261" s="309"/>
      <c r="TL261" s="309"/>
      <c r="TM261" s="309"/>
      <c r="TN261" s="309"/>
      <c r="TO261" s="309"/>
      <c r="TP261" s="309"/>
      <c r="TQ261" s="309"/>
      <c r="TR261" s="309"/>
      <c r="TS261" s="309"/>
      <c r="TT261" s="309"/>
      <c r="TU261" s="309"/>
      <c r="TV261" s="309"/>
      <c r="TW261" s="309"/>
      <c r="TX261" s="309"/>
      <c r="TY261" s="309"/>
      <c r="TZ261" s="309"/>
      <c r="UA261" s="309"/>
      <c r="UB261" s="309"/>
      <c r="UC261" s="309"/>
      <c r="UD261" s="309"/>
      <c r="UE261" s="309"/>
      <c r="UF261" s="309"/>
      <c r="UG261" s="309"/>
      <c r="UH261" s="309"/>
      <c r="UI261" s="309"/>
      <c r="UJ261" s="309"/>
      <c r="UK261" s="309"/>
      <c r="UL261" s="309"/>
      <c r="UM261" s="309"/>
      <c r="UN261" s="309"/>
      <c r="UO261" s="309"/>
      <c r="UP261" s="309"/>
      <c r="UQ261" s="309"/>
      <c r="UR261" s="309"/>
      <c r="US261" s="309"/>
      <c r="UT261" s="309"/>
      <c r="UU261" s="309"/>
      <c r="UV261" s="309"/>
      <c r="UW261" s="309"/>
      <c r="UX261" s="309"/>
      <c r="UY261" s="309"/>
      <c r="UZ261" s="309"/>
      <c r="VA261" s="309"/>
      <c r="VB261" s="309"/>
      <c r="VC261" s="309"/>
      <c r="VD261" s="309"/>
      <c r="VE261" s="309"/>
      <c r="VF261" s="309"/>
      <c r="VG261" s="309"/>
      <c r="VH261" s="309"/>
      <c r="VI261" s="309"/>
      <c r="VJ261" s="309"/>
      <c r="VK261" s="309"/>
      <c r="VL261" s="309"/>
      <c r="VM261" s="309"/>
      <c r="VN261" s="309"/>
      <c r="VO261" s="309"/>
      <c r="VP261" s="309"/>
      <c r="VQ261" s="309"/>
      <c r="VR261" s="309"/>
      <c r="VS261" s="309"/>
      <c r="VT261" s="309"/>
      <c r="VU261" s="309"/>
      <c r="VV261" s="309"/>
      <c r="VW261" s="309"/>
      <c r="VX261" s="309"/>
      <c r="VY261" s="309"/>
      <c r="VZ261" s="309"/>
      <c r="WA261" s="309"/>
      <c r="WB261" s="309"/>
      <c r="WC261" s="309"/>
      <c r="WD261" s="309"/>
      <c r="WE261" s="309"/>
      <c r="WF261" s="309"/>
      <c r="WG261" s="309"/>
      <c r="WH261" s="309"/>
      <c r="WI261" s="309"/>
      <c r="WJ261" s="309"/>
      <c r="WK261" s="309"/>
      <c r="WL261" s="309"/>
      <c r="WM261" s="309"/>
      <c r="WN261" s="309"/>
      <c r="WO261" s="309"/>
      <c r="WP261" s="309"/>
      <c r="WQ261" s="309"/>
      <c r="WR261" s="309"/>
      <c r="WS261" s="309"/>
      <c r="WT261" s="309"/>
      <c r="WU261" s="309"/>
      <c r="WV261" s="309"/>
      <c r="WW261" s="309"/>
      <c r="WX261" s="309"/>
      <c r="WY261" s="309"/>
      <c r="WZ261" s="309"/>
      <c r="XA261" s="309"/>
      <c r="XB261" s="309"/>
      <c r="XC261" s="309"/>
      <c r="XD261" s="309"/>
      <c r="XE261" s="309"/>
      <c r="XF261" s="309"/>
      <c r="XG261" s="309"/>
      <c r="XH261" s="309"/>
      <c r="XI261" s="309"/>
      <c r="XJ261" s="309"/>
      <c r="XK261" s="309"/>
      <c r="XL261" s="309"/>
      <c r="XM261" s="309"/>
      <c r="XN261" s="309"/>
      <c r="XO261" s="309"/>
      <c r="XP261" s="309"/>
      <c r="XQ261" s="309"/>
      <c r="XR261" s="309"/>
      <c r="XS261" s="309"/>
      <c r="XT261" s="309"/>
      <c r="XU261" s="309"/>
      <c r="XV261" s="309"/>
      <c r="XW261" s="309"/>
      <c r="XX261" s="309"/>
      <c r="XY261" s="309"/>
      <c r="XZ261" s="309"/>
      <c r="YA261" s="309"/>
      <c r="YB261" s="309"/>
      <c r="YC261" s="309"/>
      <c r="YD261" s="309"/>
      <c r="YE261" s="309"/>
      <c r="YF261" s="309"/>
      <c r="YG261" s="309"/>
      <c r="YH261" s="309"/>
      <c r="YI261" s="309"/>
      <c r="YJ261" s="309"/>
      <c r="YK261" s="309"/>
      <c r="YL261" s="309"/>
      <c r="YM261" s="309"/>
      <c r="YN261" s="309"/>
      <c r="YO261" s="309"/>
      <c r="YP261" s="309"/>
      <c r="YQ261" s="309"/>
      <c r="YR261" s="309"/>
      <c r="YS261" s="309"/>
      <c r="YT261" s="309"/>
      <c r="YU261" s="309"/>
      <c r="YV261" s="309"/>
      <c r="YW261" s="309"/>
      <c r="YX261" s="309"/>
      <c r="YY261" s="309"/>
      <c r="YZ261" s="309"/>
      <c r="ZA261" s="309"/>
      <c r="ZB261" s="309"/>
      <c r="ZC261" s="309"/>
      <c r="ZD261" s="309"/>
      <c r="ZE261" s="309"/>
      <c r="ZF261" s="309"/>
      <c r="ZG261" s="309"/>
      <c r="ZH261" s="309"/>
      <c r="ZI261" s="309"/>
      <c r="ZJ261" s="309"/>
    </row>
    <row r="262" spans="5:686" s="308" customFormat="1" x14ac:dyDescent="0.3">
      <c r="E262" s="337"/>
      <c r="F262" s="337"/>
      <c r="G262" s="171"/>
      <c r="H262" s="1"/>
      <c r="Y262" s="309"/>
      <c r="Z262" s="309"/>
      <c r="AA262" s="309"/>
      <c r="AB262" s="309"/>
      <c r="AC262" s="309"/>
      <c r="AD262" s="309"/>
      <c r="AE262" s="309"/>
      <c r="AF262" s="309"/>
      <c r="AG262" s="309"/>
      <c r="AH262" s="309"/>
      <c r="AI262" s="309"/>
      <c r="AJ262" s="309"/>
      <c r="AK262" s="309"/>
      <c r="AL262" s="309"/>
      <c r="AM262" s="309"/>
      <c r="AN262" s="309"/>
      <c r="AO262" s="309"/>
      <c r="AP262" s="309"/>
      <c r="AQ262" s="309"/>
      <c r="AR262" s="309"/>
      <c r="AS262" s="309"/>
      <c r="AT262" s="309"/>
      <c r="AU262" s="309"/>
      <c r="AV262" s="309"/>
      <c r="AW262" s="309"/>
      <c r="AX262" s="309"/>
      <c r="AY262" s="309"/>
      <c r="AZ262" s="309"/>
      <c r="BA262" s="309"/>
      <c r="BB262" s="309"/>
      <c r="BC262" s="309"/>
      <c r="BD262" s="309"/>
      <c r="BE262" s="309"/>
      <c r="BF262" s="309"/>
      <c r="BG262" s="309"/>
      <c r="BH262" s="309"/>
      <c r="BI262" s="309"/>
      <c r="BJ262" s="309"/>
      <c r="BK262" s="309"/>
      <c r="BL262" s="309"/>
      <c r="BM262" s="309"/>
      <c r="BN262" s="309"/>
      <c r="BO262" s="309"/>
      <c r="BP262" s="309"/>
      <c r="BQ262" s="309"/>
      <c r="BR262" s="309"/>
      <c r="BS262" s="309"/>
      <c r="BT262" s="309"/>
      <c r="BU262" s="309"/>
      <c r="BV262" s="309"/>
      <c r="BW262" s="309"/>
      <c r="BX262" s="309"/>
      <c r="BY262" s="309"/>
      <c r="BZ262" s="309"/>
      <c r="CA262" s="309"/>
      <c r="CB262" s="309"/>
      <c r="CC262" s="309"/>
      <c r="CD262" s="309"/>
      <c r="CE262" s="309"/>
      <c r="CF262" s="309"/>
      <c r="CG262" s="309"/>
      <c r="CH262" s="309"/>
      <c r="CI262" s="309"/>
      <c r="CJ262" s="309"/>
      <c r="CK262" s="309"/>
      <c r="CL262" s="309"/>
      <c r="CM262" s="309"/>
      <c r="CN262" s="309"/>
      <c r="CO262" s="309"/>
      <c r="CP262" s="309"/>
      <c r="CQ262" s="309"/>
      <c r="CR262" s="309"/>
      <c r="CS262" s="309"/>
      <c r="CT262" s="309"/>
      <c r="CU262" s="309"/>
      <c r="CV262" s="309"/>
      <c r="CW262" s="309"/>
      <c r="CX262" s="309"/>
      <c r="CY262" s="309"/>
      <c r="CZ262" s="309"/>
      <c r="DA262" s="309"/>
      <c r="DB262" s="309"/>
      <c r="DC262" s="309"/>
      <c r="DD262" s="309"/>
      <c r="DE262" s="309"/>
      <c r="DF262" s="309"/>
      <c r="DG262" s="309"/>
      <c r="DH262" s="309"/>
      <c r="DI262" s="309"/>
      <c r="DJ262" s="309"/>
      <c r="DK262" s="309"/>
      <c r="DL262" s="309"/>
      <c r="DM262" s="309"/>
      <c r="DN262" s="309"/>
      <c r="DO262" s="309"/>
      <c r="DP262" s="309"/>
      <c r="DQ262" s="309"/>
      <c r="DR262" s="309"/>
      <c r="DS262" s="309"/>
      <c r="DT262" s="309"/>
      <c r="DU262" s="309"/>
      <c r="DV262" s="309"/>
      <c r="DW262" s="309"/>
      <c r="DX262" s="309"/>
      <c r="DY262" s="309"/>
      <c r="DZ262" s="309"/>
      <c r="EA262" s="309"/>
      <c r="EB262" s="309"/>
      <c r="EC262" s="309"/>
      <c r="ED262" s="309"/>
      <c r="EE262" s="309"/>
      <c r="EF262" s="309"/>
      <c r="EG262" s="309"/>
      <c r="EH262" s="309"/>
      <c r="EI262" s="309"/>
      <c r="EJ262" s="309"/>
      <c r="EK262" s="309"/>
      <c r="EL262" s="309"/>
      <c r="EM262" s="309"/>
      <c r="EN262" s="309"/>
      <c r="EO262" s="309"/>
      <c r="EP262" s="309"/>
      <c r="EQ262" s="309"/>
      <c r="ER262" s="309"/>
      <c r="ES262" s="309"/>
      <c r="ET262" s="309"/>
      <c r="EU262" s="309"/>
      <c r="EV262" s="309"/>
      <c r="EW262" s="309"/>
      <c r="EX262" s="309"/>
      <c r="EY262" s="309"/>
      <c r="EZ262" s="309"/>
      <c r="FA262" s="309"/>
      <c r="FB262" s="309"/>
      <c r="FC262" s="309"/>
      <c r="FD262" s="309"/>
      <c r="FE262" s="309"/>
      <c r="FF262" s="309"/>
      <c r="FG262" s="309"/>
      <c r="FH262" s="309"/>
      <c r="FI262" s="309"/>
      <c r="FJ262" s="309"/>
      <c r="FK262" s="309"/>
      <c r="FL262" s="309"/>
      <c r="FM262" s="309"/>
      <c r="FN262" s="309"/>
      <c r="FO262" s="309"/>
      <c r="FP262" s="309"/>
      <c r="FQ262" s="309"/>
      <c r="FR262" s="309"/>
      <c r="FS262" s="309"/>
      <c r="FT262" s="309"/>
      <c r="FU262" s="309"/>
      <c r="FV262" s="309"/>
      <c r="FW262" s="309"/>
      <c r="FX262" s="309"/>
      <c r="FY262" s="309"/>
      <c r="FZ262" s="309"/>
      <c r="GA262" s="309"/>
      <c r="GB262" s="309"/>
      <c r="GC262" s="309"/>
      <c r="GD262" s="309"/>
      <c r="GE262" s="309"/>
      <c r="GF262" s="309"/>
      <c r="GG262" s="309"/>
      <c r="GH262" s="309"/>
      <c r="GI262" s="309"/>
      <c r="GJ262" s="309"/>
      <c r="GK262" s="309"/>
      <c r="GL262" s="309"/>
      <c r="GM262" s="309"/>
      <c r="GN262" s="309"/>
      <c r="GO262" s="309"/>
      <c r="GP262" s="309"/>
      <c r="GQ262" s="309"/>
      <c r="GR262" s="309"/>
      <c r="GS262" s="309"/>
      <c r="GT262" s="309"/>
      <c r="GU262" s="309"/>
      <c r="GV262" s="309"/>
      <c r="GW262" s="309"/>
      <c r="GX262" s="309"/>
      <c r="GY262" s="309"/>
      <c r="GZ262" s="309"/>
      <c r="HA262" s="309"/>
      <c r="HB262" s="309"/>
      <c r="HC262" s="309"/>
      <c r="HD262" s="309"/>
      <c r="HE262" s="309"/>
      <c r="HF262" s="309"/>
      <c r="HG262" s="309"/>
      <c r="HH262" s="309"/>
      <c r="HI262" s="309"/>
      <c r="HJ262" s="309"/>
      <c r="HK262" s="309"/>
      <c r="HL262" s="309"/>
      <c r="HM262" s="309"/>
      <c r="HN262" s="309"/>
      <c r="HO262" s="309"/>
      <c r="HP262" s="309"/>
      <c r="HQ262" s="309"/>
      <c r="HR262" s="309"/>
      <c r="HS262" s="309"/>
      <c r="HT262" s="309"/>
      <c r="HU262" s="309"/>
      <c r="HV262" s="309"/>
      <c r="HW262" s="309"/>
      <c r="HX262" s="309"/>
      <c r="HY262" s="309"/>
      <c r="HZ262" s="309"/>
      <c r="IA262" s="309"/>
      <c r="IB262" s="309"/>
      <c r="IC262" s="309"/>
      <c r="ID262" s="309"/>
      <c r="IE262" s="309"/>
      <c r="IF262" s="309"/>
      <c r="IG262" s="309"/>
      <c r="IH262" s="309"/>
      <c r="II262" s="309"/>
      <c r="IJ262" s="309"/>
      <c r="IK262" s="309"/>
      <c r="IL262" s="309"/>
      <c r="IM262" s="309"/>
      <c r="IN262" s="309"/>
      <c r="IO262" s="309"/>
      <c r="IP262" s="309"/>
      <c r="IQ262" s="309"/>
      <c r="IR262" s="309"/>
      <c r="IS262" s="309"/>
      <c r="IT262" s="309"/>
      <c r="IU262" s="309"/>
      <c r="IV262" s="309"/>
      <c r="IW262" s="309"/>
      <c r="IX262" s="309"/>
      <c r="IY262" s="309"/>
      <c r="IZ262" s="309"/>
      <c r="JA262" s="309"/>
      <c r="JB262" s="309"/>
      <c r="JC262" s="309"/>
      <c r="JD262" s="309"/>
      <c r="JE262" s="309"/>
      <c r="JF262" s="309"/>
      <c r="JG262" s="309"/>
      <c r="JH262" s="309"/>
      <c r="JI262" s="309"/>
      <c r="JJ262" s="309"/>
      <c r="JK262" s="309"/>
      <c r="JL262" s="309"/>
      <c r="JM262" s="309"/>
      <c r="JN262" s="309"/>
      <c r="JO262" s="309"/>
      <c r="JP262" s="309"/>
      <c r="JQ262" s="309"/>
      <c r="JR262" s="309"/>
      <c r="JS262" s="309"/>
      <c r="JT262" s="309"/>
      <c r="JU262" s="309"/>
      <c r="JV262" s="309"/>
      <c r="JW262" s="309"/>
      <c r="JX262" s="309"/>
      <c r="JY262" s="309"/>
      <c r="JZ262" s="309"/>
      <c r="KA262" s="309"/>
      <c r="KB262" s="309"/>
      <c r="KC262" s="309"/>
      <c r="KD262" s="309"/>
      <c r="KE262" s="309"/>
      <c r="KF262" s="309"/>
      <c r="KG262" s="309"/>
      <c r="KH262" s="309"/>
      <c r="KI262" s="309"/>
      <c r="KJ262" s="309"/>
      <c r="KK262" s="309"/>
      <c r="KL262" s="309"/>
      <c r="KM262" s="309"/>
      <c r="KN262" s="309"/>
      <c r="KO262" s="309"/>
      <c r="KP262" s="309"/>
      <c r="KQ262" s="309"/>
      <c r="KR262" s="309"/>
      <c r="KS262" s="309"/>
      <c r="KT262" s="309"/>
      <c r="KU262" s="309"/>
      <c r="KV262" s="309"/>
      <c r="KW262" s="309"/>
      <c r="KX262" s="309"/>
      <c r="KY262" s="309"/>
      <c r="KZ262" s="309"/>
      <c r="LA262" s="309"/>
      <c r="LB262" s="309"/>
      <c r="LC262" s="309"/>
      <c r="LD262" s="309"/>
      <c r="LE262" s="309"/>
      <c r="LF262" s="309"/>
      <c r="LG262" s="309"/>
      <c r="LH262" s="309"/>
      <c r="LI262" s="309"/>
      <c r="LJ262" s="309"/>
      <c r="LK262" s="309"/>
      <c r="LL262" s="309"/>
      <c r="LM262" s="309"/>
      <c r="LN262" s="309"/>
      <c r="LO262" s="309"/>
      <c r="LP262" s="309"/>
      <c r="LQ262" s="309"/>
      <c r="LR262" s="309"/>
      <c r="LS262" s="309"/>
      <c r="LT262" s="309"/>
      <c r="LU262" s="309"/>
      <c r="LV262" s="309"/>
      <c r="LW262" s="309"/>
      <c r="LX262" s="309"/>
      <c r="LY262" s="309"/>
      <c r="LZ262" s="309"/>
      <c r="MA262" s="309"/>
      <c r="MB262" s="309"/>
      <c r="MC262" s="309"/>
      <c r="MD262" s="309"/>
      <c r="ME262" s="309"/>
      <c r="MF262" s="309"/>
      <c r="MG262" s="309"/>
      <c r="MH262" s="309"/>
      <c r="MI262" s="309"/>
      <c r="MJ262" s="309"/>
      <c r="MK262" s="309"/>
      <c r="ML262" s="309"/>
      <c r="MM262" s="309"/>
      <c r="MN262" s="309"/>
      <c r="MO262" s="309"/>
      <c r="MP262" s="309"/>
      <c r="MQ262" s="309"/>
      <c r="MR262" s="309"/>
      <c r="MS262" s="309"/>
      <c r="MT262" s="309"/>
      <c r="MU262" s="309"/>
      <c r="MV262" s="309"/>
      <c r="MW262" s="309"/>
      <c r="MX262" s="309"/>
      <c r="MY262" s="309"/>
      <c r="MZ262" s="309"/>
      <c r="NA262" s="309"/>
      <c r="NB262" s="309"/>
      <c r="NC262" s="309"/>
      <c r="ND262" s="309"/>
      <c r="NE262" s="309"/>
      <c r="NF262" s="309"/>
      <c r="NG262" s="309"/>
      <c r="NH262" s="309"/>
      <c r="NI262" s="309"/>
      <c r="NJ262" s="309"/>
      <c r="NK262" s="309"/>
      <c r="NL262" s="309"/>
      <c r="NM262" s="309"/>
      <c r="NN262" s="309"/>
      <c r="NO262" s="309"/>
      <c r="NP262" s="309"/>
      <c r="NQ262" s="309"/>
      <c r="NR262" s="309"/>
      <c r="NS262" s="309"/>
      <c r="NT262" s="309"/>
      <c r="NU262" s="309"/>
      <c r="NV262" s="309"/>
      <c r="NW262" s="309"/>
      <c r="NX262" s="309"/>
      <c r="NY262" s="309"/>
      <c r="NZ262" s="309"/>
      <c r="OA262" s="309"/>
      <c r="OB262" s="309"/>
      <c r="OC262" s="309"/>
      <c r="OD262" s="309"/>
      <c r="OE262" s="309"/>
      <c r="OF262" s="309"/>
      <c r="OG262" s="309"/>
      <c r="OH262" s="309"/>
      <c r="OI262" s="309"/>
      <c r="OJ262" s="309"/>
      <c r="OK262" s="309"/>
      <c r="OL262" s="309"/>
      <c r="OM262" s="309"/>
      <c r="ON262" s="309"/>
      <c r="OO262" s="309"/>
      <c r="OP262" s="309"/>
      <c r="OQ262" s="309"/>
      <c r="OR262" s="309"/>
      <c r="OS262" s="309"/>
      <c r="OT262" s="309"/>
      <c r="OU262" s="309"/>
      <c r="OV262" s="309"/>
      <c r="OW262" s="309"/>
      <c r="OX262" s="309"/>
      <c r="OY262" s="309"/>
      <c r="OZ262" s="309"/>
      <c r="PA262" s="309"/>
      <c r="PB262" s="309"/>
      <c r="PC262" s="309"/>
      <c r="PD262" s="309"/>
      <c r="PE262" s="309"/>
      <c r="PF262" s="309"/>
      <c r="PG262" s="309"/>
      <c r="PH262" s="309"/>
      <c r="PI262" s="309"/>
      <c r="PJ262" s="309"/>
      <c r="PK262" s="309"/>
      <c r="PL262" s="309"/>
      <c r="PM262" s="309"/>
      <c r="PN262" s="309"/>
      <c r="PO262" s="309"/>
      <c r="PP262" s="309"/>
      <c r="PQ262" s="309"/>
      <c r="PR262" s="309"/>
      <c r="PS262" s="309"/>
      <c r="PT262" s="309"/>
      <c r="PU262" s="309"/>
      <c r="PV262" s="309"/>
      <c r="PW262" s="309"/>
      <c r="PX262" s="309"/>
      <c r="PY262" s="309"/>
      <c r="PZ262" s="309"/>
      <c r="QA262" s="309"/>
      <c r="QB262" s="309"/>
      <c r="QC262" s="309"/>
      <c r="QD262" s="309"/>
      <c r="QE262" s="309"/>
      <c r="QF262" s="309"/>
      <c r="QG262" s="309"/>
      <c r="QH262" s="309"/>
      <c r="QI262" s="309"/>
      <c r="QJ262" s="309"/>
      <c r="QK262" s="309"/>
      <c r="QL262" s="309"/>
      <c r="QM262" s="309"/>
      <c r="QN262" s="309"/>
      <c r="QO262" s="309"/>
      <c r="QP262" s="309"/>
      <c r="QQ262" s="309"/>
      <c r="QR262" s="309"/>
      <c r="QS262" s="309"/>
      <c r="QT262" s="309"/>
      <c r="QU262" s="309"/>
      <c r="QV262" s="309"/>
      <c r="QW262" s="309"/>
      <c r="QX262" s="309"/>
      <c r="QY262" s="309"/>
      <c r="QZ262" s="309"/>
      <c r="RA262" s="309"/>
      <c r="RB262" s="309"/>
      <c r="RC262" s="309"/>
      <c r="RD262" s="309"/>
      <c r="RE262" s="309"/>
      <c r="RF262" s="309"/>
      <c r="RG262" s="309"/>
      <c r="RH262" s="309"/>
      <c r="RI262" s="309"/>
      <c r="RJ262" s="309"/>
      <c r="RK262" s="309"/>
      <c r="RL262" s="309"/>
      <c r="RM262" s="309"/>
      <c r="RN262" s="309"/>
      <c r="RO262" s="309"/>
      <c r="RP262" s="309"/>
      <c r="RQ262" s="309"/>
      <c r="RR262" s="309"/>
      <c r="RS262" s="309"/>
      <c r="RT262" s="309"/>
      <c r="RU262" s="309"/>
      <c r="RV262" s="309"/>
      <c r="RW262" s="309"/>
      <c r="RX262" s="309"/>
      <c r="RY262" s="309"/>
      <c r="RZ262" s="309"/>
      <c r="SA262" s="309"/>
      <c r="SB262" s="309"/>
      <c r="SC262" s="309"/>
      <c r="SD262" s="309"/>
      <c r="SE262" s="309"/>
      <c r="SF262" s="309"/>
      <c r="SG262" s="309"/>
      <c r="SH262" s="309"/>
      <c r="SI262" s="309"/>
      <c r="SJ262" s="309"/>
      <c r="SK262" s="309"/>
      <c r="SL262" s="309"/>
      <c r="SM262" s="309"/>
      <c r="SN262" s="309"/>
      <c r="SO262" s="309"/>
      <c r="SP262" s="309"/>
      <c r="SQ262" s="309"/>
      <c r="SR262" s="309"/>
      <c r="SS262" s="309"/>
      <c r="ST262" s="309"/>
      <c r="SU262" s="309"/>
      <c r="SV262" s="309"/>
      <c r="SW262" s="309"/>
      <c r="SX262" s="309"/>
      <c r="SY262" s="309"/>
      <c r="SZ262" s="309"/>
      <c r="TA262" s="309"/>
      <c r="TB262" s="309"/>
      <c r="TC262" s="309"/>
      <c r="TD262" s="309"/>
      <c r="TE262" s="309"/>
      <c r="TF262" s="309"/>
      <c r="TG262" s="309"/>
      <c r="TH262" s="309"/>
      <c r="TI262" s="309"/>
      <c r="TJ262" s="309"/>
      <c r="TK262" s="309"/>
      <c r="TL262" s="309"/>
      <c r="TM262" s="309"/>
      <c r="TN262" s="309"/>
      <c r="TO262" s="309"/>
      <c r="TP262" s="309"/>
      <c r="TQ262" s="309"/>
      <c r="TR262" s="309"/>
      <c r="TS262" s="309"/>
      <c r="TT262" s="309"/>
      <c r="TU262" s="309"/>
      <c r="TV262" s="309"/>
      <c r="TW262" s="309"/>
      <c r="TX262" s="309"/>
      <c r="TY262" s="309"/>
      <c r="TZ262" s="309"/>
      <c r="UA262" s="309"/>
      <c r="UB262" s="309"/>
      <c r="UC262" s="309"/>
      <c r="UD262" s="309"/>
      <c r="UE262" s="309"/>
      <c r="UF262" s="309"/>
      <c r="UG262" s="309"/>
      <c r="UH262" s="309"/>
      <c r="UI262" s="309"/>
      <c r="UJ262" s="309"/>
      <c r="UK262" s="309"/>
      <c r="UL262" s="309"/>
      <c r="UM262" s="309"/>
      <c r="UN262" s="309"/>
      <c r="UO262" s="309"/>
      <c r="UP262" s="309"/>
      <c r="UQ262" s="309"/>
      <c r="UR262" s="309"/>
      <c r="US262" s="309"/>
      <c r="UT262" s="309"/>
      <c r="UU262" s="309"/>
      <c r="UV262" s="309"/>
      <c r="UW262" s="309"/>
      <c r="UX262" s="309"/>
      <c r="UY262" s="309"/>
      <c r="UZ262" s="309"/>
      <c r="VA262" s="309"/>
      <c r="VB262" s="309"/>
      <c r="VC262" s="309"/>
      <c r="VD262" s="309"/>
      <c r="VE262" s="309"/>
      <c r="VF262" s="309"/>
      <c r="VG262" s="309"/>
      <c r="VH262" s="309"/>
      <c r="VI262" s="309"/>
      <c r="VJ262" s="309"/>
      <c r="VK262" s="309"/>
      <c r="VL262" s="309"/>
      <c r="VM262" s="309"/>
      <c r="VN262" s="309"/>
      <c r="VO262" s="309"/>
      <c r="VP262" s="309"/>
      <c r="VQ262" s="309"/>
      <c r="VR262" s="309"/>
      <c r="VS262" s="309"/>
      <c r="VT262" s="309"/>
      <c r="VU262" s="309"/>
      <c r="VV262" s="309"/>
      <c r="VW262" s="309"/>
      <c r="VX262" s="309"/>
      <c r="VY262" s="309"/>
      <c r="VZ262" s="309"/>
      <c r="WA262" s="309"/>
      <c r="WB262" s="309"/>
      <c r="WC262" s="309"/>
      <c r="WD262" s="309"/>
      <c r="WE262" s="309"/>
      <c r="WF262" s="309"/>
      <c r="WG262" s="309"/>
      <c r="WH262" s="309"/>
      <c r="WI262" s="309"/>
      <c r="WJ262" s="309"/>
      <c r="WK262" s="309"/>
      <c r="WL262" s="309"/>
      <c r="WM262" s="309"/>
      <c r="WN262" s="309"/>
      <c r="WO262" s="309"/>
      <c r="WP262" s="309"/>
      <c r="WQ262" s="309"/>
      <c r="WR262" s="309"/>
      <c r="WS262" s="309"/>
      <c r="WT262" s="309"/>
      <c r="WU262" s="309"/>
      <c r="WV262" s="309"/>
      <c r="WW262" s="309"/>
      <c r="WX262" s="309"/>
      <c r="WY262" s="309"/>
      <c r="WZ262" s="309"/>
      <c r="XA262" s="309"/>
      <c r="XB262" s="309"/>
      <c r="XC262" s="309"/>
      <c r="XD262" s="309"/>
      <c r="XE262" s="309"/>
      <c r="XF262" s="309"/>
      <c r="XG262" s="309"/>
      <c r="XH262" s="309"/>
      <c r="XI262" s="309"/>
      <c r="XJ262" s="309"/>
      <c r="XK262" s="309"/>
      <c r="XL262" s="309"/>
      <c r="XM262" s="309"/>
      <c r="XN262" s="309"/>
      <c r="XO262" s="309"/>
      <c r="XP262" s="309"/>
      <c r="XQ262" s="309"/>
      <c r="XR262" s="309"/>
      <c r="XS262" s="309"/>
      <c r="XT262" s="309"/>
      <c r="XU262" s="309"/>
      <c r="XV262" s="309"/>
      <c r="XW262" s="309"/>
      <c r="XX262" s="309"/>
      <c r="XY262" s="309"/>
      <c r="XZ262" s="309"/>
      <c r="YA262" s="309"/>
      <c r="YB262" s="309"/>
      <c r="YC262" s="309"/>
      <c r="YD262" s="309"/>
      <c r="YE262" s="309"/>
      <c r="YF262" s="309"/>
      <c r="YG262" s="309"/>
      <c r="YH262" s="309"/>
      <c r="YI262" s="309"/>
      <c r="YJ262" s="309"/>
      <c r="YK262" s="309"/>
      <c r="YL262" s="309"/>
      <c r="YM262" s="309"/>
      <c r="YN262" s="309"/>
      <c r="YO262" s="309"/>
      <c r="YP262" s="309"/>
      <c r="YQ262" s="309"/>
      <c r="YR262" s="309"/>
      <c r="YS262" s="309"/>
      <c r="YT262" s="309"/>
      <c r="YU262" s="309"/>
      <c r="YV262" s="309"/>
      <c r="YW262" s="309"/>
      <c r="YX262" s="309"/>
      <c r="YY262" s="309"/>
      <c r="YZ262" s="309"/>
      <c r="ZA262" s="309"/>
      <c r="ZB262" s="309"/>
      <c r="ZC262" s="309"/>
      <c r="ZD262" s="309"/>
      <c r="ZE262" s="309"/>
      <c r="ZF262" s="309"/>
      <c r="ZG262" s="309"/>
      <c r="ZH262" s="309"/>
      <c r="ZI262" s="309"/>
      <c r="ZJ262" s="309"/>
    </row>
    <row r="263" spans="5:686" s="308" customFormat="1" x14ac:dyDescent="0.3">
      <c r="E263" s="337"/>
      <c r="F263" s="337"/>
      <c r="G263" s="171"/>
      <c r="H263" s="1"/>
      <c r="Y263" s="309"/>
      <c r="Z263" s="309"/>
      <c r="AA263" s="309"/>
      <c r="AB263" s="309"/>
      <c r="AC263" s="309"/>
      <c r="AD263" s="309"/>
      <c r="AE263" s="309"/>
      <c r="AF263" s="309"/>
      <c r="AG263" s="309"/>
      <c r="AH263" s="309"/>
      <c r="AI263" s="309"/>
      <c r="AJ263" s="309"/>
      <c r="AK263" s="309"/>
      <c r="AL263" s="309"/>
      <c r="AM263" s="309"/>
      <c r="AN263" s="309"/>
      <c r="AO263" s="309"/>
      <c r="AP263" s="309"/>
      <c r="AQ263" s="309"/>
      <c r="AR263" s="309"/>
      <c r="AS263" s="309"/>
      <c r="AT263" s="309"/>
      <c r="AU263" s="309"/>
      <c r="AV263" s="309"/>
      <c r="AW263" s="309"/>
      <c r="AX263" s="309"/>
      <c r="AY263" s="309"/>
      <c r="AZ263" s="309"/>
      <c r="BA263" s="309"/>
      <c r="BB263" s="309"/>
      <c r="BC263" s="309"/>
      <c r="BD263" s="309"/>
      <c r="BE263" s="309"/>
      <c r="BF263" s="309"/>
      <c r="BG263" s="309"/>
      <c r="BH263" s="309"/>
      <c r="BI263" s="309"/>
      <c r="BJ263" s="309"/>
      <c r="BK263" s="309"/>
      <c r="BL263" s="309"/>
      <c r="BM263" s="309"/>
      <c r="BN263" s="309"/>
      <c r="BO263" s="309"/>
      <c r="BP263" s="309"/>
      <c r="BQ263" s="309"/>
      <c r="BR263" s="309"/>
      <c r="BS263" s="309"/>
      <c r="BT263" s="309"/>
      <c r="BU263" s="309"/>
      <c r="BV263" s="309"/>
      <c r="BW263" s="309"/>
      <c r="BX263" s="309"/>
      <c r="BY263" s="309"/>
      <c r="BZ263" s="309"/>
      <c r="CA263" s="309"/>
      <c r="CB263" s="309"/>
      <c r="CC263" s="309"/>
      <c r="CD263" s="309"/>
      <c r="CE263" s="309"/>
      <c r="CF263" s="309"/>
      <c r="CG263" s="309"/>
      <c r="CH263" s="309"/>
      <c r="CI263" s="309"/>
      <c r="CJ263" s="309"/>
      <c r="CK263" s="309"/>
      <c r="CL263" s="309"/>
      <c r="CM263" s="309"/>
      <c r="CN263" s="309"/>
      <c r="CO263" s="309"/>
      <c r="CP263" s="309"/>
      <c r="CQ263" s="309"/>
      <c r="CR263" s="309"/>
      <c r="CS263" s="309"/>
      <c r="CT263" s="309"/>
      <c r="CU263" s="309"/>
      <c r="CV263" s="309"/>
      <c r="CW263" s="309"/>
      <c r="CX263" s="309"/>
      <c r="CY263" s="309"/>
      <c r="CZ263" s="309"/>
      <c r="DA263" s="309"/>
      <c r="DB263" s="309"/>
      <c r="DC263" s="309"/>
      <c r="DD263" s="309"/>
      <c r="DE263" s="309"/>
      <c r="DF263" s="309"/>
      <c r="DG263" s="309"/>
      <c r="DH263" s="309"/>
      <c r="DI263" s="309"/>
      <c r="DJ263" s="309"/>
      <c r="DK263" s="309"/>
      <c r="DL263" s="309"/>
      <c r="DM263" s="309"/>
      <c r="DN263" s="309"/>
      <c r="DO263" s="309"/>
      <c r="DP263" s="309"/>
      <c r="DQ263" s="309"/>
      <c r="DR263" s="309"/>
      <c r="DS263" s="309"/>
      <c r="DT263" s="309"/>
      <c r="DU263" s="309"/>
      <c r="DV263" s="309"/>
      <c r="DW263" s="309"/>
      <c r="DX263" s="309"/>
      <c r="DY263" s="309"/>
      <c r="DZ263" s="309"/>
      <c r="EA263" s="309"/>
      <c r="EB263" s="309"/>
      <c r="EC263" s="309"/>
      <c r="ED263" s="309"/>
      <c r="EE263" s="309"/>
      <c r="EF263" s="309"/>
      <c r="EG263" s="309"/>
      <c r="EH263" s="309"/>
      <c r="EI263" s="309"/>
      <c r="EJ263" s="309"/>
      <c r="EK263" s="309"/>
      <c r="EL263" s="309"/>
      <c r="EM263" s="309"/>
      <c r="EN263" s="309"/>
      <c r="EO263" s="309"/>
      <c r="EP263" s="309"/>
      <c r="EQ263" s="309"/>
      <c r="ER263" s="309"/>
      <c r="ES263" s="309"/>
      <c r="ET263" s="309"/>
      <c r="EU263" s="309"/>
      <c r="EV263" s="309"/>
      <c r="EW263" s="309"/>
      <c r="EX263" s="309"/>
      <c r="EY263" s="309"/>
      <c r="EZ263" s="309"/>
      <c r="FA263" s="309"/>
      <c r="FB263" s="309"/>
      <c r="FC263" s="309"/>
      <c r="FD263" s="309"/>
      <c r="FE263" s="309"/>
      <c r="FF263" s="309"/>
      <c r="FG263" s="309"/>
      <c r="FH263" s="309"/>
      <c r="FI263" s="309"/>
      <c r="FJ263" s="309"/>
      <c r="FK263" s="309"/>
      <c r="FL263" s="309"/>
      <c r="FM263" s="309"/>
      <c r="FN263" s="309"/>
      <c r="FO263" s="309"/>
      <c r="FP263" s="309"/>
      <c r="FQ263" s="309"/>
      <c r="FR263" s="309"/>
      <c r="FS263" s="309"/>
      <c r="FT263" s="309"/>
      <c r="FU263" s="309"/>
      <c r="FV263" s="309"/>
      <c r="FW263" s="309"/>
      <c r="FX263" s="309"/>
      <c r="FY263" s="309"/>
      <c r="FZ263" s="309"/>
      <c r="GA263" s="309"/>
      <c r="GB263" s="309"/>
      <c r="GC263" s="309"/>
      <c r="GD263" s="309"/>
      <c r="GE263" s="309"/>
      <c r="GF263" s="309"/>
      <c r="GG263" s="309"/>
      <c r="GH263" s="309"/>
      <c r="GI263" s="309"/>
      <c r="GJ263" s="309"/>
      <c r="GK263" s="309"/>
      <c r="GL263" s="309"/>
      <c r="GM263" s="309"/>
      <c r="GN263" s="309"/>
      <c r="GO263" s="309"/>
      <c r="GP263" s="309"/>
      <c r="GQ263" s="309"/>
      <c r="GR263" s="309"/>
      <c r="GS263" s="309"/>
      <c r="GT263" s="309"/>
      <c r="GU263" s="309"/>
      <c r="GV263" s="309"/>
      <c r="GW263" s="309"/>
      <c r="GX263" s="309"/>
      <c r="GY263" s="309"/>
      <c r="GZ263" s="309"/>
      <c r="HA263" s="309"/>
      <c r="HB263" s="309"/>
      <c r="HC263" s="309"/>
      <c r="HD263" s="309"/>
      <c r="HE263" s="309"/>
      <c r="HF263" s="309"/>
      <c r="HG263" s="309"/>
      <c r="HH263" s="309"/>
      <c r="HI263" s="309"/>
      <c r="HJ263" s="309"/>
      <c r="HK263" s="309"/>
      <c r="HL263" s="309"/>
      <c r="HM263" s="309"/>
      <c r="HN263" s="309"/>
      <c r="HO263" s="309"/>
      <c r="HP263" s="309"/>
      <c r="HQ263" s="309"/>
      <c r="HR263" s="309"/>
      <c r="HS263" s="309"/>
      <c r="HT263" s="309"/>
      <c r="HU263" s="309"/>
      <c r="HV263" s="309"/>
      <c r="HW263" s="309"/>
      <c r="HX263" s="309"/>
      <c r="HY263" s="309"/>
      <c r="HZ263" s="309"/>
      <c r="IA263" s="309"/>
      <c r="IB263" s="309"/>
      <c r="IC263" s="309"/>
      <c r="ID263" s="309"/>
      <c r="IE263" s="309"/>
      <c r="IF263" s="309"/>
      <c r="IG263" s="309"/>
      <c r="IH263" s="309"/>
      <c r="II263" s="309"/>
      <c r="IJ263" s="309"/>
      <c r="IK263" s="309"/>
      <c r="IL263" s="309"/>
      <c r="IM263" s="309"/>
      <c r="IN263" s="309"/>
      <c r="IO263" s="309"/>
      <c r="IP263" s="309"/>
      <c r="IQ263" s="309"/>
      <c r="IR263" s="309"/>
      <c r="IS263" s="309"/>
      <c r="IT263" s="309"/>
      <c r="IU263" s="309"/>
      <c r="IV263" s="309"/>
      <c r="IW263" s="309"/>
      <c r="IX263" s="309"/>
      <c r="IY263" s="309"/>
      <c r="IZ263" s="309"/>
      <c r="JA263" s="309"/>
      <c r="JB263" s="309"/>
      <c r="JC263" s="309"/>
      <c r="JD263" s="309"/>
      <c r="JE263" s="309"/>
      <c r="JF263" s="309"/>
      <c r="JG263" s="309"/>
      <c r="JH263" s="309"/>
      <c r="JI263" s="309"/>
      <c r="JJ263" s="309"/>
      <c r="JK263" s="309"/>
      <c r="JL263" s="309"/>
      <c r="JM263" s="309"/>
      <c r="JN263" s="309"/>
      <c r="JO263" s="309"/>
      <c r="JP263" s="309"/>
      <c r="JQ263" s="309"/>
      <c r="JR263" s="309"/>
      <c r="JS263" s="309"/>
      <c r="JT263" s="309"/>
      <c r="JU263" s="309"/>
      <c r="JV263" s="309"/>
      <c r="JW263" s="309"/>
      <c r="JX263" s="309"/>
      <c r="JY263" s="309"/>
      <c r="JZ263" s="309"/>
      <c r="KA263" s="309"/>
      <c r="KB263" s="309"/>
      <c r="KC263" s="309"/>
      <c r="KD263" s="309"/>
      <c r="KE263" s="309"/>
      <c r="KF263" s="309"/>
      <c r="KG263" s="309"/>
      <c r="KH263" s="309"/>
      <c r="KI263" s="309"/>
      <c r="KJ263" s="309"/>
      <c r="KK263" s="309"/>
      <c r="KL263" s="309"/>
      <c r="KM263" s="309"/>
      <c r="KN263" s="309"/>
      <c r="KO263" s="309"/>
      <c r="KP263" s="309"/>
      <c r="KQ263" s="309"/>
      <c r="KR263" s="309"/>
      <c r="KS263" s="309"/>
      <c r="KT263" s="309"/>
      <c r="KU263" s="309"/>
      <c r="KV263" s="309"/>
      <c r="KW263" s="309"/>
      <c r="KX263" s="309"/>
      <c r="KY263" s="309"/>
      <c r="KZ263" s="309"/>
      <c r="LA263" s="309"/>
      <c r="LB263" s="309"/>
      <c r="LC263" s="309"/>
      <c r="LD263" s="309"/>
      <c r="LE263" s="309"/>
      <c r="LF263" s="309"/>
      <c r="LG263" s="309"/>
      <c r="LH263" s="309"/>
      <c r="LI263" s="309"/>
      <c r="LJ263" s="309"/>
      <c r="LK263" s="309"/>
      <c r="LL263" s="309"/>
      <c r="LM263" s="309"/>
      <c r="LN263" s="309"/>
      <c r="LO263" s="309"/>
      <c r="LP263" s="309"/>
      <c r="LQ263" s="309"/>
      <c r="LR263" s="309"/>
      <c r="LS263" s="309"/>
      <c r="LT263" s="309"/>
      <c r="LU263" s="309"/>
      <c r="LV263" s="309"/>
      <c r="LW263" s="309"/>
      <c r="LX263" s="309"/>
      <c r="LY263" s="309"/>
      <c r="LZ263" s="309"/>
      <c r="MA263" s="309"/>
      <c r="MB263" s="309"/>
      <c r="MC263" s="309"/>
      <c r="MD263" s="309"/>
      <c r="ME263" s="309"/>
      <c r="MF263" s="309"/>
      <c r="MG263" s="309"/>
      <c r="MH263" s="309"/>
      <c r="MI263" s="309"/>
      <c r="MJ263" s="309"/>
      <c r="MK263" s="309"/>
      <c r="ML263" s="309"/>
      <c r="MM263" s="309"/>
      <c r="MN263" s="309"/>
      <c r="MO263" s="309"/>
      <c r="MP263" s="309"/>
      <c r="MQ263" s="309"/>
      <c r="MR263" s="309"/>
      <c r="MS263" s="309"/>
      <c r="MT263" s="309"/>
      <c r="MU263" s="309"/>
      <c r="MV263" s="309"/>
      <c r="MW263" s="309"/>
      <c r="MX263" s="309"/>
      <c r="MY263" s="309"/>
      <c r="MZ263" s="309"/>
      <c r="NA263" s="309"/>
      <c r="NB263" s="309"/>
      <c r="NC263" s="309"/>
      <c r="ND263" s="309"/>
      <c r="NE263" s="309"/>
      <c r="NF263" s="309"/>
      <c r="NG263" s="309"/>
      <c r="NH263" s="309"/>
      <c r="NI263" s="309"/>
      <c r="NJ263" s="309"/>
      <c r="NK263" s="309"/>
      <c r="NL263" s="309"/>
      <c r="NM263" s="309"/>
      <c r="NN263" s="309"/>
      <c r="NO263" s="309"/>
      <c r="NP263" s="309"/>
      <c r="NQ263" s="309"/>
      <c r="NR263" s="309"/>
      <c r="NS263" s="309"/>
      <c r="NT263" s="309"/>
      <c r="NU263" s="309"/>
      <c r="NV263" s="309"/>
      <c r="NW263" s="309"/>
      <c r="NX263" s="309"/>
      <c r="NY263" s="309"/>
      <c r="NZ263" s="309"/>
      <c r="OA263" s="309"/>
      <c r="OB263" s="309"/>
      <c r="OC263" s="309"/>
      <c r="OD263" s="309"/>
      <c r="OE263" s="309"/>
      <c r="OF263" s="309"/>
      <c r="OG263" s="309"/>
      <c r="OH263" s="309"/>
      <c r="OI263" s="309"/>
      <c r="OJ263" s="309"/>
      <c r="OK263" s="309"/>
      <c r="OL263" s="309"/>
      <c r="OM263" s="309"/>
      <c r="ON263" s="309"/>
      <c r="OO263" s="309"/>
      <c r="OP263" s="309"/>
      <c r="OQ263" s="309"/>
      <c r="OR263" s="309"/>
      <c r="OS263" s="309"/>
      <c r="OT263" s="309"/>
      <c r="OU263" s="309"/>
      <c r="OV263" s="309"/>
      <c r="OW263" s="309"/>
      <c r="OX263" s="309"/>
      <c r="OY263" s="309"/>
      <c r="OZ263" s="309"/>
      <c r="PA263" s="309"/>
      <c r="PB263" s="309"/>
      <c r="PC263" s="309"/>
      <c r="PD263" s="309"/>
      <c r="PE263" s="309"/>
      <c r="PF263" s="309"/>
      <c r="PG263" s="309"/>
      <c r="PH263" s="309"/>
      <c r="PI263" s="309"/>
      <c r="PJ263" s="309"/>
      <c r="PK263" s="309"/>
      <c r="PL263" s="309"/>
      <c r="PM263" s="309"/>
      <c r="PN263" s="309"/>
      <c r="PO263" s="309"/>
      <c r="PP263" s="309"/>
      <c r="PQ263" s="309"/>
      <c r="PR263" s="309"/>
      <c r="PS263" s="309"/>
      <c r="PT263" s="309"/>
      <c r="PU263" s="309"/>
      <c r="PV263" s="309"/>
      <c r="PW263" s="309"/>
      <c r="PX263" s="309"/>
      <c r="PY263" s="309"/>
      <c r="PZ263" s="309"/>
      <c r="QA263" s="309"/>
      <c r="QB263" s="309"/>
      <c r="QC263" s="309"/>
      <c r="QD263" s="309"/>
      <c r="QE263" s="309"/>
      <c r="QF263" s="309"/>
      <c r="QG263" s="309"/>
      <c r="QH263" s="309"/>
      <c r="QI263" s="309"/>
      <c r="QJ263" s="309"/>
      <c r="QK263" s="309"/>
      <c r="QL263" s="309"/>
      <c r="QM263" s="309"/>
      <c r="QN263" s="309"/>
      <c r="QO263" s="309"/>
      <c r="QP263" s="309"/>
      <c r="QQ263" s="309"/>
      <c r="QR263" s="309"/>
      <c r="QS263" s="309"/>
      <c r="QT263" s="309"/>
      <c r="QU263" s="309"/>
      <c r="QV263" s="309"/>
      <c r="QW263" s="309"/>
      <c r="QX263" s="309"/>
      <c r="QY263" s="309"/>
      <c r="QZ263" s="309"/>
      <c r="RA263" s="309"/>
      <c r="RB263" s="309"/>
      <c r="RC263" s="309"/>
      <c r="RD263" s="309"/>
      <c r="RE263" s="309"/>
      <c r="RF263" s="309"/>
      <c r="RG263" s="309"/>
      <c r="RH263" s="309"/>
      <c r="RI263" s="309"/>
      <c r="RJ263" s="309"/>
      <c r="RK263" s="309"/>
      <c r="RL263" s="309"/>
      <c r="RM263" s="309"/>
      <c r="RN263" s="309"/>
      <c r="RO263" s="309"/>
      <c r="RP263" s="309"/>
      <c r="RQ263" s="309"/>
      <c r="RR263" s="309"/>
      <c r="RS263" s="309"/>
      <c r="RT263" s="309"/>
      <c r="RU263" s="309"/>
      <c r="RV263" s="309"/>
      <c r="RW263" s="309"/>
      <c r="RX263" s="309"/>
      <c r="RY263" s="309"/>
      <c r="RZ263" s="309"/>
      <c r="SA263" s="309"/>
      <c r="SB263" s="309"/>
      <c r="SC263" s="309"/>
      <c r="SD263" s="309"/>
      <c r="SE263" s="309"/>
      <c r="SF263" s="309"/>
      <c r="SG263" s="309"/>
      <c r="SH263" s="309"/>
      <c r="SI263" s="309"/>
      <c r="SJ263" s="309"/>
      <c r="SK263" s="309"/>
      <c r="SL263" s="309"/>
      <c r="SM263" s="309"/>
      <c r="SN263" s="309"/>
      <c r="SO263" s="309"/>
      <c r="SP263" s="309"/>
      <c r="SQ263" s="309"/>
      <c r="SR263" s="309"/>
      <c r="SS263" s="309"/>
      <c r="ST263" s="309"/>
      <c r="SU263" s="309"/>
      <c r="SV263" s="309"/>
      <c r="SW263" s="309"/>
      <c r="SX263" s="309"/>
      <c r="SY263" s="309"/>
      <c r="SZ263" s="309"/>
      <c r="TA263" s="309"/>
      <c r="TB263" s="309"/>
      <c r="TC263" s="309"/>
      <c r="TD263" s="309"/>
      <c r="TE263" s="309"/>
      <c r="TF263" s="309"/>
      <c r="TG263" s="309"/>
      <c r="TH263" s="309"/>
      <c r="TI263" s="309"/>
      <c r="TJ263" s="309"/>
      <c r="TK263" s="309"/>
      <c r="TL263" s="309"/>
      <c r="TM263" s="309"/>
      <c r="TN263" s="309"/>
      <c r="TO263" s="309"/>
      <c r="TP263" s="309"/>
      <c r="TQ263" s="309"/>
      <c r="TR263" s="309"/>
      <c r="TS263" s="309"/>
      <c r="TT263" s="309"/>
      <c r="TU263" s="309"/>
      <c r="TV263" s="309"/>
      <c r="TW263" s="309"/>
      <c r="TX263" s="309"/>
      <c r="TY263" s="309"/>
      <c r="TZ263" s="309"/>
      <c r="UA263" s="309"/>
      <c r="UB263" s="309"/>
      <c r="UC263" s="309"/>
      <c r="UD263" s="309"/>
      <c r="UE263" s="309"/>
      <c r="UF263" s="309"/>
      <c r="UG263" s="309"/>
      <c r="UH263" s="309"/>
      <c r="UI263" s="309"/>
      <c r="UJ263" s="309"/>
      <c r="UK263" s="309"/>
      <c r="UL263" s="309"/>
      <c r="UM263" s="309"/>
      <c r="UN263" s="309"/>
      <c r="UO263" s="309"/>
      <c r="UP263" s="309"/>
      <c r="UQ263" s="309"/>
      <c r="UR263" s="309"/>
      <c r="US263" s="309"/>
      <c r="UT263" s="309"/>
      <c r="UU263" s="309"/>
      <c r="UV263" s="309"/>
      <c r="UW263" s="309"/>
      <c r="UX263" s="309"/>
      <c r="UY263" s="309"/>
      <c r="UZ263" s="309"/>
      <c r="VA263" s="309"/>
      <c r="VB263" s="309"/>
      <c r="VC263" s="309"/>
      <c r="VD263" s="309"/>
      <c r="VE263" s="309"/>
      <c r="VF263" s="309"/>
      <c r="VG263" s="309"/>
      <c r="VH263" s="309"/>
      <c r="VI263" s="309"/>
      <c r="VJ263" s="309"/>
      <c r="VK263" s="309"/>
      <c r="VL263" s="309"/>
      <c r="VM263" s="309"/>
      <c r="VN263" s="309"/>
      <c r="VO263" s="309"/>
      <c r="VP263" s="309"/>
      <c r="VQ263" s="309"/>
      <c r="VR263" s="309"/>
      <c r="VS263" s="309"/>
      <c r="VT263" s="309"/>
      <c r="VU263" s="309"/>
      <c r="VV263" s="309"/>
      <c r="VW263" s="309"/>
      <c r="VX263" s="309"/>
      <c r="VY263" s="309"/>
      <c r="VZ263" s="309"/>
      <c r="WA263" s="309"/>
      <c r="WB263" s="309"/>
      <c r="WC263" s="309"/>
      <c r="WD263" s="309"/>
      <c r="WE263" s="309"/>
      <c r="WF263" s="309"/>
      <c r="WG263" s="309"/>
      <c r="WH263" s="309"/>
      <c r="WI263" s="309"/>
      <c r="WJ263" s="309"/>
      <c r="WK263" s="309"/>
      <c r="WL263" s="309"/>
      <c r="WM263" s="309"/>
      <c r="WN263" s="309"/>
      <c r="WO263" s="309"/>
      <c r="WP263" s="309"/>
      <c r="WQ263" s="309"/>
      <c r="WR263" s="309"/>
      <c r="WS263" s="309"/>
      <c r="WT263" s="309"/>
      <c r="WU263" s="309"/>
      <c r="WV263" s="309"/>
      <c r="WW263" s="309"/>
      <c r="WX263" s="309"/>
      <c r="WY263" s="309"/>
      <c r="WZ263" s="309"/>
      <c r="XA263" s="309"/>
      <c r="XB263" s="309"/>
      <c r="XC263" s="309"/>
      <c r="XD263" s="309"/>
      <c r="XE263" s="309"/>
      <c r="XF263" s="309"/>
      <c r="XG263" s="309"/>
      <c r="XH263" s="309"/>
      <c r="XI263" s="309"/>
      <c r="XJ263" s="309"/>
      <c r="XK263" s="309"/>
      <c r="XL263" s="309"/>
      <c r="XM263" s="309"/>
      <c r="XN263" s="309"/>
      <c r="XO263" s="309"/>
      <c r="XP263" s="309"/>
      <c r="XQ263" s="309"/>
      <c r="XR263" s="309"/>
      <c r="XS263" s="309"/>
      <c r="XT263" s="309"/>
      <c r="XU263" s="309"/>
      <c r="XV263" s="309"/>
      <c r="XW263" s="309"/>
      <c r="XX263" s="309"/>
      <c r="XY263" s="309"/>
      <c r="XZ263" s="309"/>
      <c r="YA263" s="309"/>
      <c r="YB263" s="309"/>
      <c r="YC263" s="309"/>
      <c r="YD263" s="309"/>
      <c r="YE263" s="309"/>
      <c r="YF263" s="309"/>
      <c r="YG263" s="309"/>
      <c r="YH263" s="309"/>
      <c r="YI263" s="309"/>
      <c r="YJ263" s="309"/>
      <c r="YK263" s="309"/>
      <c r="YL263" s="309"/>
      <c r="YM263" s="309"/>
      <c r="YN263" s="309"/>
      <c r="YO263" s="309"/>
      <c r="YP263" s="309"/>
      <c r="YQ263" s="309"/>
      <c r="YR263" s="309"/>
      <c r="YS263" s="309"/>
      <c r="YT263" s="309"/>
      <c r="YU263" s="309"/>
      <c r="YV263" s="309"/>
      <c r="YW263" s="309"/>
      <c r="YX263" s="309"/>
      <c r="YY263" s="309"/>
      <c r="YZ263" s="309"/>
      <c r="ZA263" s="309"/>
      <c r="ZB263" s="309"/>
      <c r="ZC263" s="309"/>
      <c r="ZD263" s="309"/>
      <c r="ZE263" s="309"/>
      <c r="ZF263" s="309"/>
      <c r="ZG263" s="309"/>
      <c r="ZH263" s="309"/>
      <c r="ZI263" s="309"/>
      <c r="ZJ263" s="309"/>
    </row>
    <row r="264" spans="5:686" s="308" customFormat="1" x14ac:dyDescent="0.3">
      <c r="E264" s="337"/>
      <c r="F264" s="337"/>
      <c r="G264" s="171"/>
      <c r="H264" s="1"/>
      <c r="Y264" s="309"/>
      <c r="Z264" s="309"/>
      <c r="AA264" s="309"/>
      <c r="AB264" s="309"/>
      <c r="AC264" s="309"/>
      <c r="AD264" s="309"/>
      <c r="AE264" s="309"/>
      <c r="AF264" s="309"/>
      <c r="AG264" s="309"/>
      <c r="AH264" s="309"/>
      <c r="AI264" s="309"/>
      <c r="AJ264" s="309"/>
      <c r="AK264" s="309"/>
      <c r="AL264" s="309"/>
      <c r="AM264" s="309"/>
      <c r="AN264" s="309"/>
      <c r="AO264" s="309"/>
      <c r="AP264" s="309"/>
      <c r="AQ264" s="309"/>
      <c r="AR264" s="309"/>
      <c r="AS264" s="309"/>
      <c r="AT264" s="309"/>
      <c r="AU264" s="309"/>
      <c r="AV264" s="309"/>
      <c r="AW264" s="309"/>
      <c r="AX264" s="309"/>
      <c r="AY264" s="309"/>
      <c r="AZ264" s="309"/>
      <c r="BA264" s="309"/>
      <c r="BB264" s="309"/>
      <c r="BC264" s="309"/>
      <c r="BD264" s="309"/>
      <c r="BE264" s="309"/>
      <c r="BF264" s="309"/>
      <c r="BG264" s="309"/>
      <c r="BH264" s="309"/>
      <c r="BI264" s="309"/>
      <c r="BJ264" s="309"/>
      <c r="BK264" s="309"/>
      <c r="BL264" s="309"/>
      <c r="BM264" s="309"/>
      <c r="BN264" s="309"/>
      <c r="BO264" s="309"/>
      <c r="BP264" s="309"/>
      <c r="BQ264" s="309"/>
      <c r="BR264" s="309"/>
      <c r="BS264" s="309"/>
      <c r="BT264" s="309"/>
      <c r="BU264" s="309"/>
      <c r="BV264" s="309"/>
      <c r="BW264" s="309"/>
      <c r="BX264" s="309"/>
      <c r="BY264" s="309"/>
      <c r="BZ264" s="309"/>
      <c r="CA264" s="309"/>
      <c r="CB264" s="309"/>
      <c r="CC264" s="309"/>
      <c r="CD264" s="309"/>
      <c r="CE264" s="309"/>
      <c r="CF264" s="309"/>
      <c r="CG264" s="309"/>
      <c r="CH264" s="309"/>
      <c r="CI264" s="309"/>
      <c r="CJ264" s="309"/>
      <c r="CK264" s="309"/>
      <c r="CL264" s="309"/>
      <c r="CM264" s="309"/>
      <c r="CN264" s="309"/>
      <c r="CO264" s="309"/>
      <c r="CP264" s="309"/>
      <c r="CQ264" s="309"/>
      <c r="CR264" s="309"/>
      <c r="CS264" s="309"/>
      <c r="CT264" s="309"/>
      <c r="CU264" s="309"/>
      <c r="CV264" s="309"/>
      <c r="CW264" s="309"/>
      <c r="CX264" s="309"/>
      <c r="CY264" s="309"/>
      <c r="CZ264" s="309"/>
      <c r="DA264" s="309"/>
      <c r="DB264" s="309"/>
      <c r="DC264" s="309"/>
      <c r="DD264" s="309"/>
      <c r="DE264" s="309"/>
      <c r="DF264" s="309"/>
      <c r="DG264" s="309"/>
      <c r="DH264" s="309"/>
      <c r="DI264" s="309"/>
      <c r="DJ264" s="309"/>
      <c r="DK264" s="309"/>
      <c r="DL264" s="309"/>
      <c r="DM264" s="309"/>
      <c r="DN264" s="309"/>
      <c r="DO264" s="309"/>
      <c r="DP264" s="309"/>
      <c r="DQ264" s="309"/>
      <c r="DR264" s="309"/>
      <c r="DS264" s="309"/>
      <c r="DT264" s="309"/>
      <c r="DU264" s="309"/>
      <c r="DV264" s="309"/>
      <c r="DW264" s="309"/>
      <c r="DX264" s="309"/>
      <c r="DY264" s="309"/>
      <c r="DZ264" s="309"/>
      <c r="EA264" s="309"/>
      <c r="EB264" s="309"/>
      <c r="EC264" s="309"/>
      <c r="ED264" s="309"/>
      <c r="EE264" s="309"/>
      <c r="EF264" s="309"/>
      <c r="EG264" s="309"/>
      <c r="EH264" s="309"/>
      <c r="EI264" s="309"/>
      <c r="EJ264" s="309"/>
      <c r="EK264" s="309"/>
      <c r="EL264" s="309"/>
      <c r="EM264" s="309"/>
      <c r="EN264" s="309"/>
      <c r="EO264" s="309"/>
      <c r="EP264" s="309"/>
      <c r="EQ264" s="309"/>
      <c r="ER264" s="309"/>
      <c r="ES264" s="309"/>
      <c r="ET264" s="309"/>
      <c r="EU264" s="309"/>
      <c r="EV264" s="309"/>
      <c r="EW264" s="309"/>
      <c r="EX264" s="309"/>
      <c r="EY264" s="309"/>
      <c r="EZ264" s="309"/>
      <c r="FA264" s="309"/>
      <c r="FB264" s="309"/>
      <c r="FC264" s="309"/>
      <c r="FD264" s="309"/>
      <c r="FE264" s="309"/>
      <c r="FF264" s="309"/>
      <c r="FG264" s="309"/>
      <c r="FH264" s="309"/>
      <c r="FI264" s="309"/>
      <c r="FJ264" s="309"/>
      <c r="FK264" s="309"/>
      <c r="FL264" s="309"/>
      <c r="FM264" s="309"/>
      <c r="FN264" s="309"/>
      <c r="FO264" s="309"/>
      <c r="FP264" s="309"/>
      <c r="FQ264" s="309"/>
      <c r="FR264" s="309"/>
      <c r="FS264" s="309"/>
      <c r="FT264" s="309"/>
      <c r="FU264" s="309"/>
      <c r="FV264" s="309"/>
      <c r="FW264" s="309"/>
      <c r="FX264" s="309"/>
      <c r="FY264" s="309"/>
      <c r="FZ264" s="309"/>
      <c r="GA264" s="309"/>
      <c r="GB264" s="309"/>
      <c r="GC264" s="309"/>
      <c r="GD264" s="309"/>
      <c r="GE264" s="309"/>
      <c r="GF264" s="309"/>
      <c r="GG264" s="309"/>
      <c r="GH264" s="309"/>
      <c r="GI264" s="309"/>
      <c r="GJ264" s="309"/>
      <c r="GK264" s="309"/>
      <c r="GL264" s="309"/>
      <c r="GM264" s="309"/>
      <c r="GN264" s="309"/>
      <c r="GO264" s="309"/>
      <c r="GP264" s="309"/>
      <c r="GQ264" s="309"/>
      <c r="GR264" s="309"/>
      <c r="GS264" s="309"/>
      <c r="GT264" s="309"/>
      <c r="GU264" s="309"/>
      <c r="GV264" s="309"/>
      <c r="GW264" s="309"/>
      <c r="GX264" s="309"/>
      <c r="GY264" s="309"/>
      <c r="GZ264" s="309"/>
      <c r="HA264" s="309"/>
      <c r="HB264" s="309"/>
      <c r="HC264" s="309"/>
      <c r="HD264" s="309"/>
      <c r="HE264" s="309"/>
      <c r="HF264" s="309"/>
      <c r="HG264" s="309"/>
      <c r="HH264" s="309"/>
      <c r="HI264" s="309"/>
      <c r="HJ264" s="309"/>
      <c r="HK264" s="309"/>
      <c r="HL264" s="309"/>
      <c r="HM264" s="309"/>
      <c r="HN264" s="309"/>
      <c r="HO264" s="309"/>
      <c r="HP264" s="309"/>
      <c r="HQ264" s="309"/>
      <c r="HR264" s="309"/>
      <c r="HS264" s="309"/>
      <c r="HT264" s="309"/>
      <c r="HU264" s="309"/>
      <c r="HV264" s="309"/>
      <c r="HW264" s="309"/>
      <c r="HX264" s="309"/>
      <c r="HY264" s="309"/>
      <c r="HZ264" s="309"/>
      <c r="IA264" s="309"/>
      <c r="IB264" s="309"/>
      <c r="IC264" s="309"/>
      <c r="ID264" s="309"/>
      <c r="IE264" s="309"/>
      <c r="IF264" s="309"/>
      <c r="IG264" s="309"/>
      <c r="IH264" s="309"/>
      <c r="II264" s="309"/>
      <c r="IJ264" s="309"/>
      <c r="IK264" s="309"/>
      <c r="IL264" s="309"/>
      <c r="IM264" s="309"/>
      <c r="IN264" s="309"/>
      <c r="IO264" s="309"/>
      <c r="IP264" s="309"/>
      <c r="IQ264" s="309"/>
      <c r="IR264" s="309"/>
      <c r="IS264" s="309"/>
      <c r="IT264" s="309"/>
      <c r="IU264" s="309"/>
      <c r="IV264" s="309"/>
      <c r="IW264" s="309"/>
      <c r="IX264" s="309"/>
      <c r="IY264" s="309"/>
      <c r="IZ264" s="309"/>
      <c r="JA264" s="309"/>
      <c r="JB264" s="309"/>
      <c r="JC264" s="309"/>
      <c r="JD264" s="309"/>
      <c r="JE264" s="309"/>
      <c r="JF264" s="309"/>
      <c r="JG264" s="309"/>
      <c r="JH264" s="309"/>
      <c r="JI264" s="309"/>
      <c r="JJ264" s="309"/>
      <c r="JK264" s="309"/>
      <c r="JL264" s="309"/>
      <c r="JM264" s="309"/>
      <c r="JN264" s="309"/>
      <c r="JO264" s="309"/>
      <c r="JP264" s="309"/>
      <c r="JQ264" s="309"/>
      <c r="JR264" s="309"/>
      <c r="JS264" s="309"/>
      <c r="JT264" s="309"/>
      <c r="JU264" s="309"/>
      <c r="JV264" s="309"/>
      <c r="JW264" s="309"/>
      <c r="JX264" s="309"/>
      <c r="JY264" s="309"/>
      <c r="JZ264" s="309"/>
      <c r="KA264" s="309"/>
      <c r="KB264" s="309"/>
      <c r="KC264" s="309"/>
      <c r="KD264" s="309"/>
      <c r="KE264" s="309"/>
      <c r="KF264" s="309"/>
      <c r="KG264" s="309"/>
      <c r="KH264" s="309"/>
      <c r="KI264" s="309"/>
      <c r="KJ264" s="309"/>
      <c r="KK264" s="309"/>
      <c r="KL264" s="309"/>
      <c r="KM264" s="309"/>
      <c r="KN264" s="309"/>
      <c r="KO264" s="309"/>
      <c r="KP264" s="309"/>
      <c r="KQ264" s="309"/>
      <c r="KR264" s="309"/>
      <c r="KS264" s="309"/>
      <c r="KT264" s="309"/>
      <c r="KU264" s="309"/>
      <c r="KV264" s="309"/>
      <c r="KW264" s="309"/>
      <c r="KX264" s="309"/>
      <c r="KY264" s="309"/>
      <c r="KZ264" s="309"/>
      <c r="LA264" s="309"/>
      <c r="LB264" s="309"/>
      <c r="LC264" s="309"/>
      <c r="LD264" s="309"/>
      <c r="LE264" s="309"/>
      <c r="LF264" s="309"/>
      <c r="LG264" s="309"/>
      <c r="LH264" s="309"/>
      <c r="LI264" s="309"/>
      <c r="LJ264" s="309"/>
      <c r="LK264" s="309"/>
      <c r="LL264" s="309"/>
      <c r="LM264" s="309"/>
      <c r="LN264" s="309"/>
      <c r="LO264" s="309"/>
      <c r="LP264" s="309"/>
      <c r="LQ264" s="309"/>
      <c r="LR264" s="309"/>
      <c r="LS264" s="309"/>
      <c r="LT264" s="309"/>
      <c r="LU264" s="309"/>
      <c r="LV264" s="309"/>
      <c r="LW264" s="309"/>
      <c r="LX264" s="309"/>
      <c r="LY264" s="309"/>
      <c r="LZ264" s="309"/>
      <c r="MA264" s="309"/>
      <c r="MB264" s="309"/>
      <c r="MC264" s="309"/>
      <c r="MD264" s="309"/>
      <c r="ME264" s="309"/>
      <c r="MF264" s="309"/>
      <c r="MG264" s="309"/>
      <c r="MH264" s="309"/>
      <c r="MI264" s="309"/>
      <c r="MJ264" s="309"/>
      <c r="MK264" s="309"/>
      <c r="ML264" s="309"/>
      <c r="MM264" s="309"/>
      <c r="MN264" s="309"/>
      <c r="MO264" s="309"/>
      <c r="MP264" s="309"/>
      <c r="MQ264" s="309"/>
      <c r="MR264" s="309"/>
      <c r="MS264" s="309"/>
      <c r="MT264" s="309"/>
      <c r="MU264" s="309"/>
      <c r="MV264" s="309"/>
      <c r="MW264" s="309"/>
      <c r="MX264" s="309"/>
      <c r="MY264" s="309"/>
      <c r="MZ264" s="309"/>
      <c r="NA264" s="309"/>
      <c r="NB264" s="309"/>
      <c r="NC264" s="309"/>
      <c r="ND264" s="309"/>
      <c r="NE264" s="309"/>
      <c r="NF264" s="309"/>
      <c r="NG264" s="309"/>
      <c r="NH264" s="309"/>
      <c r="NI264" s="309"/>
      <c r="NJ264" s="309"/>
      <c r="NK264" s="309"/>
      <c r="NL264" s="309"/>
      <c r="NM264" s="309"/>
      <c r="NN264" s="309"/>
      <c r="NO264" s="309"/>
      <c r="NP264" s="309"/>
      <c r="NQ264" s="309"/>
      <c r="NR264" s="309"/>
      <c r="NS264" s="309"/>
      <c r="NT264" s="309"/>
      <c r="NU264" s="309"/>
      <c r="NV264" s="309"/>
      <c r="NW264" s="309"/>
      <c r="NX264" s="309"/>
      <c r="NY264" s="309"/>
      <c r="NZ264" s="309"/>
      <c r="OA264" s="309"/>
      <c r="OB264" s="309"/>
      <c r="OC264" s="309"/>
      <c r="OD264" s="309"/>
      <c r="OE264" s="309"/>
      <c r="OF264" s="309"/>
      <c r="OG264" s="309"/>
      <c r="OH264" s="309"/>
      <c r="OI264" s="309"/>
      <c r="OJ264" s="309"/>
      <c r="OK264" s="309"/>
      <c r="OL264" s="309"/>
      <c r="OM264" s="309"/>
      <c r="ON264" s="309"/>
      <c r="OO264" s="309"/>
      <c r="OP264" s="309"/>
      <c r="OQ264" s="309"/>
      <c r="OR264" s="309"/>
      <c r="OS264" s="309"/>
      <c r="OT264" s="309"/>
      <c r="OU264" s="309"/>
      <c r="OV264" s="309"/>
      <c r="OW264" s="309"/>
      <c r="OX264" s="309"/>
      <c r="OY264" s="309"/>
      <c r="OZ264" s="309"/>
      <c r="PA264" s="309"/>
      <c r="PB264" s="309"/>
      <c r="PC264" s="309"/>
      <c r="PD264" s="309"/>
      <c r="PE264" s="309"/>
      <c r="PF264" s="309"/>
      <c r="PG264" s="309"/>
      <c r="PH264" s="309"/>
      <c r="PI264" s="309"/>
      <c r="PJ264" s="309"/>
      <c r="PK264" s="309"/>
      <c r="PL264" s="309"/>
      <c r="PM264" s="309"/>
      <c r="PN264" s="309"/>
      <c r="PO264" s="309"/>
      <c r="PP264" s="309"/>
      <c r="PQ264" s="309"/>
      <c r="PR264" s="309"/>
      <c r="PS264" s="309"/>
      <c r="PT264" s="309"/>
      <c r="PU264" s="309"/>
      <c r="PV264" s="309"/>
      <c r="PW264" s="309"/>
      <c r="PX264" s="309"/>
      <c r="PY264" s="309"/>
      <c r="PZ264" s="309"/>
      <c r="QA264" s="309"/>
      <c r="QB264" s="309"/>
      <c r="QC264" s="309"/>
      <c r="QD264" s="309"/>
      <c r="QE264" s="309"/>
      <c r="QF264" s="309"/>
      <c r="QG264" s="309"/>
      <c r="QH264" s="309"/>
      <c r="QI264" s="309"/>
      <c r="QJ264" s="309"/>
      <c r="QK264" s="309"/>
      <c r="QL264" s="309"/>
      <c r="QM264" s="309"/>
      <c r="QN264" s="309"/>
      <c r="QO264" s="309"/>
      <c r="QP264" s="309"/>
      <c r="QQ264" s="309"/>
      <c r="QR264" s="309"/>
      <c r="QS264" s="309"/>
      <c r="QT264" s="309"/>
      <c r="QU264" s="309"/>
      <c r="QV264" s="309"/>
      <c r="QW264" s="309"/>
      <c r="QX264" s="309"/>
      <c r="QY264" s="309"/>
      <c r="QZ264" s="309"/>
      <c r="RA264" s="309"/>
      <c r="RB264" s="309"/>
      <c r="RC264" s="309"/>
      <c r="RD264" s="309"/>
      <c r="RE264" s="309"/>
      <c r="RF264" s="309"/>
      <c r="RG264" s="309"/>
      <c r="RH264" s="309"/>
      <c r="RI264" s="309"/>
      <c r="RJ264" s="309"/>
      <c r="RK264" s="309"/>
      <c r="RL264" s="309"/>
      <c r="RM264" s="309"/>
      <c r="RN264" s="309"/>
      <c r="RO264" s="309"/>
      <c r="RP264" s="309"/>
      <c r="RQ264" s="309"/>
      <c r="RR264" s="309"/>
      <c r="RS264" s="309"/>
      <c r="RT264" s="309"/>
      <c r="RU264" s="309"/>
      <c r="RV264" s="309"/>
      <c r="RW264" s="309"/>
      <c r="RX264" s="309"/>
      <c r="RY264" s="309"/>
      <c r="RZ264" s="309"/>
      <c r="SA264" s="309"/>
      <c r="SB264" s="309"/>
      <c r="SC264" s="309"/>
      <c r="SD264" s="309"/>
      <c r="SE264" s="309"/>
      <c r="SF264" s="309"/>
      <c r="SG264" s="309"/>
      <c r="SH264" s="309"/>
      <c r="SI264" s="309"/>
      <c r="SJ264" s="309"/>
      <c r="SK264" s="309"/>
      <c r="SL264" s="309"/>
      <c r="SM264" s="309"/>
      <c r="SN264" s="309"/>
      <c r="SO264" s="309"/>
      <c r="SP264" s="309"/>
      <c r="SQ264" s="309"/>
      <c r="SR264" s="309"/>
      <c r="SS264" s="309"/>
      <c r="ST264" s="309"/>
      <c r="SU264" s="309"/>
      <c r="SV264" s="309"/>
      <c r="SW264" s="309"/>
      <c r="SX264" s="309"/>
      <c r="SY264" s="309"/>
      <c r="SZ264" s="309"/>
      <c r="TA264" s="309"/>
      <c r="TB264" s="309"/>
      <c r="TC264" s="309"/>
      <c r="TD264" s="309"/>
      <c r="TE264" s="309"/>
      <c r="TF264" s="309"/>
      <c r="TG264" s="309"/>
      <c r="TH264" s="309"/>
      <c r="TI264" s="309"/>
      <c r="TJ264" s="309"/>
      <c r="TK264" s="309"/>
      <c r="TL264" s="309"/>
      <c r="TM264" s="309"/>
      <c r="TN264" s="309"/>
      <c r="TO264" s="309"/>
      <c r="TP264" s="309"/>
      <c r="TQ264" s="309"/>
      <c r="TR264" s="309"/>
      <c r="TS264" s="309"/>
      <c r="TT264" s="309"/>
      <c r="TU264" s="309"/>
      <c r="TV264" s="309"/>
      <c r="TW264" s="309"/>
      <c r="TX264" s="309"/>
      <c r="TY264" s="309"/>
      <c r="TZ264" s="309"/>
      <c r="UA264" s="309"/>
      <c r="UB264" s="309"/>
      <c r="UC264" s="309"/>
      <c r="UD264" s="309"/>
      <c r="UE264" s="309"/>
      <c r="UF264" s="309"/>
      <c r="UG264" s="309"/>
      <c r="UH264" s="309"/>
      <c r="UI264" s="309"/>
      <c r="UJ264" s="309"/>
      <c r="UK264" s="309"/>
      <c r="UL264" s="309"/>
      <c r="UM264" s="309"/>
      <c r="UN264" s="309"/>
      <c r="UO264" s="309"/>
      <c r="UP264" s="309"/>
      <c r="UQ264" s="309"/>
      <c r="UR264" s="309"/>
      <c r="US264" s="309"/>
      <c r="UT264" s="309"/>
      <c r="UU264" s="309"/>
      <c r="UV264" s="309"/>
      <c r="UW264" s="309"/>
      <c r="UX264" s="309"/>
      <c r="UY264" s="309"/>
      <c r="UZ264" s="309"/>
      <c r="VA264" s="309"/>
      <c r="VB264" s="309"/>
      <c r="VC264" s="309"/>
      <c r="VD264" s="309"/>
      <c r="VE264" s="309"/>
      <c r="VF264" s="309"/>
      <c r="VG264" s="309"/>
      <c r="VH264" s="309"/>
      <c r="VI264" s="309"/>
      <c r="VJ264" s="309"/>
      <c r="VK264" s="309"/>
      <c r="VL264" s="309"/>
      <c r="VM264" s="309"/>
      <c r="VN264" s="309"/>
      <c r="VO264" s="309"/>
      <c r="VP264" s="309"/>
      <c r="VQ264" s="309"/>
      <c r="VR264" s="309"/>
      <c r="VS264" s="309"/>
      <c r="VT264" s="309"/>
      <c r="VU264" s="309"/>
      <c r="VV264" s="309"/>
      <c r="VW264" s="309"/>
      <c r="VX264" s="309"/>
      <c r="VY264" s="309"/>
      <c r="VZ264" s="309"/>
      <c r="WA264" s="309"/>
      <c r="WB264" s="309"/>
      <c r="WC264" s="309"/>
      <c r="WD264" s="309"/>
      <c r="WE264" s="309"/>
      <c r="WF264" s="309"/>
      <c r="WG264" s="309"/>
      <c r="WH264" s="309"/>
      <c r="WI264" s="309"/>
      <c r="WJ264" s="309"/>
      <c r="WK264" s="309"/>
      <c r="WL264" s="309"/>
      <c r="WM264" s="309"/>
      <c r="WN264" s="309"/>
      <c r="WO264" s="309"/>
      <c r="WP264" s="309"/>
      <c r="WQ264" s="309"/>
      <c r="WR264" s="309"/>
      <c r="WS264" s="309"/>
      <c r="WT264" s="309"/>
      <c r="WU264" s="309"/>
      <c r="WV264" s="309"/>
      <c r="WW264" s="309"/>
      <c r="WX264" s="309"/>
      <c r="WY264" s="309"/>
      <c r="WZ264" s="309"/>
      <c r="XA264" s="309"/>
      <c r="XB264" s="309"/>
      <c r="XC264" s="309"/>
      <c r="XD264" s="309"/>
      <c r="XE264" s="309"/>
      <c r="XF264" s="309"/>
      <c r="XG264" s="309"/>
      <c r="XH264" s="309"/>
      <c r="XI264" s="309"/>
      <c r="XJ264" s="309"/>
      <c r="XK264" s="309"/>
      <c r="XL264" s="309"/>
      <c r="XM264" s="309"/>
      <c r="XN264" s="309"/>
      <c r="XO264" s="309"/>
      <c r="XP264" s="309"/>
      <c r="XQ264" s="309"/>
      <c r="XR264" s="309"/>
      <c r="XS264" s="309"/>
      <c r="XT264" s="309"/>
      <c r="XU264" s="309"/>
      <c r="XV264" s="309"/>
      <c r="XW264" s="309"/>
      <c r="XX264" s="309"/>
      <c r="XY264" s="309"/>
      <c r="XZ264" s="309"/>
      <c r="YA264" s="309"/>
      <c r="YB264" s="309"/>
      <c r="YC264" s="309"/>
      <c r="YD264" s="309"/>
      <c r="YE264" s="309"/>
      <c r="YF264" s="309"/>
      <c r="YG264" s="309"/>
      <c r="YH264" s="309"/>
      <c r="YI264" s="309"/>
      <c r="YJ264" s="309"/>
      <c r="YK264" s="309"/>
      <c r="YL264" s="309"/>
      <c r="YM264" s="309"/>
      <c r="YN264" s="309"/>
      <c r="YO264" s="309"/>
      <c r="YP264" s="309"/>
      <c r="YQ264" s="309"/>
      <c r="YR264" s="309"/>
      <c r="YS264" s="309"/>
      <c r="YT264" s="309"/>
      <c r="YU264" s="309"/>
      <c r="YV264" s="309"/>
      <c r="YW264" s="309"/>
      <c r="YX264" s="309"/>
      <c r="YY264" s="309"/>
      <c r="YZ264" s="309"/>
      <c r="ZA264" s="309"/>
      <c r="ZB264" s="309"/>
      <c r="ZC264" s="309"/>
      <c r="ZD264" s="309"/>
      <c r="ZE264" s="309"/>
      <c r="ZF264" s="309"/>
      <c r="ZG264" s="309"/>
      <c r="ZH264" s="309"/>
      <c r="ZI264" s="309"/>
      <c r="ZJ264" s="309"/>
    </row>
    <row r="265" spans="5:686" s="308" customFormat="1" x14ac:dyDescent="0.3">
      <c r="E265" s="337"/>
      <c r="F265" s="337"/>
      <c r="G265" s="171"/>
      <c r="H265" s="1"/>
      <c r="Y265" s="309"/>
      <c r="Z265" s="309"/>
      <c r="AA265" s="309"/>
      <c r="AB265" s="309"/>
      <c r="AC265" s="309"/>
      <c r="AD265" s="309"/>
      <c r="AE265" s="309"/>
      <c r="AF265" s="309"/>
      <c r="AG265" s="309"/>
      <c r="AH265" s="309"/>
      <c r="AI265" s="309"/>
      <c r="AJ265" s="309"/>
      <c r="AK265" s="309"/>
      <c r="AL265" s="309"/>
      <c r="AM265" s="309"/>
      <c r="AN265" s="309"/>
      <c r="AO265" s="309"/>
      <c r="AP265" s="309"/>
      <c r="AQ265" s="309"/>
      <c r="AR265" s="309"/>
      <c r="AS265" s="309"/>
      <c r="AT265" s="309"/>
      <c r="AU265" s="309"/>
      <c r="AV265" s="309"/>
      <c r="AW265" s="309"/>
      <c r="AX265" s="309"/>
      <c r="AY265" s="309"/>
      <c r="AZ265" s="309"/>
      <c r="BA265" s="309"/>
      <c r="BB265" s="309"/>
      <c r="BC265" s="309"/>
      <c r="BD265" s="309"/>
      <c r="BE265" s="309"/>
      <c r="BF265" s="309"/>
      <c r="BG265" s="309"/>
      <c r="BH265" s="309"/>
      <c r="BI265" s="309"/>
      <c r="BJ265" s="309"/>
      <c r="BK265" s="309"/>
      <c r="BL265" s="309"/>
      <c r="BM265" s="309"/>
      <c r="BN265" s="309"/>
      <c r="BO265" s="309"/>
      <c r="BP265" s="309"/>
      <c r="BQ265" s="309"/>
      <c r="BR265" s="309"/>
      <c r="BS265" s="309"/>
      <c r="BT265" s="309"/>
      <c r="BU265" s="309"/>
      <c r="BV265" s="309"/>
      <c r="BW265" s="309"/>
      <c r="BX265" s="309"/>
      <c r="BY265" s="309"/>
      <c r="BZ265" s="309"/>
      <c r="CA265" s="309"/>
      <c r="CB265" s="309"/>
      <c r="CC265" s="309"/>
      <c r="CD265" s="309"/>
      <c r="CE265" s="309"/>
      <c r="CF265" s="309"/>
      <c r="CG265" s="309"/>
      <c r="CH265" s="309"/>
      <c r="CI265" s="309"/>
      <c r="CJ265" s="309"/>
      <c r="CK265" s="309"/>
      <c r="CL265" s="309"/>
      <c r="CM265" s="309"/>
      <c r="CN265" s="309"/>
      <c r="CO265" s="309"/>
      <c r="CP265" s="309"/>
      <c r="CQ265" s="309"/>
      <c r="CR265" s="309"/>
      <c r="CS265" s="309"/>
      <c r="CT265" s="309"/>
      <c r="CU265" s="309"/>
      <c r="CV265" s="309"/>
      <c r="CW265" s="309"/>
      <c r="CX265" s="309"/>
      <c r="CY265" s="309"/>
      <c r="CZ265" s="309"/>
      <c r="DA265" s="309"/>
      <c r="DB265" s="309"/>
      <c r="DC265" s="309"/>
      <c r="DD265" s="309"/>
      <c r="DE265" s="309"/>
      <c r="DF265" s="309"/>
      <c r="DG265" s="309"/>
      <c r="DH265" s="309"/>
      <c r="DI265" s="309"/>
      <c r="DJ265" s="309"/>
      <c r="DK265" s="309"/>
      <c r="DL265" s="309"/>
      <c r="DM265" s="309"/>
      <c r="DN265" s="309"/>
      <c r="DO265" s="309"/>
      <c r="DP265" s="309"/>
      <c r="DQ265" s="309"/>
      <c r="DR265" s="309"/>
      <c r="DS265" s="309"/>
      <c r="DT265" s="309"/>
      <c r="DU265" s="309"/>
      <c r="DV265" s="309"/>
      <c r="DW265" s="309"/>
      <c r="DX265" s="309"/>
      <c r="DY265" s="309"/>
      <c r="DZ265" s="309"/>
      <c r="EA265" s="309"/>
      <c r="EB265" s="309"/>
      <c r="EC265" s="309"/>
      <c r="ED265" s="309"/>
      <c r="EE265" s="309"/>
      <c r="EF265" s="309"/>
      <c r="EG265" s="309"/>
      <c r="EH265" s="309"/>
      <c r="EI265" s="309"/>
      <c r="EJ265" s="309"/>
      <c r="EK265" s="309"/>
      <c r="EL265" s="309"/>
      <c r="EM265" s="309"/>
      <c r="EN265" s="309"/>
      <c r="EO265" s="309"/>
      <c r="EP265" s="309"/>
      <c r="EQ265" s="309"/>
      <c r="ER265" s="309"/>
      <c r="ES265" s="309"/>
      <c r="ET265" s="309"/>
      <c r="EU265" s="309"/>
      <c r="EV265" s="309"/>
      <c r="EW265" s="309"/>
      <c r="EX265" s="309"/>
      <c r="EY265" s="309"/>
      <c r="EZ265" s="309"/>
      <c r="FA265" s="309"/>
      <c r="FB265" s="309"/>
      <c r="FC265" s="309"/>
      <c r="FD265" s="309"/>
      <c r="FE265" s="309"/>
      <c r="FF265" s="309"/>
      <c r="FG265" s="309"/>
      <c r="FH265" s="309"/>
      <c r="FI265" s="309"/>
      <c r="FJ265" s="309"/>
      <c r="FK265" s="309"/>
      <c r="FL265" s="309"/>
      <c r="FM265" s="309"/>
      <c r="FN265" s="309"/>
      <c r="FO265" s="309"/>
      <c r="FP265" s="309"/>
      <c r="FQ265" s="309"/>
      <c r="FR265" s="309"/>
      <c r="FS265" s="309"/>
      <c r="FT265" s="309"/>
      <c r="FU265" s="309"/>
      <c r="FV265" s="309"/>
      <c r="FW265" s="309"/>
      <c r="FX265" s="309"/>
      <c r="FY265" s="309"/>
      <c r="FZ265" s="309"/>
      <c r="GA265" s="309"/>
      <c r="GB265" s="309"/>
      <c r="GC265" s="309"/>
      <c r="GD265" s="309"/>
      <c r="GE265" s="309"/>
      <c r="GF265" s="309"/>
      <c r="GG265" s="309"/>
      <c r="GH265" s="309"/>
      <c r="GI265" s="309"/>
      <c r="GJ265" s="309"/>
      <c r="GK265" s="309"/>
      <c r="GL265" s="309"/>
      <c r="GM265" s="309"/>
      <c r="GN265" s="309"/>
      <c r="GO265" s="309"/>
      <c r="GP265" s="309"/>
      <c r="GQ265" s="309"/>
      <c r="GR265" s="309"/>
      <c r="GS265" s="309"/>
      <c r="GT265" s="309"/>
      <c r="GU265" s="309"/>
      <c r="GV265" s="309"/>
      <c r="GW265" s="309"/>
      <c r="GX265" s="309"/>
      <c r="GY265" s="309"/>
      <c r="GZ265" s="309"/>
      <c r="HA265" s="309"/>
      <c r="HB265" s="309"/>
      <c r="HC265" s="309"/>
      <c r="HD265" s="309"/>
      <c r="HE265" s="309"/>
      <c r="HF265" s="309"/>
      <c r="HG265" s="309"/>
      <c r="HH265" s="309"/>
      <c r="HI265" s="309"/>
      <c r="HJ265" s="309"/>
      <c r="HK265" s="309"/>
      <c r="HL265" s="309"/>
      <c r="HM265" s="309"/>
      <c r="HN265" s="309"/>
      <c r="HO265" s="309"/>
      <c r="HP265" s="309"/>
      <c r="HQ265" s="309"/>
      <c r="HR265" s="309"/>
      <c r="HS265" s="309"/>
      <c r="HT265" s="309"/>
      <c r="HU265" s="309"/>
      <c r="HV265" s="309"/>
      <c r="HW265" s="309"/>
      <c r="HX265" s="309"/>
      <c r="HY265" s="309"/>
      <c r="HZ265" s="309"/>
      <c r="IA265" s="309"/>
      <c r="IB265" s="309"/>
      <c r="IC265" s="309"/>
      <c r="ID265" s="309"/>
      <c r="IE265" s="309"/>
      <c r="IF265" s="309"/>
      <c r="IG265" s="309"/>
      <c r="IH265" s="309"/>
      <c r="II265" s="309"/>
      <c r="IJ265" s="309"/>
      <c r="IK265" s="309"/>
      <c r="IL265" s="309"/>
      <c r="IM265" s="309"/>
      <c r="IN265" s="309"/>
      <c r="IO265" s="309"/>
      <c r="IP265" s="309"/>
      <c r="IQ265" s="309"/>
      <c r="IR265" s="309"/>
      <c r="IS265" s="309"/>
      <c r="IT265" s="309"/>
      <c r="IU265" s="309"/>
      <c r="IV265" s="309"/>
      <c r="IW265" s="309"/>
      <c r="IX265" s="309"/>
      <c r="IY265" s="309"/>
      <c r="IZ265" s="309"/>
      <c r="JA265" s="309"/>
      <c r="JB265" s="309"/>
      <c r="JC265" s="309"/>
      <c r="JD265" s="309"/>
      <c r="JE265" s="309"/>
      <c r="JF265" s="309"/>
      <c r="JG265" s="309"/>
      <c r="JH265" s="309"/>
      <c r="JI265" s="309"/>
      <c r="JJ265" s="309"/>
      <c r="JK265" s="309"/>
      <c r="JL265" s="309"/>
      <c r="JM265" s="309"/>
      <c r="JN265" s="309"/>
      <c r="JO265" s="309"/>
      <c r="JP265" s="309"/>
      <c r="JQ265" s="309"/>
      <c r="JR265" s="309"/>
      <c r="JS265" s="309"/>
      <c r="JT265" s="309"/>
      <c r="JU265" s="309"/>
      <c r="JV265" s="309"/>
      <c r="JW265" s="309"/>
      <c r="JX265" s="309"/>
      <c r="JY265" s="309"/>
      <c r="JZ265" s="309"/>
      <c r="KA265" s="309"/>
      <c r="KB265" s="309"/>
      <c r="KC265" s="309"/>
      <c r="KD265" s="309"/>
      <c r="KE265" s="309"/>
      <c r="KF265" s="309"/>
      <c r="KG265" s="309"/>
      <c r="KH265" s="309"/>
      <c r="KI265" s="309"/>
      <c r="KJ265" s="309"/>
      <c r="KK265" s="309"/>
      <c r="KL265" s="309"/>
      <c r="KM265" s="309"/>
      <c r="KN265" s="309"/>
      <c r="KO265" s="309"/>
      <c r="KP265" s="309"/>
      <c r="KQ265" s="309"/>
      <c r="KR265" s="309"/>
      <c r="KS265" s="309"/>
      <c r="KT265" s="309"/>
      <c r="KU265" s="309"/>
      <c r="KV265" s="309"/>
      <c r="KW265" s="309"/>
      <c r="KX265" s="309"/>
      <c r="KY265" s="309"/>
      <c r="KZ265" s="309"/>
      <c r="LA265" s="309"/>
      <c r="LB265" s="309"/>
      <c r="LC265" s="309"/>
      <c r="LD265" s="309"/>
      <c r="LE265" s="309"/>
      <c r="LF265" s="309"/>
      <c r="LG265" s="309"/>
      <c r="LH265" s="309"/>
      <c r="LI265" s="309"/>
      <c r="LJ265" s="309"/>
      <c r="LK265" s="309"/>
      <c r="LL265" s="309"/>
      <c r="LM265" s="309"/>
      <c r="LN265" s="309"/>
      <c r="LO265" s="309"/>
      <c r="LP265" s="309"/>
      <c r="LQ265" s="309"/>
      <c r="LR265" s="309"/>
      <c r="LS265" s="309"/>
      <c r="LT265" s="309"/>
      <c r="LU265" s="309"/>
      <c r="LV265" s="309"/>
      <c r="LW265" s="309"/>
      <c r="LX265" s="309"/>
      <c r="LY265" s="309"/>
      <c r="LZ265" s="309"/>
      <c r="MA265" s="309"/>
      <c r="MB265" s="309"/>
      <c r="MC265" s="309"/>
      <c r="MD265" s="309"/>
      <c r="ME265" s="309"/>
      <c r="MF265" s="309"/>
      <c r="MG265" s="309"/>
      <c r="MH265" s="309"/>
      <c r="MI265" s="309"/>
      <c r="MJ265" s="309"/>
      <c r="MK265" s="309"/>
      <c r="ML265" s="309"/>
      <c r="MM265" s="309"/>
      <c r="MN265" s="309"/>
      <c r="MO265" s="309"/>
      <c r="MP265" s="309"/>
      <c r="MQ265" s="309"/>
      <c r="MR265" s="309"/>
      <c r="MS265" s="309"/>
      <c r="MT265" s="309"/>
      <c r="MU265" s="309"/>
      <c r="MV265" s="309"/>
      <c r="MW265" s="309"/>
      <c r="MX265" s="309"/>
      <c r="MY265" s="309"/>
      <c r="MZ265" s="309"/>
      <c r="NA265" s="309"/>
      <c r="NB265" s="309"/>
      <c r="NC265" s="309"/>
      <c r="ND265" s="309"/>
      <c r="NE265" s="309"/>
      <c r="NF265" s="309"/>
      <c r="NG265" s="309"/>
      <c r="NH265" s="309"/>
      <c r="NI265" s="309"/>
      <c r="NJ265" s="309"/>
      <c r="NK265" s="309"/>
      <c r="NL265" s="309"/>
      <c r="NM265" s="309"/>
      <c r="NN265" s="309"/>
      <c r="NO265" s="309"/>
      <c r="NP265" s="309"/>
      <c r="NQ265" s="309"/>
      <c r="NR265" s="309"/>
      <c r="NS265" s="309"/>
      <c r="NT265" s="309"/>
      <c r="NU265" s="309"/>
      <c r="NV265" s="309"/>
      <c r="NW265" s="309"/>
      <c r="NX265" s="309"/>
      <c r="NY265" s="309"/>
      <c r="NZ265" s="309"/>
      <c r="OA265" s="309"/>
      <c r="OB265" s="309"/>
      <c r="OC265" s="309"/>
      <c r="OD265" s="309"/>
      <c r="OE265" s="309"/>
      <c r="OF265" s="309"/>
      <c r="OG265" s="309"/>
      <c r="OH265" s="309"/>
      <c r="OI265" s="309"/>
      <c r="OJ265" s="309"/>
      <c r="OK265" s="309"/>
      <c r="OL265" s="309"/>
      <c r="OM265" s="309"/>
      <c r="ON265" s="309"/>
      <c r="OO265" s="309"/>
      <c r="OP265" s="309"/>
      <c r="OQ265" s="309"/>
      <c r="OR265" s="309"/>
      <c r="OS265" s="309"/>
      <c r="OT265" s="309"/>
      <c r="OU265" s="309"/>
      <c r="OV265" s="309"/>
      <c r="OW265" s="309"/>
      <c r="OX265" s="309"/>
      <c r="OY265" s="309"/>
      <c r="OZ265" s="309"/>
      <c r="PA265" s="309"/>
      <c r="PB265" s="309"/>
      <c r="PC265" s="309"/>
      <c r="PD265" s="309"/>
      <c r="PE265" s="309"/>
      <c r="PF265" s="309"/>
      <c r="PG265" s="309"/>
      <c r="PH265" s="309"/>
      <c r="PI265" s="309"/>
      <c r="PJ265" s="309"/>
      <c r="PK265" s="309"/>
      <c r="PL265" s="309"/>
      <c r="PM265" s="309"/>
      <c r="PN265" s="309"/>
      <c r="PO265" s="309"/>
      <c r="PP265" s="309"/>
      <c r="PQ265" s="309"/>
      <c r="PR265" s="309"/>
      <c r="PS265" s="309"/>
      <c r="PT265" s="309"/>
      <c r="PU265" s="309"/>
      <c r="PV265" s="309"/>
      <c r="PW265" s="309"/>
      <c r="PX265" s="309"/>
      <c r="PY265" s="309"/>
      <c r="PZ265" s="309"/>
      <c r="QA265" s="309"/>
      <c r="QB265" s="309"/>
      <c r="QC265" s="309"/>
      <c r="QD265" s="309"/>
      <c r="QE265" s="309"/>
      <c r="QF265" s="309"/>
      <c r="QG265" s="309"/>
      <c r="QH265" s="309"/>
      <c r="QI265" s="309"/>
      <c r="QJ265" s="309"/>
      <c r="QK265" s="309"/>
      <c r="QL265" s="309"/>
      <c r="QM265" s="309"/>
      <c r="QN265" s="309"/>
      <c r="QO265" s="309"/>
      <c r="QP265" s="309"/>
      <c r="QQ265" s="309"/>
      <c r="QR265" s="309"/>
      <c r="QS265" s="309"/>
      <c r="QT265" s="309"/>
      <c r="QU265" s="309"/>
      <c r="QV265" s="309"/>
      <c r="QW265" s="309"/>
      <c r="QX265" s="309"/>
      <c r="QY265" s="309"/>
      <c r="QZ265" s="309"/>
      <c r="RA265" s="309"/>
      <c r="RB265" s="309"/>
      <c r="RC265" s="309"/>
      <c r="RD265" s="309"/>
      <c r="RE265" s="309"/>
      <c r="RF265" s="309"/>
      <c r="RG265" s="309"/>
      <c r="RH265" s="309"/>
      <c r="RI265" s="309"/>
      <c r="RJ265" s="309"/>
      <c r="RK265" s="309"/>
      <c r="RL265" s="309"/>
      <c r="RM265" s="309"/>
      <c r="RN265" s="309"/>
      <c r="RO265" s="309"/>
      <c r="RP265" s="309"/>
      <c r="RQ265" s="309"/>
      <c r="RR265" s="309"/>
      <c r="RS265" s="309"/>
      <c r="RT265" s="309"/>
      <c r="RU265" s="309"/>
      <c r="RV265" s="309"/>
      <c r="RW265" s="309"/>
      <c r="RX265" s="309"/>
      <c r="RY265" s="309"/>
      <c r="RZ265" s="309"/>
      <c r="SA265" s="309"/>
      <c r="SB265" s="309"/>
      <c r="SC265" s="309"/>
      <c r="SD265" s="309"/>
      <c r="SE265" s="309"/>
      <c r="SF265" s="309"/>
      <c r="SG265" s="309"/>
      <c r="SH265" s="309"/>
      <c r="SI265" s="309"/>
      <c r="SJ265" s="309"/>
      <c r="SK265" s="309"/>
      <c r="SL265" s="309"/>
      <c r="SM265" s="309"/>
      <c r="SN265" s="309"/>
      <c r="SO265" s="309"/>
      <c r="SP265" s="309"/>
      <c r="SQ265" s="309"/>
      <c r="SR265" s="309"/>
      <c r="SS265" s="309"/>
      <c r="ST265" s="309"/>
      <c r="SU265" s="309"/>
      <c r="SV265" s="309"/>
      <c r="SW265" s="309"/>
      <c r="SX265" s="309"/>
      <c r="SY265" s="309"/>
      <c r="SZ265" s="309"/>
      <c r="TA265" s="309"/>
      <c r="TB265" s="309"/>
      <c r="TC265" s="309"/>
      <c r="TD265" s="309"/>
      <c r="TE265" s="309"/>
      <c r="TF265" s="309"/>
      <c r="TG265" s="309"/>
      <c r="TH265" s="309"/>
      <c r="TI265" s="309"/>
      <c r="TJ265" s="309"/>
      <c r="TK265" s="309"/>
      <c r="TL265" s="309"/>
      <c r="TM265" s="309"/>
      <c r="TN265" s="309"/>
      <c r="TO265" s="309"/>
      <c r="TP265" s="309"/>
      <c r="TQ265" s="309"/>
      <c r="TR265" s="309"/>
      <c r="TS265" s="309"/>
      <c r="TT265" s="309"/>
      <c r="TU265" s="309"/>
      <c r="TV265" s="309"/>
      <c r="TW265" s="309"/>
      <c r="TX265" s="309"/>
      <c r="TY265" s="309"/>
      <c r="TZ265" s="309"/>
      <c r="UA265" s="309"/>
      <c r="UB265" s="309"/>
      <c r="UC265" s="309"/>
      <c r="UD265" s="309"/>
      <c r="UE265" s="309"/>
      <c r="UF265" s="309"/>
      <c r="UG265" s="309"/>
      <c r="UH265" s="309"/>
      <c r="UI265" s="309"/>
      <c r="UJ265" s="309"/>
      <c r="UK265" s="309"/>
      <c r="UL265" s="309"/>
      <c r="UM265" s="309"/>
      <c r="UN265" s="309"/>
      <c r="UO265" s="309"/>
      <c r="UP265" s="309"/>
      <c r="UQ265" s="309"/>
      <c r="UR265" s="309"/>
      <c r="US265" s="309"/>
      <c r="UT265" s="309"/>
      <c r="UU265" s="309"/>
      <c r="UV265" s="309"/>
      <c r="UW265" s="309"/>
      <c r="UX265" s="309"/>
      <c r="UY265" s="309"/>
      <c r="UZ265" s="309"/>
      <c r="VA265" s="309"/>
      <c r="VB265" s="309"/>
      <c r="VC265" s="309"/>
      <c r="VD265" s="309"/>
      <c r="VE265" s="309"/>
      <c r="VF265" s="309"/>
      <c r="VG265" s="309"/>
      <c r="VH265" s="309"/>
      <c r="VI265" s="309"/>
      <c r="VJ265" s="309"/>
      <c r="VK265" s="309"/>
      <c r="VL265" s="309"/>
      <c r="VM265" s="309"/>
      <c r="VN265" s="309"/>
      <c r="VO265" s="309"/>
      <c r="VP265" s="309"/>
      <c r="VQ265" s="309"/>
      <c r="VR265" s="309"/>
      <c r="VS265" s="309"/>
      <c r="VT265" s="309"/>
      <c r="VU265" s="309"/>
      <c r="VV265" s="309"/>
      <c r="VW265" s="309"/>
      <c r="VX265" s="309"/>
      <c r="VY265" s="309"/>
      <c r="VZ265" s="309"/>
      <c r="WA265" s="309"/>
      <c r="WB265" s="309"/>
      <c r="WC265" s="309"/>
      <c r="WD265" s="309"/>
      <c r="WE265" s="309"/>
      <c r="WF265" s="309"/>
      <c r="WG265" s="309"/>
      <c r="WH265" s="309"/>
      <c r="WI265" s="309"/>
      <c r="WJ265" s="309"/>
      <c r="WK265" s="309"/>
      <c r="WL265" s="309"/>
      <c r="WM265" s="309"/>
      <c r="WN265" s="309"/>
      <c r="WO265" s="309"/>
      <c r="WP265" s="309"/>
      <c r="WQ265" s="309"/>
      <c r="WR265" s="309"/>
      <c r="WS265" s="309"/>
      <c r="WT265" s="309"/>
      <c r="WU265" s="309"/>
      <c r="WV265" s="309"/>
      <c r="WW265" s="309"/>
      <c r="WX265" s="309"/>
      <c r="WY265" s="309"/>
      <c r="WZ265" s="309"/>
      <c r="XA265" s="309"/>
      <c r="XB265" s="309"/>
      <c r="XC265" s="309"/>
      <c r="XD265" s="309"/>
      <c r="XE265" s="309"/>
      <c r="XF265" s="309"/>
      <c r="XG265" s="309"/>
      <c r="XH265" s="309"/>
      <c r="XI265" s="309"/>
      <c r="XJ265" s="309"/>
      <c r="XK265" s="309"/>
      <c r="XL265" s="309"/>
      <c r="XM265" s="309"/>
      <c r="XN265" s="309"/>
      <c r="XO265" s="309"/>
      <c r="XP265" s="309"/>
      <c r="XQ265" s="309"/>
      <c r="XR265" s="309"/>
      <c r="XS265" s="309"/>
      <c r="XT265" s="309"/>
      <c r="XU265" s="309"/>
      <c r="XV265" s="309"/>
      <c r="XW265" s="309"/>
      <c r="XX265" s="309"/>
      <c r="XY265" s="309"/>
      <c r="XZ265" s="309"/>
      <c r="YA265" s="309"/>
      <c r="YB265" s="309"/>
      <c r="YC265" s="309"/>
      <c r="YD265" s="309"/>
      <c r="YE265" s="309"/>
      <c r="YF265" s="309"/>
      <c r="YG265" s="309"/>
      <c r="YH265" s="309"/>
      <c r="YI265" s="309"/>
      <c r="YJ265" s="309"/>
      <c r="YK265" s="309"/>
      <c r="YL265" s="309"/>
      <c r="YM265" s="309"/>
      <c r="YN265" s="309"/>
      <c r="YO265" s="309"/>
      <c r="YP265" s="309"/>
      <c r="YQ265" s="309"/>
      <c r="YR265" s="309"/>
      <c r="YS265" s="309"/>
      <c r="YT265" s="309"/>
      <c r="YU265" s="309"/>
      <c r="YV265" s="309"/>
      <c r="YW265" s="309"/>
      <c r="YX265" s="309"/>
      <c r="YY265" s="309"/>
      <c r="YZ265" s="309"/>
      <c r="ZA265" s="309"/>
      <c r="ZB265" s="309"/>
      <c r="ZC265" s="309"/>
      <c r="ZD265" s="309"/>
      <c r="ZE265" s="309"/>
      <c r="ZF265" s="309"/>
      <c r="ZG265" s="309"/>
      <c r="ZH265" s="309"/>
      <c r="ZI265" s="309"/>
      <c r="ZJ265" s="309"/>
    </row>
    <row r="266" spans="5:686" s="308" customFormat="1" x14ac:dyDescent="0.3">
      <c r="E266" s="337"/>
      <c r="F266" s="337"/>
      <c r="G266" s="171"/>
      <c r="H266" s="1"/>
      <c r="Y266" s="309"/>
      <c r="Z266" s="309"/>
      <c r="AA266" s="309"/>
      <c r="AB266" s="309"/>
      <c r="AC266" s="309"/>
      <c r="AD266" s="309"/>
      <c r="AE266" s="309"/>
      <c r="AF266" s="309"/>
      <c r="AG266" s="309"/>
      <c r="AH266" s="309"/>
      <c r="AI266" s="309"/>
      <c r="AJ266" s="309"/>
      <c r="AK266" s="309"/>
      <c r="AL266" s="309"/>
      <c r="AM266" s="309"/>
      <c r="AN266" s="309"/>
      <c r="AO266" s="309"/>
      <c r="AP266" s="309"/>
      <c r="AQ266" s="309"/>
      <c r="AR266" s="309"/>
      <c r="AS266" s="309"/>
      <c r="AT266" s="309"/>
      <c r="AU266" s="309"/>
      <c r="AV266" s="309"/>
      <c r="AW266" s="309"/>
      <c r="AX266" s="309"/>
      <c r="AY266" s="309"/>
      <c r="AZ266" s="309"/>
      <c r="BA266" s="309"/>
      <c r="BB266" s="309"/>
      <c r="BC266" s="309"/>
      <c r="BD266" s="309"/>
      <c r="BE266" s="309"/>
      <c r="BF266" s="309"/>
      <c r="BG266" s="309"/>
      <c r="BH266" s="309"/>
      <c r="BI266" s="309"/>
      <c r="BJ266" s="309"/>
      <c r="BK266" s="309"/>
      <c r="BL266" s="309"/>
      <c r="BM266" s="309"/>
      <c r="BN266" s="309"/>
      <c r="BO266" s="309"/>
      <c r="BP266" s="309"/>
      <c r="BQ266" s="309"/>
      <c r="BR266" s="309"/>
      <c r="BS266" s="309"/>
      <c r="BT266" s="309"/>
      <c r="BU266" s="309"/>
      <c r="BV266" s="309"/>
      <c r="BW266" s="309"/>
      <c r="BX266" s="309"/>
      <c r="BY266" s="309"/>
      <c r="BZ266" s="309"/>
      <c r="CA266" s="309"/>
      <c r="CB266" s="309"/>
      <c r="CC266" s="309"/>
      <c r="CD266" s="309"/>
      <c r="CE266" s="309"/>
      <c r="CF266" s="309"/>
      <c r="CG266" s="309"/>
      <c r="CH266" s="309"/>
      <c r="CI266" s="309"/>
      <c r="CJ266" s="309"/>
      <c r="CK266" s="309"/>
      <c r="CL266" s="309"/>
      <c r="CM266" s="309"/>
      <c r="CN266" s="309"/>
      <c r="CO266" s="309"/>
      <c r="CP266" s="309"/>
      <c r="CQ266" s="309"/>
      <c r="CR266" s="309"/>
      <c r="CS266" s="309"/>
      <c r="CT266" s="309"/>
      <c r="CU266" s="309"/>
      <c r="CV266" s="309"/>
      <c r="CW266" s="309"/>
      <c r="CX266" s="309"/>
      <c r="CY266" s="309"/>
      <c r="CZ266" s="309"/>
      <c r="DA266" s="309"/>
      <c r="DB266" s="309"/>
      <c r="DC266" s="309"/>
      <c r="DD266" s="309"/>
      <c r="DE266" s="309"/>
      <c r="DF266" s="309"/>
      <c r="DG266" s="309"/>
      <c r="DH266" s="309"/>
      <c r="DI266" s="309"/>
      <c r="DJ266" s="309"/>
      <c r="DK266" s="309"/>
      <c r="DL266" s="309"/>
      <c r="DM266" s="309"/>
      <c r="DN266" s="309"/>
      <c r="DO266" s="309"/>
      <c r="DP266" s="309"/>
      <c r="DQ266" s="309"/>
      <c r="DR266" s="309"/>
      <c r="DS266" s="309"/>
      <c r="DT266" s="309"/>
      <c r="DU266" s="309"/>
      <c r="DV266" s="309"/>
      <c r="DW266" s="309"/>
      <c r="DX266" s="309"/>
      <c r="DY266" s="309"/>
      <c r="DZ266" s="309"/>
      <c r="EA266" s="309"/>
      <c r="EB266" s="309"/>
      <c r="EC266" s="309"/>
      <c r="ED266" s="309"/>
      <c r="EE266" s="309"/>
      <c r="EF266" s="309"/>
      <c r="EG266" s="309"/>
      <c r="EH266" s="309"/>
      <c r="EI266" s="309"/>
      <c r="EJ266" s="309"/>
      <c r="EK266" s="309"/>
      <c r="EL266" s="309"/>
      <c r="EM266" s="309"/>
      <c r="EN266" s="309"/>
      <c r="EO266" s="309"/>
      <c r="EP266" s="309"/>
      <c r="EQ266" s="309"/>
      <c r="ER266" s="309"/>
      <c r="ES266" s="309"/>
      <c r="ET266" s="309"/>
      <c r="EU266" s="309"/>
      <c r="EV266" s="309"/>
      <c r="EW266" s="309"/>
      <c r="EX266" s="309"/>
      <c r="EY266" s="309"/>
      <c r="EZ266" s="309"/>
      <c r="FA266" s="309"/>
      <c r="FB266" s="309"/>
      <c r="FC266" s="309"/>
      <c r="FD266" s="309"/>
      <c r="FE266" s="309"/>
      <c r="FF266" s="309"/>
      <c r="FG266" s="309"/>
      <c r="FH266" s="309"/>
      <c r="FI266" s="309"/>
      <c r="FJ266" s="309"/>
      <c r="FK266" s="309"/>
      <c r="FL266" s="309"/>
      <c r="FM266" s="309"/>
      <c r="FN266" s="309"/>
      <c r="FO266" s="309"/>
      <c r="FP266" s="309"/>
      <c r="FQ266" s="309"/>
      <c r="FR266" s="309"/>
      <c r="FS266" s="309"/>
      <c r="FT266" s="309"/>
      <c r="FU266" s="309"/>
      <c r="FV266" s="309"/>
      <c r="FW266" s="309"/>
      <c r="FX266" s="309"/>
      <c r="FY266" s="309"/>
      <c r="FZ266" s="309"/>
      <c r="GA266" s="309"/>
      <c r="GB266" s="309"/>
      <c r="GC266" s="309"/>
      <c r="GD266" s="309"/>
      <c r="GE266" s="309"/>
      <c r="GF266" s="309"/>
      <c r="GG266" s="309"/>
      <c r="GH266" s="309"/>
      <c r="GI266" s="309"/>
      <c r="GJ266" s="309"/>
      <c r="GK266" s="309"/>
      <c r="GL266" s="309"/>
      <c r="GM266" s="309"/>
      <c r="GN266" s="309"/>
      <c r="GO266" s="309"/>
      <c r="GP266" s="309"/>
      <c r="GQ266" s="309"/>
      <c r="GR266" s="309"/>
      <c r="GS266" s="309"/>
      <c r="GT266" s="309"/>
      <c r="GU266" s="309"/>
      <c r="GV266" s="309"/>
      <c r="GW266" s="309"/>
      <c r="GX266" s="309"/>
      <c r="GY266" s="309"/>
      <c r="GZ266" s="309"/>
      <c r="HA266" s="309"/>
      <c r="HB266" s="309"/>
      <c r="HC266" s="309"/>
      <c r="HD266" s="309"/>
      <c r="HE266" s="309"/>
      <c r="HF266" s="309"/>
      <c r="HG266" s="309"/>
      <c r="HH266" s="309"/>
      <c r="HI266" s="309"/>
      <c r="HJ266" s="309"/>
      <c r="HK266" s="309"/>
      <c r="HL266" s="309"/>
      <c r="HM266" s="309"/>
      <c r="HN266" s="309"/>
      <c r="HO266" s="309"/>
      <c r="HP266" s="309"/>
      <c r="HQ266" s="309"/>
      <c r="HR266" s="309"/>
      <c r="HS266" s="309"/>
      <c r="HT266" s="309"/>
      <c r="HU266" s="309"/>
      <c r="HV266" s="309"/>
      <c r="HW266" s="309"/>
      <c r="HX266" s="309"/>
      <c r="HY266" s="309"/>
      <c r="HZ266" s="309"/>
      <c r="IA266" s="309"/>
      <c r="IB266" s="309"/>
      <c r="IC266" s="309"/>
      <c r="ID266" s="309"/>
      <c r="IE266" s="309"/>
      <c r="IF266" s="309"/>
      <c r="IG266" s="309"/>
      <c r="IH266" s="309"/>
      <c r="II266" s="309"/>
      <c r="IJ266" s="309"/>
      <c r="IK266" s="309"/>
      <c r="IL266" s="309"/>
      <c r="IM266" s="309"/>
      <c r="IN266" s="309"/>
      <c r="IO266" s="309"/>
      <c r="IP266" s="309"/>
      <c r="IQ266" s="309"/>
      <c r="IR266" s="309"/>
      <c r="IS266" s="309"/>
      <c r="IT266" s="309"/>
      <c r="IU266" s="309"/>
      <c r="IV266" s="309"/>
      <c r="IW266" s="309"/>
      <c r="IX266" s="309"/>
      <c r="IY266" s="309"/>
      <c r="IZ266" s="309"/>
      <c r="JA266" s="309"/>
      <c r="JB266" s="309"/>
      <c r="JC266" s="309"/>
      <c r="JD266" s="309"/>
      <c r="JE266" s="309"/>
      <c r="JF266" s="309"/>
      <c r="JG266" s="309"/>
      <c r="JH266" s="309"/>
      <c r="JI266" s="309"/>
      <c r="JJ266" s="309"/>
      <c r="JK266" s="309"/>
      <c r="JL266" s="309"/>
      <c r="JM266" s="309"/>
      <c r="JN266" s="309"/>
      <c r="JO266" s="309"/>
      <c r="JP266" s="309"/>
      <c r="JQ266" s="309"/>
      <c r="JR266" s="309"/>
      <c r="JS266" s="309"/>
      <c r="JT266" s="309"/>
      <c r="JU266" s="309"/>
      <c r="JV266" s="309"/>
      <c r="JW266" s="309"/>
      <c r="JX266" s="309"/>
      <c r="JY266" s="309"/>
      <c r="JZ266" s="309"/>
      <c r="KA266" s="309"/>
      <c r="KB266" s="309"/>
      <c r="KC266" s="309"/>
      <c r="KD266" s="309"/>
      <c r="KE266" s="309"/>
      <c r="KF266" s="309"/>
      <c r="KG266" s="309"/>
      <c r="KH266" s="309"/>
      <c r="KI266" s="309"/>
      <c r="KJ266" s="309"/>
      <c r="KK266" s="309"/>
      <c r="KL266" s="309"/>
      <c r="KM266" s="309"/>
      <c r="KN266" s="309"/>
      <c r="KO266" s="309"/>
      <c r="KP266" s="309"/>
      <c r="KQ266" s="309"/>
      <c r="KR266" s="309"/>
      <c r="KS266" s="309"/>
      <c r="KT266" s="309"/>
      <c r="KU266" s="309"/>
      <c r="KV266" s="309"/>
      <c r="KW266" s="309"/>
      <c r="KX266" s="309"/>
      <c r="KY266" s="309"/>
      <c r="KZ266" s="309"/>
      <c r="LA266" s="309"/>
      <c r="LB266" s="309"/>
      <c r="LC266" s="309"/>
      <c r="LD266" s="309"/>
      <c r="LE266" s="309"/>
      <c r="LF266" s="309"/>
      <c r="LG266" s="309"/>
      <c r="LH266" s="309"/>
      <c r="LI266" s="309"/>
      <c r="LJ266" s="309"/>
      <c r="LK266" s="309"/>
      <c r="LL266" s="309"/>
      <c r="LM266" s="309"/>
      <c r="LN266" s="309"/>
      <c r="LO266" s="309"/>
      <c r="LP266" s="309"/>
      <c r="LQ266" s="309"/>
      <c r="LR266" s="309"/>
      <c r="LS266" s="309"/>
      <c r="LT266" s="309"/>
      <c r="LU266" s="309"/>
      <c r="LV266" s="309"/>
      <c r="LW266" s="309"/>
      <c r="LX266" s="309"/>
      <c r="LY266" s="309"/>
      <c r="LZ266" s="309"/>
      <c r="MA266" s="309"/>
      <c r="MB266" s="309"/>
      <c r="MC266" s="309"/>
      <c r="MD266" s="309"/>
      <c r="ME266" s="309"/>
      <c r="MF266" s="309"/>
      <c r="MG266" s="309"/>
      <c r="MH266" s="309"/>
      <c r="MI266" s="309"/>
      <c r="MJ266" s="309"/>
      <c r="MK266" s="309"/>
      <c r="ML266" s="309"/>
      <c r="MM266" s="309"/>
      <c r="MN266" s="309"/>
      <c r="MO266" s="309"/>
      <c r="MP266" s="309"/>
      <c r="MQ266" s="309"/>
      <c r="MR266" s="309"/>
      <c r="MS266" s="309"/>
      <c r="MT266" s="309"/>
      <c r="MU266" s="309"/>
      <c r="MV266" s="309"/>
      <c r="MW266" s="309"/>
      <c r="MX266" s="309"/>
      <c r="MY266" s="309"/>
      <c r="MZ266" s="309"/>
      <c r="NA266" s="309"/>
      <c r="NB266" s="309"/>
      <c r="NC266" s="309"/>
      <c r="ND266" s="309"/>
      <c r="NE266" s="309"/>
      <c r="NF266" s="309"/>
      <c r="NG266" s="309"/>
      <c r="NH266" s="309"/>
      <c r="NI266" s="309"/>
      <c r="NJ266" s="309"/>
      <c r="NK266" s="309"/>
      <c r="NL266" s="309"/>
      <c r="NM266" s="309"/>
      <c r="NN266" s="309"/>
      <c r="NO266" s="309"/>
      <c r="NP266" s="309"/>
      <c r="NQ266" s="309"/>
      <c r="NR266" s="309"/>
      <c r="NS266" s="309"/>
      <c r="NT266" s="309"/>
      <c r="NU266" s="309"/>
      <c r="NV266" s="309"/>
      <c r="NW266" s="309"/>
      <c r="NX266" s="309"/>
      <c r="NY266" s="309"/>
      <c r="NZ266" s="309"/>
      <c r="OA266" s="309"/>
      <c r="OB266" s="309"/>
      <c r="OC266" s="309"/>
      <c r="OD266" s="309"/>
      <c r="OE266" s="309"/>
      <c r="OF266" s="309"/>
      <c r="OG266" s="309"/>
      <c r="OH266" s="309"/>
      <c r="OI266" s="309"/>
      <c r="OJ266" s="309"/>
      <c r="OK266" s="309"/>
      <c r="OL266" s="309"/>
      <c r="OM266" s="309"/>
      <c r="ON266" s="309"/>
      <c r="OO266" s="309"/>
      <c r="OP266" s="309"/>
      <c r="OQ266" s="309"/>
      <c r="OR266" s="309"/>
      <c r="OS266" s="309"/>
      <c r="OT266" s="309"/>
      <c r="OU266" s="309"/>
      <c r="OV266" s="309"/>
      <c r="OW266" s="309"/>
      <c r="OX266" s="309"/>
      <c r="OY266" s="309"/>
      <c r="OZ266" s="309"/>
      <c r="PA266" s="309"/>
      <c r="PB266" s="309"/>
      <c r="PC266" s="309"/>
      <c r="PD266" s="309"/>
      <c r="PE266" s="309"/>
      <c r="PF266" s="309"/>
      <c r="PG266" s="309"/>
      <c r="PH266" s="309"/>
      <c r="PI266" s="309"/>
      <c r="PJ266" s="309"/>
      <c r="PK266" s="309"/>
      <c r="PL266" s="309"/>
      <c r="PM266" s="309"/>
      <c r="PN266" s="309"/>
      <c r="PO266" s="309"/>
      <c r="PP266" s="309"/>
      <c r="PQ266" s="309"/>
      <c r="PR266" s="309"/>
      <c r="PS266" s="309"/>
      <c r="PT266" s="309"/>
      <c r="PU266" s="309"/>
      <c r="PV266" s="309"/>
      <c r="PW266" s="309"/>
      <c r="PX266" s="309"/>
      <c r="PY266" s="309"/>
      <c r="PZ266" s="309"/>
      <c r="QA266" s="309"/>
      <c r="QB266" s="309"/>
      <c r="QC266" s="309"/>
      <c r="QD266" s="309"/>
      <c r="QE266" s="309"/>
      <c r="QF266" s="309"/>
      <c r="QG266" s="309"/>
      <c r="QH266" s="309"/>
      <c r="QI266" s="309"/>
      <c r="QJ266" s="309"/>
      <c r="QK266" s="309"/>
      <c r="QL266" s="309"/>
      <c r="QM266" s="309"/>
      <c r="QN266" s="309"/>
      <c r="QO266" s="309"/>
      <c r="QP266" s="309"/>
      <c r="QQ266" s="309"/>
      <c r="QR266" s="309"/>
      <c r="QS266" s="309"/>
      <c r="QT266" s="309"/>
      <c r="QU266" s="309"/>
      <c r="QV266" s="309"/>
      <c r="QW266" s="309"/>
      <c r="QX266" s="309"/>
      <c r="QY266" s="309"/>
      <c r="QZ266" s="309"/>
      <c r="RA266" s="309"/>
      <c r="RB266" s="309"/>
      <c r="RC266" s="309"/>
      <c r="RD266" s="309"/>
      <c r="RE266" s="309"/>
      <c r="RF266" s="309"/>
      <c r="RG266" s="309"/>
      <c r="RH266" s="309"/>
      <c r="RI266" s="309"/>
      <c r="RJ266" s="309"/>
      <c r="RK266" s="309"/>
      <c r="RL266" s="309"/>
      <c r="RM266" s="309"/>
      <c r="RN266" s="309"/>
      <c r="RO266" s="309"/>
      <c r="RP266" s="309"/>
      <c r="RQ266" s="309"/>
      <c r="RR266" s="309"/>
      <c r="RS266" s="309"/>
      <c r="RT266" s="309"/>
      <c r="RU266" s="309"/>
      <c r="RV266" s="309"/>
      <c r="RW266" s="309"/>
      <c r="RX266" s="309"/>
      <c r="RY266" s="309"/>
      <c r="RZ266" s="309"/>
      <c r="SA266" s="309"/>
      <c r="SB266" s="309"/>
      <c r="SC266" s="309"/>
      <c r="SD266" s="309"/>
      <c r="SE266" s="309"/>
      <c r="SF266" s="309"/>
      <c r="SG266" s="309"/>
      <c r="SH266" s="309"/>
      <c r="SI266" s="309"/>
      <c r="SJ266" s="309"/>
      <c r="SK266" s="309"/>
      <c r="SL266" s="309"/>
      <c r="SM266" s="309"/>
      <c r="SN266" s="309"/>
      <c r="SO266" s="309"/>
      <c r="SP266" s="309"/>
      <c r="SQ266" s="309"/>
      <c r="SR266" s="309"/>
      <c r="SS266" s="309"/>
      <c r="ST266" s="309"/>
      <c r="SU266" s="309"/>
      <c r="SV266" s="309"/>
      <c r="SW266" s="309"/>
      <c r="SX266" s="309"/>
      <c r="SY266" s="309"/>
      <c r="SZ266" s="309"/>
      <c r="TA266" s="309"/>
      <c r="TB266" s="309"/>
      <c r="TC266" s="309"/>
      <c r="TD266" s="309"/>
      <c r="TE266" s="309"/>
      <c r="TF266" s="309"/>
      <c r="TG266" s="309"/>
      <c r="TH266" s="309"/>
      <c r="TI266" s="309"/>
      <c r="TJ266" s="309"/>
      <c r="TK266" s="309"/>
      <c r="TL266" s="309"/>
      <c r="TM266" s="309"/>
      <c r="TN266" s="309"/>
      <c r="TO266" s="309"/>
      <c r="TP266" s="309"/>
      <c r="TQ266" s="309"/>
      <c r="TR266" s="309"/>
      <c r="TS266" s="309"/>
      <c r="TT266" s="309"/>
      <c r="TU266" s="309"/>
      <c r="TV266" s="309"/>
      <c r="TW266" s="309"/>
      <c r="TX266" s="309"/>
      <c r="TY266" s="309"/>
      <c r="TZ266" s="309"/>
      <c r="UA266" s="309"/>
      <c r="UB266" s="309"/>
      <c r="UC266" s="309"/>
      <c r="UD266" s="309"/>
      <c r="UE266" s="309"/>
      <c r="UF266" s="309"/>
      <c r="UG266" s="309"/>
      <c r="UH266" s="309"/>
      <c r="UI266" s="309"/>
      <c r="UJ266" s="309"/>
      <c r="UK266" s="309"/>
      <c r="UL266" s="309"/>
      <c r="UM266" s="309"/>
      <c r="UN266" s="309"/>
      <c r="UO266" s="309"/>
      <c r="UP266" s="309"/>
      <c r="UQ266" s="309"/>
      <c r="UR266" s="309"/>
      <c r="US266" s="309"/>
      <c r="UT266" s="309"/>
      <c r="UU266" s="309"/>
      <c r="UV266" s="309"/>
      <c r="UW266" s="309"/>
      <c r="UX266" s="309"/>
      <c r="UY266" s="309"/>
      <c r="UZ266" s="309"/>
      <c r="VA266" s="309"/>
      <c r="VB266" s="309"/>
      <c r="VC266" s="309"/>
      <c r="VD266" s="309"/>
      <c r="VE266" s="309"/>
      <c r="VF266" s="309"/>
      <c r="VG266" s="309"/>
      <c r="VH266" s="309"/>
      <c r="VI266" s="309"/>
      <c r="VJ266" s="309"/>
      <c r="VK266" s="309"/>
      <c r="VL266" s="309"/>
      <c r="VM266" s="309"/>
      <c r="VN266" s="309"/>
      <c r="VO266" s="309"/>
      <c r="VP266" s="309"/>
      <c r="VQ266" s="309"/>
      <c r="VR266" s="309"/>
      <c r="VS266" s="309"/>
      <c r="VT266" s="309"/>
      <c r="VU266" s="309"/>
      <c r="VV266" s="309"/>
      <c r="VW266" s="309"/>
      <c r="VX266" s="309"/>
      <c r="VY266" s="309"/>
      <c r="VZ266" s="309"/>
      <c r="WA266" s="309"/>
      <c r="WB266" s="309"/>
      <c r="WC266" s="309"/>
      <c r="WD266" s="309"/>
      <c r="WE266" s="309"/>
      <c r="WF266" s="309"/>
      <c r="WG266" s="309"/>
      <c r="WH266" s="309"/>
      <c r="WI266" s="309"/>
      <c r="WJ266" s="309"/>
      <c r="WK266" s="309"/>
      <c r="WL266" s="309"/>
      <c r="WM266" s="309"/>
      <c r="WN266" s="309"/>
      <c r="WO266" s="309"/>
      <c r="WP266" s="309"/>
      <c r="WQ266" s="309"/>
      <c r="WR266" s="309"/>
      <c r="WS266" s="309"/>
      <c r="WT266" s="309"/>
      <c r="WU266" s="309"/>
      <c r="WV266" s="309"/>
      <c r="WW266" s="309"/>
      <c r="WX266" s="309"/>
      <c r="WY266" s="309"/>
      <c r="WZ266" s="309"/>
      <c r="XA266" s="309"/>
      <c r="XB266" s="309"/>
      <c r="XC266" s="309"/>
      <c r="XD266" s="309"/>
      <c r="XE266" s="309"/>
      <c r="XF266" s="309"/>
      <c r="XG266" s="309"/>
      <c r="XH266" s="309"/>
      <c r="XI266" s="309"/>
      <c r="XJ266" s="309"/>
      <c r="XK266" s="309"/>
      <c r="XL266" s="309"/>
      <c r="XM266" s="309"/>
      <c r="XN266" s="309"/>
      <c r="XO266" s="309"/>
      <c r="XP266" s="309"/>
      <c r="XQ266" s="309"/>
      <c r="XR266" s="309"/>
      <c r="XS266" s="309"/>
      <c r="XT266" s="309"/>
      <c r="XU266" s="309"/>
      <c r="XV266" s="309"/>
      <c r="XW266" s="309"/>
      <c r="XX266" s="309"/>
      <c r="XY266" s="309"/>
      <c r="XZ266" s="309"/>
      <c r="YA266" s="309"/>
      <c r="YB266" s="309"/>
      <c r="YC266" s="309"/>
      <c r="YD266" s="309"/>
      <c r="YE266" s="309"/>
      <c r="YF266" s="309"/>
      <c r="YG266" s="309"/>
      <c r="YH266" s="309"/>
      <c r="YI266" s="309"/>
      <c r="YJ266" s="309"/>
      <c r="YK266" s="309"/>
      <c r="YL266" s="309"/>
      <c r="YM266" s="309"/>
      <c r="YN266" s="309"/>
      <c r="YO266" s="309"/>
      <c r="YP266" s="309"/>
      <c r="YQ266" s="309"/>
      <c r="YR266" s="309"/>
      <c r="YS266" s="309"/>
      <c r="YT266" s="309"/>
      <c r="YU266" s="309"/>
      <c r="YV266" s="309"/>
      <c r="YW266" s="309"/>
      <c r="YX266" s="309"/>
      <c r="YY266" s="309"/>
      <c r="YZ266" s="309"/>
      <c r="ZA266" s="309"/>
      <c r="ZB266" s="309"/>
      <c r="ZC266" s="309"/>
      <c r="ZD266" s="309"/>
      <c r="ZE266" s="309"/>
      <c r="ZF266" s="309"/>
      <c r="ZG266" s="309"/>
      <c r="ZH266" s="309"/>
      <c r="ZI266" s="309"/>
      <c r="ZJ266" s="309"/>
    </row>
    <row r="267" spans="5:686" s="308" customFormat="1" x14ac:dyDescent="0.3">
      <c r="E267" s="337"/>
      <c r="F267" s="337"/>
      <c r="G267" s="171"/>
      <c r="H267" s="1"/>
      <c r="Y267" s="309"/>
      <c r="Z267" s="309"/>
      <c r="AA267" s="309"/>
      <c r="AB267" s="309"/>
      <c r="AC267" s="309"/>
      <c r="AD267" s="309"/>
      <c r="AE267" s="309"/>
      <c r="AF267" s="309"/>
      <c r="AG267" s="309"/>
      <c r="AH267" s="309"/>
      <c r="AI267" s="309"/>
      <c r="AJ267" s="309"/>
      <c r="AK267" s="309"/>
      <c r="AL267" s="309"/>
      <c r="AM267" s="309"/>
      <c r="AN267" s="309"/>
      <c r="AO267" s="309"/>
      <c r="AP267" s="309"/>
      <c r="AQ267" s="309"/>
      <c r="AR267" s="309"/>
      <c r="AS267" s="309"/>
      <c r="AT267" s="309"/>
      <c r="AU267" s="309"/>
      <c r="AV267" s="309"/>
      <c r="AW267" s="309"/>
      <c r="AX267" s="309"/>
      <c r="AY267" s="309"/>
      <c r="AZ267" s="309"/>
      <c r="BA267" s="309"/>
      <c r="BB267" s="309"/>
      <c r="BC267" s="309"/>
      <c r="BD267" s="309"/>
      <c r="BE267" s="309"/>
      <c r="BF267" s="309"/>
      <c r="BG267" s="309"/>
      <c r="BH267" s="309"/>
      <c r="BI267" s="309"/>
      <c r="BJ267" s="309"/>
      <c r="BK267" s="309"/>
      <c r="BL267" s="309"/>
      <c r="BM267" s="309"/>
      <c r="BN267" s="309"/>
      <c r="BO267" s="309"/>
      <c r="BP267" s="309"/>
      <c r="BQ267" s="309"/>
      <c r="BR267" s="309"/>
      <c r="BS267" s="309"/>
      <c r="BT267" s="309"/>
      <c r="BU267" s="309"/>
      <c r="BV267" s="309"/>
      <c r="BW267" s="309"/>
      <c r="BX267" s="309"/>
      <c r="BY267" s="309"/>
      <c r="BZ267" s="309"/>
      <c r="CA267" s="309"/>
      <c r="CB267" s="309"/>
      <c r="CC267" s="309"/>
      <c r="CD267" s="309"/>
      <c r="CE267" s="309"/>
      <c r="CF267" s="309"/>
      <c r="CG267" s="309"/>
      <c r="CH267" s="309"/>
      <c r="CI267" s="309"/>
      <c r="CJ267" s="309"/>
      <c r="CK267" s="309"/>
      <c r="CL267" s="309"/>
      <c r="CM267" s="309"/>
      <c r="CN267" s="309"/>
      <c r="CO267" s="309"/>
      <c r="CP267" s="309"/>
      <c r="CQ267" s="309"/>
      <c r="CR267" s="309"/>
      <c r="CS267" s="309"/>
      <c r="CT267" s="309"/>
      <c r="CU267" s="309"/>
      <c r="CV267" s="309"/>
      <c r="CW267" s="309"/>
      <c r="CX267" s="309"/>
      <c r="CY267" s="309"/>
      <c r="CZ267" s="309"/>
      <c r="DA267" s="309"/>
      <c r="DB267" s="309"/>
      <c r="DC267" s="309"/>
      <c r="DD267" s="309"/>
      <c r="DE267" s="309"/>
      <c r="DF267" s="309"/>
      <c r="DG267" s="309"/>
      <c r="DH267" s="309"/>
      <c r="DI267" s="309"/>
      <c r="DJ267" s="309"/>
      <c r="DK267" s="309"/>
      <c r="DL267" s="309"/>
      <c r="DM267" s="309"/>
      <c r="DN267" s="309"/>
      <c r="DO267" s="309"/>
      <c r="DP267" s="309"/>
      <c r="DQ267" s="309"/>
      <c r="DR267" s="309"/>
      <c r="DS267" s="309"/>
      <c r="DT267" s="309"/>
      <c r="DU267" s="309"/>
      <c r="DV267" s="309"/>
      <c r="DW267" s="309"/>
      <c r="DX267" s="309"/>
      <c r="DY267" s="309"/>
      <c r="DZ267" s="309"/>
      <c r="EA267" s="309"/>
      <c r="EB267" s="309"/>
      <c r="EC267" s="309"/>
      <c r="ED267" s="309"/>
      <c r="EE267" s="309"/>
      <c r="EF267" s="309"/>
      <c r="EG267" s="309"/>
      <c r="EH267" s="309"/>
      <c r="EI267" s="309"/>
      <c r="EJ267" s="309"/>
      <c r="EK267" s="309"/>
      <c r="EL267" s="309"/>
      <c r="EM267" s="309"/>
      <c r="EN267" s="309"/>
      <c r="EO267" s="309"/>
      <c r="EP267" s="309"/>
      <c r="EQ267" s="309"/>
      <c r="ER267" s="309"/>
      <c r="ES267" s="309"/>
      <c r="ET267" s="309"/>
      <c r="EU267" s="309"/>
      <c r="EV267" s="309"/>
      <c r="EW267" s="309"/>
      <c r="EX267" s="309"/>
      <c r="EY267" s="309"/>
      <c r="EZ267" s="309"/>
      <c r="FA267" s="309"/>
      <c r="FB267" s="309"/>
      <c r="FC267" s="309"/>
      <c r="FD267" s="309"/>
      <c r="FE267" s="309"/>
      <c r="FF267" s="309"/>
      <c r="FG267" s="309"/>
      <c r="FH267" s="309"/>
      <c r="FI267" s="309"/>
      <c r="FJ267" s="309"/>
      <c r="FK267" s="309"/>
      <c r="FL267" s="309"/>
      <c r="FM267" s="309"/>
      <c r="FN267" s="309"/>
      <c r="FO267" s="309"/>
      <c r="FP267" s="309"/>
      <c r="FQ267" s="309"/>
      <c r="FR267" s="309"/>
      <c r="FS267" s="309"/>
      <c r="FT267" s="309"/>
      <c r="FU267" s="309"/>
      <c r="FV267" s="309"/>
      <c r="FW267" s="309"/>
      <c r="FX267" s="309"/>
      <c r="FY267" s="309"/>
      <c r="FZ267" s="309"/>
      <c r="GA267" s="309"/>
      <c r="GB267" s="309"/>
      <c r="GC267" s="309"/>
      <c r="GD267" s="309"/>
      <c r="GE267" s="309"/>
      <c r="GF267" s="309"/>
      <c r="GG267" s="309"/>
      <c r="GH267" s="309"/>
      <c r="GI267" s="309"/>
      <c r="GJ267" s="309"/>
      <c r="GK267" s="309"/>
      <c r="GL267" s="309"/>
      <c r="GM267" s="309"/>
      <c r="GN267" s="309"/>
      <c r="GO267" s="309"/>
      <c r="GP267" s="309"/>
      <c r="GQ267" s="309"/>
      <c r="GR267" s="309"/>
      <c r="GS267" s="309"/>
      <c r="GT267" s="309"/>
      <c r="GU267" s="309"/>
      <c r="GV267" s="309"/>
      <c r="GW267" s="309"/>
      <c r="GX267" s="309"/>
      <c r="GY267" s="309"/>
      <c r="GZ267" s="309"/>
      <c r="HA267" s="309"/>
      <c r="HB267" s="309"/>
      <c r="HC267" s="309"/>
      <c r="HD267" s="309"/>
      <c r="HE267" s="309"/>
      <c r="HF267" s="309"/>
      <c r="HG267" s="309"/>
      <c r="HH267" s="309"/>
      <c r="HI267" s="309"/>
      <c r="HJ267" s="309"/>
      <c r="HK267" s="309"/>
      <c r="HL267" s="309"/>
      <c r="HM267" s="309"/>
      <c r="HN267" s="309"/>
      <c r="HO267" s="309"/>
      <c r="HP267" s="309"/>
      <c r="HQ267" s="309"/>
      <c r="HR267" s="309"/>
      <c r="HS267" s="309"/>
      <c r="HT267" s="309"/>
      <c r="HU267" s="309"/>
      <c r="HV267" s="309"/>
      <c r="HW267" s="309"/>
      <c r="HX267" s="309"/>
      <c r="HY267" s="309"/>
      <c r="HZ267" s="309"/>
      <c r="IA267" s="309"/>
      <c r="IB267" s="309"/>
      <c r="IC267" s="309"/>
      <c r="ID267" s="309"/>
      <c r="IE267" s="309"/>
      <c r="IF267" s="309"/>
      <c r="IG267" s="309"/>
      <c r="IH267" s="309"/>
      <c r="II267" s="309"/>
      <c r="IJ267" s="309"/>
      <c r="IK267" s="309"/>
      <c r="IL267" s="309"/>
      <c r="IM267" s="309"/>
      <c r="IN267" s="309"/>
      <c r="IO267" s="309"/>
      <c r="IP267" s="309"/>
      <c r="IQ267" s="309"/>
      <c r="IR267" s="309"/>
      <c r="IS267" s="309"/>
      <c r="IT267" s="309"/>
      <c r="IU267" s="309"/>
      <c r="IV267" s="309"/>
      <c r="IW267" s="309"/>
      <c r="IX267" s="309"/>
      <c r="IY267" s="309"/>
      <c r="IZ267" s="309"/>
      <c r="JA267" s="309"/>
      <c r="JB267" s="309"/>
      <c r="JC267" s="309"/>
      <c r="JD267" s="309"/>
      <c r="JE267" s="309"/>
      <c r="JF267" s="309"/>
      <c r="JG267" s="309"/>
      <c r="JH267" s="309"/>
      <c r="JI267" s="309"/>
      <c r="JJ267" s="309"/>
      <c r="JK267" s="309"/>
      <c r="JL267" s="309"/>
      <c r="JM267" s="309"/>
      <c r="JN267" s="309"/>
      <c r="JO267" s="309"/>
      <c r="JP267" s="309"/>
      <c r="JQ267" s="309"/>
      <c r="JR267" s="309"/>
      <c r="JS267" s="309"/>
      <c r="JT267" s="309"/>
      <c r="JU267" s="309"/>
      <c r="JV267" s="309"/>
      <c r="JW267" s="309"/>
      <c r="JX267" s="309"/>
      <c r="JY267" s="309"/>
      <c r="JZ267" s="309"/>
      <c r="KA267" s="309"/>
      <c r="KB267" s="309"/>
      <c r="KC267" s="309"/>
      <c r="KD267" s="309"/>
      <c r="KE267" s="309"/>
      <c r="KF267" s="309"/>
      <c r="KG267" s="309"/>
      <c r="KH267" s="309"/>
      <c r="KI267" s="309"/>
      <c r="KJ267" s="309"/>
      <c r="KK267" s="309"/>
      <c r="KL267" s="309"/>
      <c r="KM267" s="309"/>
      <c r="KN267" s="309"/>
      <c r="KO267" s="309"/>
      <c r="KP267" s="309"/>
      <c r="KQ267" s="309"/>
      <c r="KR267" s="309"/>
      <c r="KS267" s="309"/>
      <c r="KT267" s="309"/>
      <c r="KU267" s="309"/>
      <c r="KV267" s="309"/>
      <c r="KW267" s="309"/>
      <c r="KX267" s="309"/>
      <c r="KY267" s="309"/>
      <c r="KZ267" s="309"/>
      <c r="LA267" s="309"/>
      <c r="LB267" s="309"/>
      <c r="LC267" s="309"/>
      <c r="LD267" s="309"/>
      <c r="LE267" s="309"/>
      <c r="LF267" s="309"/>
      <c r="LG267" s="309"/>
      <c r="LH267" s="309"/>
      <c r="LI267" s="309"/>
      <c r="LJ267" s="309"/>
      <c r="LK267" s="309"/>
      <c r="LL267" s="309"/>
      <c r="LM267" s="309"/>
      <c r="LN267" s="309"/>
      <c r="LO267" s="309"/>
      <c r="LP267" s="309"/>
      <c r="LQ267" s="309"/>
      <c r="LR267" s="309"/>
      <c r="LS267" s="309"/>
      <c r="LT267" s="309"/>
      <c r="LU267" s="309"/>
      <c r="LV267" s="309"/>
      <c r="LW267" s="309"/>
      <c r="LX267" s="309"/>
      <c r="LY267" s="309"/>
      <c r="LZ267" s="309"/>
      <c r="MA267" s="309"/>
      <c r="MB267" s="309"/>
      <c r="MC267" s="309"/>
      <c r="MD267" s="309"/>
      <c r="ME267" s="309"/>
      <c r="MF267" s="309"/>
      <c r="MG267" s="309"/>
      <c r="MH267" s="309"/>
      <c r="MI267" s="309"/>
      <c r="MJ267" s="309"/>
      <c r="MK267" s="309"/>
      <c r="ML267" s="309"/>
      <c r="MM267" s="309"/>
      <c r="MN267" s="309"/>
      <c r="MO267" s="309"/>
      <c r="MP267" s="309"/>
      <c r="MQ267" s="309"/>
      <c r="MR267" s="309"/>
      <c r="MS267" s="309"/>
      <c r="MT267" s="309"/>
      <c r="MU267" s="309"/>
      <c r="MV267" s="309"/>
      <c r="MW267" s="309"/>
      <c r="MX267" s="309"/>
      <c r="MY267" s="309"/>
      <c r="MZ267" s="309"/>
      <c r="NA267" s="309"/>
      <c r="NB267" s="309"/>
      <c r="NC267" s="309"/>
      <c r="ND267" s="309"/>
      <c r="NE267" s="309"/>
      <c r="NF267" s="309"/>
      <c r="NG267" s="309"/>
      <c r="NH267" s="309"/>
      <c r="NI267" s="309"/>
      <c r="NJ267" s="309"/>
      <c r="NK267" s="309"/>
      <c r="NL267" s="309"/>
      <c r="NM267" s="309"/>
      <c r="NN267" s="309"/>
      <c r="NO267" s="309"/>
      <c r="NP267" s="309"/>
      <c r="NQ267" s="309"/>
      <c r="NR267" s="309"/>
      <c r="NS267" s="309"/>
      <c r="NT267" s="309"/>
      <c r="NU267" s="309"/>
      <c r="NV267" s="309"/>
      <c r="NW267" s="309"/>
      <c r="NX267" s="309"/>
      <c r="NY267" s="309"/>
      <c r="NZ267" s="309"/>
      <c r="OA267" s="309"/>
      <c r="OB267" s="309"/>
      <c r="OC267" s="309"/>
      <c r="OD267" s="309"/>
      <c r="OE267" s="309"/>
      <c r="OF267" s="309"/>
      <c r="OG267" s="309"/>
      <c r="OH267" s="309"/>
      <c r="OI267" s="309"/>
      <c r="OJ267" s="309"/>
      <c r="OK267" s="309"/>
      <c r="OL267" s="309"/>
      <c r="OM267" s="309"/>
      <c r="ON267" s="309"/>
      <c r="OO267" s="309"/>
      <c r="OP267" s="309"/>
      <c r="OQ267" s="309"/>
      <c r="OR267" s="309"/>
      <c r="OS267" s="309"/>
      <c r="OT267" s="309"/>
      <c r="OU267" s="309"/>
      <c r="OV267" s="309"/>
      <c r="OW267" s="309"/>
      <c r="OX267" s="309"/>
      <c r="OY267" s="309"/>
      <c r="OZ267" s="309"/>
      <c r="PA267" s="309"/>
      <c r="PB267" s="309"/>
      <c r="PC267" s="309"/>
      <c r="PD267" s="309"/>
      <c r="PE267" s="309"/>
      <c r="PF267" s="309"/>
      <c r="PG267" s="309"/>
      <c r="PH267" s="309"/>
      <c r="PI267" s="309"/>
      <c r="PJ267" s="309"/>
      <c r="PK267" s="309"/>
      <c r="PL267" s="309"/>
      <c r="PM267" s="309"/>
      <c r="PN267" s="309"/>
      <c r="PO267" s="309"/>
      <c r="PP267" s="309"/>
      <c r="PQ267" s="309"/>
      <c r="PR267" s="309"/>
      <c r="PS267" s="309"/>
      <c r="PT267" s="309"/>
      <c r="PU267" s="309"/>
      <c r="PV267" s="309"/>
      <c r="PW267" s="309"/>
      <c r="PX267" s="309"/>
      <c r="PY267" s="309"/>
      <c r="PZ267" s="309"/>
      <c r="QA267" s="309"/>
      <c r="QB267" s="309"/>
      <c r="QC267" s="309"/>
      <c r="QD267" s="309"/>
      <c r="QE267" s="309"/>
      <c r="QF267" s="309"/>
      <c r="QG267" s="309"/>
      <c r="QH267" s="309"/>
      <c r="QI267" s="309"/>
      <c r="QJ267" s="309"/>
      <c r="QK267" s="309"/>
      <c r="QL267" s="309"/>
      <c r="QM267" s="309"/>
      <c r="QN267" s="309"/>
      <c r="QO267" s="309"/>
      <c r="QP267" s="309"/>
      <c r="QQ267" s="309"/>
      <c r="QR267" s="309"/>
      <c r="QS267" s="309"/>
      <c r="QT267" s="309"/>
      <c r="QU267" s="309"/>
      <c r="QV267" s="309"/>
      <c r="QW267" s="309"/>
      <c r="QX267" s="309"/>
      <c r="QY267" s="309"/>
      <c r="QZ267" s="309"/>
      <c r="RA267" s="309"/>
      <c r="RB267" s="309"/>
      <c r="RC267" s="309"/>
      <c r="RD267" s="309"/>
      <c r="RE267" s="309"/>
      <c r="RF267" s="309"/>
      <c r="RG267" s="309"/>
      <c r="RH267" s="309"/>
      <c r="RI267" s="309"/>
      <c r="RJ267" s="309"/>
      <c r="RK267" s="309"/>
      <c r="RL267" s="309"/>
      <c r="RM267" s="309"/>
      <c r="RN267" s="309"/>
      <c r="RO267" s="309"/>
      <c r="RP267" s="309"/>
      <c r="RQ267" s="309"/>
      <c r="RR267" s="309"/>
      <c r="RS267" s="309"/>
      <c r="RT267" s="309"/>
      <c r="RU267" s="309"/>
      <c r="RV267" s="309"/>
      <c r="RW267" s="309"/>
      <c r="RX267" s="309"/>
      <c r="RY267" s="309"/>
      <c r="RZ267" s="309"/>
      <c r="SA267" s="309"/>
      <c r="SB267" s="309"/>
      <c r="SC267" s="309"/>
      <c r="SD267" s="309"/>
      <c r="SE267" s="309"/>
      <c r="SF267" s="309"/>
      <c r="SG267" s="309"/>
      <c r="SH267" s="309"/>
      <c r="SI267" s="309"/>
      <c r="SJ267" s="309"/>
      <c r="SK267" s="309"/>
      <c r="SL267" s="309"/>
      <c r="SM267" s="309"/>
      <c r="SN267" s="309"/>
      <c r="SO267" s="309"/>
      <c r="SP267" s="309"/>
      <c r="SQ267" s="309"/>
      <c r="SR267" s="309"/>
      <c r="SS267" s="309"/>
      <c r="ST267" s="309"/>
      <c r="SU267" s="309"/>
      <c r="SV267" s="309"/>
      <c r="SW267" s="309"/>
      <c r="SX267" s="309"/>
      <c r="SY267" s="309"/>
      <c r="SZ267" s="309"/>
      <c r="TA267" s="309"/>
      <c r="TB267" s="309"/>
      <c r="TC267" s="309"/>
      <c r="TD267" s="309"/>
      <c r="TE267" s="309"/>
      <c r="TF267" s="309"/>
      <c r="TG267" s="309"/>
      <c r="TH267" s="309"/>
      <c r="TI267" s="309"/>
      <c r="TJ267" s="309"/>
      <c r="TK267" s="309"/>
      <c r="TL267" s="309"/>
      <c r="TM267" s="309"/>
      <c r="TN267" s="309"/>
      <c r="TO267" s="309"/>
      <c r="TP267" s="309"/>
      <c r="TQ267" s="309"/>
      <c r="TR267" s="309"/>
      <c r="TS267" s="309"/>
      <c r="TT267" s="309"/>
      <c r="TU267" s="309"/>
      <c r="TV267" s="309"/>
      <c r="TW267" s="309"/>
      <c r="TX267" s="309"/>
      <c r="TY267" s="309"/>
      <c r="TZ267" s="309"/>
      <c r="UA267" s="309"/>
      <c r="UB267" s="309"/>
      <c r="UC267" s="309"/>
      <c r="UD267" s="309"/>
      <c r="UE267" s="309"/>
      <c r="UF267" s="309"/>
      <c r="UG267" s="309"/>
      <c r="UH267" s="309"/>
      <c r="UI267" s="309"/>
      <c r="UJ267" s="309"/>
      <c r="UK267" s="309"/>
      <c r="UL267" s="309"/>
      <c r="UM267" s="309"/>
      <c r="UN267" s="309"/>
      <c r="UO267" s="309"/>
      <c r="UP267" s="309"/>
      <c r="UQ267" s="309"/>
      <c r="UR267" s="309"/>
      <c r="US267" s="309"/>
      <c r="UT267" s="309"/>
      <c r="UU267" s="309"/>
      <c r="UV267" s="309"/>
      <c r="UW267" s="309"/>
      <c r="UX267" s="309"/>
      <c r="UY267" s="309"/>
      <c r="UZ267" s="309"/>
      <c r="VA267" s="309"/>
      <c r="VB267" s="309"/>
      <c r="VC267" s="309"/>
      <c r="VD267" s="309"/>
      <c r="VE267" s="309"/>
      <c r="VF267" s="309"/>
      <c r="VG267" s="309"/>
      <c r="VH267" s="309"/>
      <c r="VI267" s="309"/>
      <c r="VJ267" s="309"/>
      <c r="VK267" s="309"/>
      <c r="VL267" s="309"/>
      <c r="VM267" s="309"/>
      <c r="VN267" s="309"/>
      <c r="VO267" s="309"/>
      <c r="VP267" s="309"/>
      <c r="VQ267" s="309"/>
      <c r="VR267" s="309"/>
      <c r="VS267" s="309"/>
      <c r="VT267" s="309"/>
      <c r="VU267" s="309"/>
      <c r="VV267" s="309"/>
      <c r="VW267" s="309"/>
      <c r="VX267" s="309"/>
      <c r="VY267" s="309"/>
      <c r="VZ267" s="309"/>
      <c r="WA267" s="309"/>
      <c r="WB267" s="309"/>
      <c r="WC267" s="309"/>
      <c r="WD267" s="309"/>
      <c r="WE267" s="309"/>
      <c r="WF267" s="309"/>
      <c r="WG267" s="309"/>
      <c r="WH267" s="309"/>
      <c r="WI267" s="309"/>
      <c r="WJ267" s="309"/>
      <c r="WK267" s="309"/>
      <c r="WL267" s="309"/>
      <c r="WM267" s="309"/>
      <c r="WN267" s="309"/>
      <c r="WO267" s="309"/>
      <c r="WP267" s="309"/>
      <c r="WQ267" s="309"/>
      <c r="WR267" s="309"/>
      <c r="WS267" s="309"/>
      <c r="WT267" s="309"/>
      <c r="WU267" s="309"/>
      <c r="WV267" s="309"/>
      <c r="WW267" s="309"/>
      <c r="WX267" s="309"/>
      <c r="WY267" s="309"/>
      <c r="WZ267" s="309"/>
      <c r="XA267" s="309"/>
      <c r="XB267" s="309"/>
      <c r="XC267" s="309"/>
      <c r="XD267" s="309"/>
      <c r="XE267" s="309"/>
      <c r="XF267" s="309"/>
      <c r="XG267" s="309"/>
      <c r="XH267" s="309"/>
      <c r="XI267" s="309"/>
      <c r="XJ267" s="309"/>
      <c r="XK267" s="309"/>
      <c r="XL267" s="309"/>
      <c r="XM267" s="309"/>
      <c r="XN267" s="309"/>
      <c r="XO267" s="309"/>
      <c r="XP267" s="309"/>
      <c r="XQ267" s="309"/>
      <c r="XR267" s="309"/>
      <c r="XS267" s="309"/>
      <c r="XT267" s="309"/>
      <c r="XU267" s="309"/>
      <c r="XV267" s="309"/>
      <c r="XW267" s="309"/>
      <c r="XX267" s="309"/>
      <c r="XY267" s="309"/>
      <c r="XZ267" s="309"/>
      <c r="YA267" s="309"/>
      <c r="YB267" s="309"/>
      <c r="YC267" s="309"/>
      <c r="YD267" s="309"/>
      <c r="YE267" s="309"/>
      <c r="YF267" s="309"/>
      <c r="YG267" s="309"/>
      <c r="YH267" s="309"/>
      <c r="YI267" s="309"/>
      <c r="YJ267" s="309"/>
      <c r="YK267" s="309"/>
      <c r="YL267" s="309"/>
      <c r="YM267" s="309"/>
      <c r="YN267" s="309"/>
      <c r="YO267" s="309"/>
      <c r="YP267" s="309"/>
      <c r="YQ267" s="309"/>
      <c r="YR267" s="309"/>
      <c r="YS267" s="309"/>
      <c r="YT267" s="309"/>
      <c r="YU267" s="309"/>
      <c r="YV267" s="309"/>
      <c r="YW267" s="309"/>
      <c r="YX267" s="309"/>
      <c r="YY267" s="309"/>
      <c r="YZ267" s="309"/>
      <c r="ZA267" s="309"/>
      <c r="ZB267" s="309"/>
      <c r="ZC267" s="309"/>
      <c r="ZD267" s="309"/>
      <c r="ZE267" s="309"/>
      <c r="ZF267" s="309"/>
      <c r="ZG267" s="309"/>
      <c r="ZH267" s="309"/>
      <c r="ZI267" s="309"/>
      <c r="ZJ267" s="309"/>
    </row>
    <row r="268" spans="5:686" s="308" customFormat="1" x14ac:dyDescent="0.3">
      <c r="E268" s="337"/>
      <c r="F268" s="337"/>
      <c r="G268" s="171"/>
      <c r="H268" s="1"/>
      <c r="Y268" s="309"/>
      <c r="Z268" s="309"/>
      <c r="AA268" s="309"/>
      <c r="AB268" s="309"/>
      <c r="AC268" s="309"/>
      <c r="AD268" s="309"/>
      <c r="AE268" s="309"/>
      <c r="AF268" s="309"/>
      <c r="AG268" s="309"/>
      <c r="AH268" s="309"/>
      <c r="AI268" s="309"/>
      <c r="AJ268" s="309"/>
      <c r="AK268" s="309"/>
      <c r="AL268" s="309"/>
      <c r="AM268" s="309"/>
      <c r="AN268" s="309"/>
      <c r="AO268" s="309"/>
      <c r="AP268" s="309"/>
      <c r="AQ268" s="309"/>
      <c r="AR268" s="309"/>
      <c r="AS268" s="309"/>
      <c r="AT268" s="309"/>
      <c r="AU268" s="309"/>
      <c r="AV268" s="309"/>
      <c r="AW268" s="309"/>
      <c r="AX268" s="309"/>
      <c r="AY268" s="309"/>
      <c r="AZ268" s="309"/>
      <c r="BA268" s="309"/>
      <c r="BB268" s="309"/>
      <c r="BC268" s="309"/>
      <c r="BD268" s="309"/>
      <c r="BE268" s="309"/>
      <c r="BF268" s="309"/>
      <c r="BG268" s="309"/>
      <c r="BH268" s="309"/>
      <c r="BI268" s="309"/>
      <c r="BJ268" s="309"/>
      <c r="BK268" s="309"/>
      <c r="BL268" s="309"/>
      <c r="BM268" s="309"/>
      <c r="BN268" s="309"/>
      <c r="BO268" s="309"/>
      <c r="BP268" s="309"/>
      <c r="BQ268" s="309"/>
      <c r="BR268" s="309"/>
      <c r="BS268" s="309"/>
      <c r="BT268" s="309"/>
      <c r="BU268" s="309"/>
      <c r="BV268" s="309"/>
      <c r="BW268" s="309"/>
      <c r="BX268" s="309"/>
      <c r="BY268" s="309"/>
      <c r="BZ268" s="309"/>
      <c r="CA268" s="309"/>
      <c r="CB268" s="309"/>
      <c r="CC268" s="309"/>
      <c r="CD268" s="309"/>
      <c r="CE268" s="309"/>
      <c r="CF268" s="309"/>
      <c r="CG268" s="309"/>
      <c r="CH268" s="309"/>
      <c r="CI268" s="309"/>
      <c r="CJ268" s="309"/>
      <c r="CK268" s="309"/>
      <c r="CL268" s="309"/>
      <c r="CM268" s="309"/>
      <c r="CN268" s="309"/>
      <c r="CO268" s="309"/>
      <c r="CP268" s="309"/>
      <c r="CQ268" s="309"/>
      <c r="CR268" s="309"/>
      <c r="CS268" s="309"/>
      <c r="CT268" s="309"/>
      <c r="CU268" s="309"/>
      <c r="CV268" s="309"/>
      <c r="CW268" s="309"/>
      <c r="CX268" s="309"/>
      <c r="CY268" s="309"/>
      <c r="CZ268" s="309"/>
      <c r="DA268" s="309"/>
      <c r="DB268" s="309"/>
      <c r="DC268" s="309"/>
      <c r="DD268" s="309"/>
      <c r="DE268" s="309"/>
      <c r="DF268" s="309"/>
      <c r="DG268" s="309"/>
      <c r="DH268" s="309"/>
      <c r="DI268" s="309"/>
      <c r="DJ268" s="309"/>
      <c r="DK268" s="309"/>
      <c r="DL268" s="309"/>
      <c r="DM268" s="309"/>
      <c r="DN268" s="309"/>
      <c r="DO268" s="309"/>
      <c r="DP268" s="309"/>
      <c r="DQ268" s="309"/>
      <c r="DR268" s="309"/>
      <c r="DS268" s="309"/>
      <c r="DT268" s="309"/>
      <c r="DU268" s="309"/>
      <c r="DV268" s="309"/>
      <c r="DW268" s="309"/>
      <c r="DX268" s="309"/>
      <c r="DY268" s="309"/>
      <c r="DZ268" s="309"/>
      <c r="EA268" s="309"/>
      <c r="EB268" s="309"/>
      <c r="EC268" s="309"/>
      <c r="ED268" s="309"/>
      <c r="EE268" s="309"/>
      <c r="EF268" s="309"/>
      <c r="EG268" s="309"/>
      <c r="EH268" s="309"/>
      <c r="EI268" s="309"/>
      <c r="EJ268" s="309"/>
      <c r="EK268" s="309"/>
      <c r="EL268" s="309"/>
      <c r="EM268" s="309"/>
      <c r="EN268" s="309"/>
      <c r="EO268" s="309"/>
      <c r="EP268" s="309"/>
      <c r="EQ268" s="309"/>
      <c r="ER268" s="309"/>
      <c r="ES268" s="309"/>
      <c r="ET268" s="309"/>
      <c r="EU268" s="309"/>
      <c r="EV268" s="309"/>
      <c r="EW268" s="309"/>
      <c r="EX268" s="309"/>
      <c r="EY268" s="309"/>
      <c r="EZ268" s="309"/>
      <c r="FA268" s="309"/>
      <c r="FB268" s="309"/>
      <c r="FC268" s="309"/>
      <c r="FD268" s="309"/>
      <c r="FE268" s="309"/>
      <c r="FF268" s="309"/>
      <c r="FG268" s="309"/>
      <c r="FH268" s="309"/>
      <c r="FI268" s="309"/>
      <c r="FJ268" s="309"/>
      <c r="FK268" s="309"/>
      <c r="FL268" s="309"/>
      <c r="FM268" s="309"/>
      <c r="FN268" s="309"/>
      <c r="FO268" s="309"/>
      <c r="FP268" s="309"/>
      <c r="FQ268" s="309"/>
      <c r="FR268" s="309"/>
      <c r="FS268" s="309"/>
      <c r="FT268" s="309"/>
      <c r="FU268" s="309"/>
      <c r="FV268" s="309"/>
      <c r="FW268" s="309"/>
      <c r="FX268" s="309"/>
      <c r="FY268" s="309"/>
      <c r="FZ268" s="309"/>
      <c r="GA268" s="309"/>
      <c r="GB268" s="309"/>
      <c r="GC268" s="309"/>
      <c r="GD268" s="309"/>
      <c r="GE268" s="309"/>
      <c r="GF268" s="309"/>
      <c r="GG268" s="309"/>
      <c r="GH268" s="309"/>
      <c r="GI268" s="309"/>
      <c r="GJ268" s="309"/>
      <c r="GK268" s="309"/>
      <c r="GL268" s="309"/>
      <c r="GM268" s="309"/>
      <c r="GN268" s="309"/>
      <c r="GO268" s="309"/>
      <c r="GP268" s="309"/>
      <c r="GQ268" s="309"/>
      <c r="GR268" s="309"/>
      <c r="GS268" s="309"/>
      <c r="GT268" s="309"/>
      <c r="GU268" s="309"/>
      <c r="GV268" s="309"/>
      <c r="GW268" s="309"/>
      <c r="GX268" s="309"/>
      <c r="GY268" s="309"/>
      <c r="GZ268" s="309"/>
      <c r="HA268" s="309"/>
      <c r="HB268" s="309"/>
      <c r="HC268" s="309"/>
      <c r="HD268" s="309"/>
      <c r="HE268" s="309"/>
      <c r="HF268" s="309"/>
      <c r="HG268" s="309"/>
      <c r="HH268" s="309"/>
      <c r="HI268" s="309"/>
      <c r="HJ268" s="309"/>
      <c r="HK268" s="309"/>
      <c r="HL268" s="309"/>
      <c r="HM268" s="309"/>
      <c r="HN268" s="309"/>
      <c r="HO268" s="309"/>
      <c r="HP268" s="309"/>
      <c r="HQ268" s="309"/>
      <c r="HR268" s="309"/>
      <c r="HS268" s="309"/>
      <c r="HT268" s="309"/>
      <c r="HU268" s="309"/>
      <c r="HV268" s="309"/>
      <c r="HW268" s="309"/>
      <c r="HX268" s="309"/>
      <c r="HY268" s="309"/>
      <c r="HZ268" s="309"/>
      <c r="IA268" s="309"/>
      <c r="IB268" s="309"/>
      <c r="IC268" s="309"/>
      <c r="ID268" s="309"/>
      <c r="IE268" s="309"/>
      <c r="IF268" s="309"/>
      <c r="IG268" s="309"/>
      <c r="IH268" s="309"/>
      <c r="II268" s="309"/>
      <c r="IJ268" s="309"/>
      <c r="IK268" s="309"/>
      <c r="IL268" s="309"/>
      <c r="IM268" s="309"/>
      <c r="IN268" s="309"/>
      <c r="IO268" s="309"/>
      <c r="IP268" s="309"/>
      <c r="IQ268" s="309"/>
      <c r="IR268" s="309"/>
      <c r="IS268" s="309"/>
      <c r="IT268" s="309"/>
      <c r="IU268" s="309"/>
      <c r="IV268" s="309"/>
      <c r="IW268" s="309"/>
      <c r="IX268" s="309"/>
      <c r="IY268" s="309"/>
      <c r="IZ268" s="309"/>
      <c r="JA268" s="309"/>
      <c r="JB268" s="309"/>
      <c r="JC268" s="309"/>
      <c r="JD268" s="309"/>
      <c r="JE268" s="309"/>
      <c r="JF268" s="309"/>
      <c r="JG268" s="309"/>
      <c r="JH268" s="309"/>
      <c r="JI268" s="309"/>
      <c r="JJ268" s="309"/>
      <c r="JK268" s="309"/>
      <c r="JL268" s="309"/>
      <c r="JM268" s="309"/>
      <c r="JN268" s="309"/>
      <c r="JO268" s="309"/>
      <c r="JP268" s="309"/>
      <c r="JQ268" s="309"/>
      <c r="JR268" s="309"/>
      <c r="JS268" s="309"/>
      <c r="JT268" s="309"/>
      <c r="JU268" s="309"/>
      <c r="JV268" s="309"/>
      <c r="JW268" s="309"/>
      <c r="JX268" s="309"/>
      <c r="JY268" s="309"/>
      <c r="JZ268" s="309"/>
      <c r="KA268" s="309"/>
      <c r="KB268" s="309"/>
      <c r="KC268" s="309"/>
      <c r="KD268" s="309"/>
      <c r="KE268" s="309"/>
      <c r="KF268" s="309"/>
      <c r="KG268" s="309"/>
      <c r="KH268" s="309"/>
      <c r="KI268" s="309"/>
      <c r="KJ268" s="309"/>
      <c r="KK268" s="309"/>
      <c r="KL268" s="309"/>
      <c r="KM268" s="309"/>
      <c r="KN268" s="309"/>
      <c r="KO268" s="309"/>
      <c r="KP268" s="309"/>
      <c r="KQ268" s="309"/>
      <c r="KR268" s="309"/>
      <c r="KS268" s="309"/>
      <c r="KT268" s="309"/>
      <c r="KU268" s="309"/>
      <c r="KV268" s="309"/>
      <c r="KW268" s="309"/>
      <c r="KX268" s="309"/>
      <c r="KY268" s="309"/>
      <c r="KZ268" s="309"/>
      <c r="LA268" s="309"/>
      <c r="LB268" s="309"/>
      <c r="LC268" s="309"/>
      <c r="LD268" s="309"/>
      <c r="LE268" s="309"/>
      <c r="LF268" s="309"/>
      <c r="LG268" s="309"/>
      <c r="LH268" s="309"/>
      <c r="LI268" s="309"/>
      <c r="LJ268" s="309"/>
      <c r="LK268" s="309"/>
      <c r="LL268" s="309"/>
      <c r="LM268" s="309"/>
      <c r="LN268" s="309"/>
      <c r="LO268" s="309"/>
      <c r="LP268" s="309"/>
      <c r="LQ268" s="309"/>
      <c r="LR268" s="309"/>
      <c r="LS268" s="309"/>
      <c r="LT268" s="309"/>
      <c r="LU268" s="309"/>
      <c r="LV268" s="309"/>
      <c r="LW268" s="309"/>
      <c r="LX268" s="309"/>
      <c r="LY268" s="309"/>
      <c r="LZ268" s="309"/>
      <c r="MA268" s="309"/>
      <c r="MB268" s="309"/>
      <c r="MC268" s="309"/>
      <c r="MD268" s="309"/>
      <c r="ME268" s="309"/>
      <c r="MF268" s="309"/>
      <c r="MG268" s="309"/>
      <c r="MH268" s="309"/>
      <c r="MI268" s="309"/>
      <c r="MJ268" s="309"/>
      <c r="MK268" s="309"/>
      <c r="ML268" s="309"/>
      <c r="MM268" s="309"/>
      <c r="MN268" s="309"/>
      <c r="MO268" s="309"/>
      <c r="MP268" s="309"/>
      <c r="MQ268" s="309"/>
      <c r="MR268" s="309"/>
      <c r="MS268" s="309"/>
      <c r="MT268" s="309"/>
      <c r="MU268" s="309"/>
      <c r="MV268" s="309"/>
      <c r="MW268" s="309"/>
      <c r="MX268" s="309"/>
      <c r="MY268" s="309"/>
      <c r="MZ268" s="309"/>
      <c r="NA268" s="309"/>
      <c r="NB268" s="309"/>
      <c r="NC268" s="309"/>
      <c r="ND268" s="309"/>
      <c r="NE268" s="309"/>
      <c r="NF268" s="309"/>
      <c r="NG268" s="309"/>
      <c r="NH268" s="309"/>
      <c r="NI268" s="309"/>
      <c r="NJ268" s="309"/>
      <c r="NK268" s="309"/>
      <c r="NL268" s="309"/>
      <c r="NM268" s="309"/>
      <c r="NN268" s="309"/>
      <c r="NO268" s="309"/>
      <c r="NP268" s="309"/>
      <c r="NQ268" s="309"/>
      <c r="NR268" s="309"/>
      <c r="NS268" s="309"/>
      <c r="NT268" s="309"/>
      <c r="NU268" s="309"/>
      <c r="NV268" s="309"/>
      <c r="NW268" s="309"/>
      <c r="NX268" s="309"/>
      <c r="NY268" s="309"/>
      <c r="NZ268" s="309"/>
      <c r="OA268" s="309"/>
      <c r="OB268" s="309"/>
      <c r="OC268" s="309"/>
      <c r="OD268" s="309"/>
      <c r="OE268" s="309"/>
      <c r="OF268" s="309"/>
      <c r="OG268" s="309"/>
      <c r="OH268" s="309"/>
      <c r="OI268" s="309"/>
      <c r="OJ268" s="309"/>
      <c r="OK268" s="309"/>
      <c r="OL268" s="309"/>
      <c r="OM268" s="309"/>
      <c r="ON268" s="309"/>
      <c r="OO268" s="309"/>
      <c r="OP268" s="309"/>
      <c r="OQ268" s="309"/>
      <c r="OR268" s="309"/>
      <c r="OS268" s="309"/>
      <c r="OT268" s="309"/>
      <c r="OU268" s="309"/>
      <c r="OV268" s="309"/>
      <c r="OW268" s="309"/>
      <c r="OX268" s="309"/>
      <c r="OY268" s="309"/>
      <c r="OZ268" s="309"/>
      <c r="PA268" s="309"/>
      <c r="PB268" s="309"/>
      <c r="PC268" s="309"/>
      <c r="PD268" s="309"/>
      <c r="PE268" s="309"/>
      <c r="PF268" s="309"/>
      <c r="PG268" s="309"/>
      <c r="PH268" s="309"/>
      <c r="PI268" s="309"/>
      <c r="PJ268" s="309"/>
      <c r="PK268" s="309"/>
      <c r="PL268" s="309"/>
      <c r="PM268" s="309"/>
      <c r="PN268" s="309"/>
      <c r="PO268" s="309"/>
      <c r="PP268" s="309"/>
      <c r="PQ268" s="309"/>
      <c r="PR268" s="309"/>
      <c r="PS268" s="309"/>
      <c r="PT268" s="309"/>
      <c r="PU268" s="309"/>
      <c r="PV268" s="309"/>
      <c r="PW268" s="309"/>
      <c r="PX268" s="309"/>
      <c r="PY268" s="309"/>
      <c r="PZ268" s="309"/>
      <c r="QA268" s="309"/>
      <c r="QB268" s="309"/>
      <c r="QC268" s="309"/>
      <c r="QD268" s="309"/>
      <c r="QE268" s="309"/>
      <c r="QF268" s="309"/>
      <c r="QG268" s="309"/>
      <c r="QH268" s="309"/>
      <c r="QI268" s="309"/>
      <c r="QJ268" s="309"/>
      <c r="QK268" s="309"/>
      <c r="QL268" s="309"/>
      <c r="QM268" s="309"/>
      <c r="QN268" s="309"/>
      <c r="QO268" s="309"/>
      <c r="QP268" s="309"/>
      <c r="QQ268" s="309"/>
      <c r="QR268" s="309"/>
      <c r="QS268" s="309"/>
      <c r="QT268" s="309"/>
      <c r="QU268" s="309"/>
      <c r="QV268" s="309"/>
      <c r="QW268" s="309"/>
      <c r="QX268" s="309"/>
      <c r="QY268" s="309"/>
      <c r="QZ268" s="309"/>
      <c r="RA268" s="309"/>
      <c r="RB268" s="309"/>
      <c r="RC268" s="309"/>
      <c r="RD268" s="309"/>
      <c r="RE268" s="309"/>
      <c r="RF268" s="309"/>
      <c r="RG268" s="309"/>
      <c r="RH268" s="309"/>
      <c r="RI268" s="309"/>
      <c r="RJ268" s="309"/>
      <c r="RK268" s="309"/>
      <c r="RL268" s="309"/>
      <c r="RM268" s="309"/>
      <c r="RN268" s="309"/>
      <c r="RO268" s="309"/>
      <c r="RP268" s="309"/>
      <c r="RQ268" s="309"/>
      <c r="RR268" s="309"/>
      <c r="RS268" s="309"/>
      <c r="RT268" s="309"/>
      <c r="RU268" s="309"/>
      <c r="RV268" s="309"/>
      <c r="RW268" s="309"/>
      <c r="RX268" s="309"/>
      <c r="RY268" s="309"/>
      <c r="RZ268" s="309"/>
      <c r="SA268" s="309"/>
      <c r="SB268" s="309"/>
      <c r="SC268" s="309"/>
      <c r="SD268" s="309"/>
      <c r="SE268" s="309"/>
      <c r="SF268" s="309"/>
      <c r="SG268" s="309"/>
      <c r="SH268" s="309"/>
      <c r="SI268" s="309"/>
      <c r="SJ268" s="309"/>
      <c r="SK268" s="309"/>
      <c r="SL268" s="309"/>
      <c r="SM268" s="309"/>
      <c r="SN268" s="309"/>
      <c r="SO268" s="309"/>
      <c r="SP268" s="309"/>
      <c r="SQ268" s="309"/>
      <c r="SR268" s="309"/>
      <c r="SS268" s="309"/>
      <c r="ST268" s="309"/>
      <c r="SU268" s="309"/>
      <c r="SV268" s="309"/>
      <c r="SW268" s="309"/>
      <c r="SX268" s="309"/>
      <c r="SY268" s="309"/>
      <c r="SZ268" s="309"/>
      <c r="TA268" s="309"/>
      <c r="TB268" s="309"/>
      <c r="TC268" s="309"/>
      <c r="TD268" s="309"/>
      <c r="TE268" s="309"/>
      <c r="TF268" s="309"/>
      <c r="TG268" s="309"/>
      <c r="TH268" s="309"/>
      <c r="TI268" s="309"/>
      <c r="TJ268" s="309"/>
      <c r="TK268" s="309"/>
      <c r="TL268" s="309"/>
      <c r="TM268" s="309"/>
      <c r="TN268" s="309"/>
      <c r="TO268" s="309"/>
      <c r="TP268" s="309"/>
      <c r="TQ268" s="309"/>
      <c r="TR268" s="309"/>
      <c r="TS268" s="309"/>
      <c r="TT268" s="309"/>
      <c r="TU268" s="309"/>
      <c r="TV268" s="309"/>
      <c r="TW268" s="309"/>
      <c r="TX268" s="309"/>
      <c r="TY268" s="309"/>
      <c r="TZ268" s="309"/>
      <c r="UA268" s="309"/>
      <c r="UB268" s="309"/>
      <c r="UC268" s="309"/>
      <c r="UD268" s="309"/>
      <c r="UE268" s="309"/>
      <c r="UF268" s="309"/>
      <c r="UG268" s="309"/>
      <c r="UH268" s="309"/>
      <c r="UI268" s="309"/>
      <c r="UJ268" s="309"/>
      <c r="UK268" s="309"/>
      <c r="UL268" s="309"/>
      <c r="UM268" s="309"/>
      <c r="UN268" s="309"/>
      <c r="UO268" s="309"/>
      <c r="UP268" s="309"/>
      <c r="UQ268" s="309"/>
      <c r="UR268" s="309"/>
      <c r="US268" s="309"/>
      <c r="UT268" s="309"/>
      <c r="UU268" s="309"/>
      <c r="UV268" s="309"/>
      <c r="UW268" s="309"/>
      <c r="UX268" s="309"/>
      <c r="UY268" s="309"/>
      <c r="UZ268" s="309"/>
      <c r="VA268" s="309"/>
      <c r="VB268" s="309"/>
      <c r="VC268" s="309"/>
      <c r="VD268" s="309"/>
      <c r="VE268" s="309"/>
      <c r="VF268" s="309"/>
      <c r="VG268" s="309"/>
      <c r="VH268" s="309"/>
      <c r="VI268" s="309"/>
      <c r="VJ268" s="309"/>
      <c r="VK268" s="309"/>
      <c r="VL268" s="309"/>
      <c r="VM268" s="309"/>
      <c r="VN268" s="309"/>
      <c r="VO268" s="309"/>
      <c r="VP268" s="309"/>
      <c r="VQ268" s="309"/>
      <c r="VR268" s="309"/>
      <c r="VS268" s="309"/>
      <c r="VT268" s="309"/>
      <c r="VU268" s="309"/>
      <c r="VV268" s="309"/>
      <c r="VW268" s="309"/>
      <c r="VX268" s="309"/>
      <c r="VY268" s="309"/>
      <c r="VZ268" s="309"/>
      <c r="WA268" s="309"/>
      <c r="WB268" s="309"/>
      <c r="WC268" s="309"/>
      <c r="WD268" s="309"/>
      <c r="WE268" s="309"/>
      <c r="WF268" s="309"/>
      <c r="WG268" s="309"/>
      <c r="WH268" s="309"/>
      <c r="WI268" s="309"/>
      <c r="WJ268" s="309"/>
      <c r="WK268" s="309"/>
      <c r="WL268" s="309"/>
      <c r="WM268" s="309"/>
      <c r="WN268" s="309"/>
      <c r="WO268" s="309"/>
      <c r="WP268" s="309"/>
      <c r="WQ268" s="309"/>
      <c r="WR268" s="309"/>
      <c r="WS268" s="309"/>
      <c r="WT268" s="309"/>
      <c r="WU268" s="309"/>
      <c r="WV268" s="309"/>
      <c r="WW268" s="309"/>
      <c r="WX268" s="309"/>
      <c r="WY268" s="309"/>
      <c r="WZ268" s="309"/>
      <c r="XA268" s="309"/>
      <c r="XB268" s="309"/>
      <c r="XC268" s="309"/>
      <c r="XD268" s="309"/>
      <c r="XE268" s="309"/>
      <c r="XF268" s="309"/>
      <c r="XG268" s="309"/>
      <c r="XH268" s="309"/>
      <c r="XI268" s="309"/>
      <c r="XJ268" s="309"/>
      <c r="XK268" s="309"/>
      <c r="XL268" s="309"/>
      <c r="XM268" s="309"/>
      <c r="XN268" s="309"/>
      <c r="XO268" s="309"/>
      <c r="XP268" s="309"/>
      <c r="XQ268" s="309"/>
      <c r="XR268" s="309"/>
      <c r="XS268" s="309"/>
      <c r="XT268" s="309"/>
      <c r="XU268" s="309"/>
      <c r="XV268" s="309"/>
      <c r="XW268" s="309"/>
      <c r="XX268" s="309"/>
      <c r="XY268" s="309"/>
      <c r="XZ268" s="309"/>
      <c r="YA268" s="309"/>
      <c r="YB268" s="309"/>
      <c r="YC268" s="309"/>
      <c r="YD268" s="309"/>
      <c r="YE268" s="309"/>
      <c r="YF268" s="309"/>
      <c r="YG268" s="309"/>
      <c r="YH268" s="309"/>
      <c r="YI268" s="309"/>
      <c r="YJ268" s="309"/>
      <c r="YK268" s="309"/>
      <c r="YL268" s="309"/>
      <c r="YM268" s="309"/>
      <c r="YN268" s="309"/>
      <c r="YO268" s="309"/>
      <c r="YP268" s="309"/>
      <c r="YQ268" s="309"/>
      <c r="YR268" s="309"/>
      <c r="YS268" s="309"/>
      <c r="YT268" s="309"/>
      <c r="YU268" s="309"/>
      <c r="YV268" s="309"/>
      <c r="YW268" s="309"/>
      <c r="YX268" s="309"/>
      <c r="YY268" s="309"/>
      <c r="YZ268" s="309"/>
      <c r="ZA268" s="309"/>
      <c r="ZB268" s="309"/>
      <c r="ZC268" s="309"/>
      <c r="ZD268" s="309"/>
      <c r="ZE268" s="309"/>
      <c r="ZF268" s="309"/>
      <c r="ZG268" s="309"/>
      <c r="ZH268" s="309"/>
      <c r="ZI268" s="309"/>
      <c r="ZJ268" s="309"/>
    </row>
    <row r="269" spans="5:686" s="308" customFormat="1" x14ac:dyDescent="0.3">
      <c r="E269" s="337"/>
      <c r="F269" s="337"/>
      <c r="G269" s="171"/>
      <c r="H269" s="1"/>
      <c r="Y269" s="309"/>
      <c r="Z269" s="309"/>
      <c r="AA269" s="309"/>
      <c r="AB269" s="309"/>
      <c r="AC269" s="309"/>
      <c r="AD269" s="309"/>
      <c r="AE269" s="309"/>
      <c r="AF269" s="309"/>
      <c r="AG269" s="309"/>
      <c r="AH269" s="309"/>
      <c r="AI269" s="309"/>
      <c r="AJ269" s="309"/>
      <c r="AK269" s="309"/>
      <c r="AL269" s="309"/>
      <c r="AM269" s="309"/>
      <c r="AN269" s="309"/>
      <c r="AO269" s="309"/>
      <c r="AP269" s="309"/>
      <c r="AQ269" s="309"/>
      <c r="AR269" s="309"/>
      <c r="AS269" s="309"/>
      <c r="AT269" s="309"/>
      <c r="AU269" s="309"/>
      <c r="AV269" s="309"/>
      <c r="AW269" s="309"/>
      <c r="AX269" s="309"/>
      <c r="AY269" s="309"/>
      <c r="AZ269" s="309"/>
      <c r="BA269" s="309"/>
      <c r="BB269" s="309"/>
      <c r="BC269" s="309"/>
      <c r="BD269" s="309"/>
      <c r="BE269" s="309"/>
      <c r="BF269" s="309"/>
      <c r="BG269" s="309"/>
      <c r="BH269" s="309"/>
      <c r="BI269" s="309"/>
      <c r="BJ269" s="309"/>
      <c r="BK269" s="309"/>
      <c r="BL269" s="309"/>
      <c r="BM269" s="309"/>
      <c r="BN269" s="309"/>
      <c r="BO269" s="309"/>
      <c r="BP269" s="309"/>
      <c r="BQ269" s="309"/>
      <c r="BR269" s="309"/>
      <c r="BS269" s="309"/>
      <c r="BT269" s="309"/>
      <c r="BU269" s="309"/>
      <c r="BV269" s="309"/>
      <c r="BW269" s="309"/>
      <c r="BX269" s="309"/>
      <c r="BY269" s="309"/>
      <c r="BZ269" s="309"/>
      <c r="CA269" s="309"/>
      <c r="CB269" s="309"/>
      <c r="CC269" s="309"/>
      <c r="CD269" s="309"/>
      <c r="CE269" s="309"/>
      <c r="CF269" s="309"/>
      <c r="CG269" s="309"/>
      <c r="CH269" s="309"/>
      <c r="CI269" s="309"/>
      <c r="CJ269" s="309"/>
      <c r="CK269" s="309"/>
      <c r="CL269" s="309"/>
      <c r="CM269" s="309"/>
      <c r="CN269" s="309"/>
      <c r="CO269" s="309"/>
      <c r="CP269" s="309"/>
      <c r="CQ269" s="309"/>
      <c r="CR269" s="309"/>
      <c r="CS269" s="309"/>
      <c r="CT269" s="309"/>
      <c r="CU269" s="309"/>
      <c r="CV269" s="309"/>
      <c r="CW269" s="309"/>
      <c r="CX269" s="309"/>
      <c r="CY269" s="309"/>
      <c r="CZ269" s="309"/>
      <c r="DA269" s="309"/>
      <c r="DB269" s="309"/>
      <c r="DC269" s="309"/>
      <c r="DD269" s="309"/>
      <c r="DE269" s="309"/>
      <c r="DF269" s="309"/>
      <c r="DG269" s="309"/>
      <c r="DH269" s="309"/>
      <c r="DI269" s="309"/>
      <c r="DJ269" s="309"/>
      <c r="DK269" s="309"/>
      <c r="DL269" s="309"/>
      <c r="DM269" s="309"/>
      <c r="DN269" s="309"/>
      <c r="DO269" s="309"/>
      <c r="DP269" s="309"/>
      <c r="DQ269" s="309"/>
      <c r="DR269" s="309"/>
      <c r="DS269" s="309"/>
      <c r="DT269" s="309"/>
      <c r="DU269" s="309"/>
      <c r="DV269" s="309"/>
      <c r="DW269" s="309"/>
      <c r="DX269" s="309"/>
      <c r="DY269" s="309"/>
      <c r="DZ269" s="309"/>
      <c r="EA269" s="309"/>
      <c r="EB269" s="309"/>
      <c r="EC269" s="309"/>
      <c r="ED269" s="309"/>
      <c r="EE269" s="309"/>
      <c r="EF269" s="309"/>
      <c r="EG269" s="309"/>
      <c r="EH269" s="309"/>
      <c r="EI269" s="309"/>
      <c r="EJ269" s="309"/>
      <c r="EK269" s="309"/>
      <c r="EL269" s="309"/>
      <c r="EM269" s="309"/>
      <c r="EN269" s="309"/>
      <c r="EO269" s="309"/>
      <c r="EP269" s="309"/>
      <c r="EQ269" s="309"/>
      <c r="ER269" s="309"/>
      <c r="ES269" s="309"/>
      <c r="ET269" s="309"/>
      <c r="EU269" s="309"/>
      <c r="EV269" s="309"/>
      <c r="EW269" s="309"/>
      <c r="EX269" s="309"/>
      <c r="EY269" s="309"/>
      <c r="EZ269" s="309"/>
      <c r="FA269" s="309"/>
      <c r="FB269" s="309"/>
      <c r="FC269" s="309"/>
      <c r="FD269" s="309"/>
      <c r="FE269" s="309"/>
      <c r="FF269" s="309"/>
      <c r="FG269" s="309"/>
      <c r="FH269" s="309"/>
      <c r="FI269" s="309"/>
      <c r="FJ269" s="309"/>
      <c r="FK269" s="309"/>
      <c r="FL269" s="309"/>
      <c r="FM269" s="309"/>
      <c r="FN269" s="309"/>
      <c r="FO269" s="309"/>
      <c r="FP269" s="309"/>
      <c r="FQ269" s="309"/>
      <c r="FR269" s="309"/>
      <c r="FS269" s="309"/>
      <c r="FT269" s="309"/>
      <c r="FU269" s="309"/>
      <c r="FV269" s="309"/>
      <c r="FW269" s="309"/>
      <c r="FX269" s="309"/>
      <c r="FY269" s="309"/>
      <c r="FZ269" s="309"/>
      <c r="GA269" s="309"/>
      <c r="GB269" s="309"/>
      <c r="GC269" s="309"/>
      <c r="GD269" s="309"/>
      <c r="GE269" s="309"/>
      <c r="GF269" s="309"/>
      <c r="GG269" s="309"/>
      <c r="GH269" s="309"/>
      <c r="GI269" s="309"/>
      <c r="GJ269" s="309"/>
      <c r="GK269" s="309"/>
      <c r="GL269" s="309"/>
      <c r="GM269" s="309"/>
      <c r="GN269" s="309"/>
      <c r="GO269" s="309"/>
      <c r="GP269" s="309"/>
      <c r="GQ269" s="309"/>
      <c r="GR269" s="309"/>
      <c r="GS269" s="309"/>
      <c r="GT269" s="309"/>
      <c r="GU269" s="309"/>
      <c r="GV269" s="309"/>
      <c r="GW269" s="309"/>
      <c r="GX269" s="309"/>
      <c r="GY269" s="309"/>
      <c r="GZ269" s="309"/>
      <c r="HA269" s="309"/>
      <c r="HB269" s="309"/>
      <c r="HC269" s="309"/>
      <c r="HD269" s="309"/>
      <c r="HE269" s="309"/>
      <c r="HF269" s="309"/>
      <c r="HG269" s="309"/>
      <c r="HH269" s="309"/>
      <c r="HI269" s="309"/>
      <c r="HJ269" s="309"/>
      <c r="HK269" s="309"/>
      <c r="HL269" s="309"/>
      <c r="HM269" s="309"/>
      <c r="HN269" s="309"/>
      <c r="HO269" s="309"/>
      <c r="HP269" s="309"/>
      <c r="HQ269" s="309"/>
      <c r="HR269" s="309"/>
      <c r="HS269" s="309"/>
      <c r="HT269" s="309"/>
      <c r="HU269" s="309"/>
      <c r="HV269" s="309"/>
      <c r="HW269" s="309"/>
      <c r="HX269" s="309"/>
      <c r="HY269" s="309"/>
      <c r="HZ269" s="309"/>
      <c r="IA269" s="309"/>
      <c r="IB269" s="309"/>
      <c r="IC269" s="309"/>
      <c r="ID269" s="309"/>
      <c r="IE269" s="309"/>
      <c r="IF269" s="309"/>
      <c r="IG269" s="309"/>
      <c r="IH269" s="309"/>
      <c r="II269" s="309"/>
      <c r="IJ269" s="309"/>
      <c r="IK269" s="309"/>
      <c r="IL269" s="309"/>
      <c r="IM269" s="309"/>
      <c r="IN269" s="309"/>
      <c r="IO269" s="309"/>
      <c r="IP269" s="309"/>
      <c r="IQ269" s="309"/>
      <c r="IR269" s="309"/>
      <c r="IS269" s="309"/>
      <c r="IT269" s="309"/>
      <c r="IU269" s="309"/>
      <c r="IV269" s="309"/>
      <c r="IW269" s="309"/>
      <c r="IX269" s="309"/>
      <c r="IY269" s="309"/>
      <c r="IZ269" s="309"/>
      <c r="JA269" s="309"/>
      <c r="JB269" s="309"/>
      <c r="JC269" s="309"/>
      <c r="JD269" s="309"/>
      <c r="JE269" s="309"/>
      <c r="JF269" s="309"/>
      <c r="JG269" s="309"/>
      <c r="JH269" s="309"/>
      <c r="JI269" s="309"/>
      <c r="JJ269" s="309"/>
      <c r="JK269" s="309"/>
      <c r="JL269" s="309"/>
      <c r="JM269" s="309"/>
      <c r="JN269" s="309"/>
      <c r="JO269" s="309"/>
      <c r="JP269" s="309"/>
      <c r="JQ269" s="309"/>
      <c r="JR269" s="309"/>
      <c r="JS269" s="309"/>
      <c r="JT269" s="309"/>
      <c r="JU269" s="309"/>
      <c r="JV269" s="309"/>
      <c r="JW269" s="309"/>
      <c r="JX269" s="309"/>
      <c r="JY269" s="309"/>
      <c r="JZ269" s="309"/>
      <c r="KA269" s="309"/>
      <c r="KB269" s="309"/>
      <c r="KC269" s="309"/>
      <c r="KD269" s="309"/>
      <c r="KE269" s="309"/>
      <c r="KF269" s="309"/>
      <c r="KG269" s="309"/>
      <c r="KH269" s="309"/>
      <c r="KI269" s="309"/>
      <c r="KJ269" s="309"/>
      <c r="KK269" s="309"/>
      <c r="KL269" s="309"/>
      <c r="KM269" s="309"/>
      <c r="KN269" s="309"/>
      <c r="KO269" s="309"/>
      <c r="KP269" s="309"/>
      <c r="KQ269" s="309"/>
      <c r="KR269" s="309"/>
      <c r="KS269" s="309"/>
      <c r="KT269" s="309"/>
      <c r="KU269" s="309"/>
      <c r="KV269" s="309"/>
      <c r="KW269" s="309"/>
      <c r="KX269" s="309"/>
      <c r="KY269" s="309"/>
      <c r="KZ269" s="309"/>
      <c r="LA269" s="309"/>
      <c r="LB269" s="309"/>
      <c r="LC269" s="309"/>
      <c r="LD269" s="309"/>
      <c r="LE269" s="309"/>
      <c r="LF269" s="309"/>
      <c r="LG269" s="309"/>
      <c r="LH269" s="309"/>
      <c r="LI269" s="309"/>
      <c r="LJ269" s="309"/>
      <c r="LK269" s="309"/>
      <c r="LL269" s="309"/>
      <c r="LM269" s="309"/>
      <c r="LN269" s="309"/>
      <c r="LO269" s="309"/>
      <c r="LP269" s="309"/>
      <c r="LQ269" s="309"/>
      <c r="LR269" s="309"/>
      <c r="LS269" s="309"/>
      <c r="LT269" s="309"/>
      <c r="LU269" s="309"/>
      <c r="LV269" s="309"/>
      <c r="LW269" s="309"/>
      <c r="LX269" s="309"/>
      <c r="LY269" s="309"/>
      <c r="LZ269" s="309"/>
      <c r="MA269" s="309"/>
      <c r="MB269" s="309"/>
      <c r="MC269" s="309"/>
      <c r="MD269" s="309"/>
      <c r="ME269" s="309"/>
      <c r="MF269" s="309"/>
      <c r="MG269" s="309"/>
      <c r="MH269" s="309"/>
      <c r="MI269" s="309"/>
      <c r="MJ269" s="309"/>
      <c r="MK269" s="309"/>
      <c r="ML269" s="309"/>
      <c r="MM269" s="309"/>
      <c r="MN269" s="309"/>
      <c r="MO269" s="309"/>
      <c r="MP269" s="309"/>
      <c r="MQ269" s="309"/>
      <c r="MR269" s="309"/>
      <c r="MS269" s="309"/>
      <c r="MT269" s="309"/>
      <c r="MU269" s="309"/>
      <c r="MV269" s="309"/>
      <c r="MW269" s="309"/>
      <c r="MX269" s="309"/>
      <c r="MY269" s="309"/>
      <c r="MZ269" s="309"/>
      <c r="NA269" s="309"/>
      <c r="NB269" s="309"/>
      <c r="NC269" s="309"/>
      <c r="ND269" s="309"/>
      <c r="NE269" s="309"/>
      <c r="NF269" s="309"/>
      <c r="NG269" s="309"/>
      <c r="NH269" s="309"/>
      <c r="NI269" s="309"/>
      <c r="NJ269" s="309"/>
      <c r="NK269" s="309"/>
      <c r="NL269" s="309"/>
      <c r="NM269" s="309"/>
      <c r="NN269" s="309"/>
      <c r="NO269" s="309"/>
      <c r="NP269" s="309"/>
      <c r="NQ269" s="309"/>
      <c r="NR269" s="309"/>
      <c r="NS269" s="309"/>
      <c r="NT269" s="309"/>
      <c r="NU269" s="309"/>
      <c r="NV269" s="309"/>
      <c r="NW269" s="309"/>
      <c r="NX269" s="309"/>
      <c r="NY269" s="309"/>
      <c r="NZ269" s="309"/>
      <c r="OA269" s="309"/>
      <c r="OB269" s="309"/>
      <c r="OC269" s="309"/>
      <c r="OD269" s="309"/>
      <c r="OE269" s="309"/>
      <c r="OF269" s="309"/>
      <c r="OG269" s="309"/>
      <c r="OH269" s="309"/>
      <c r="OI269" s="309"/>
      <c r="OJ269" s="309"/>
      <c r="OK269" s="309"/>
      <c r="OL269" s="309"/>
      <c r="OM269" s="309"/>
      <c r="ON269" s="309"/>
      <c r="OO269" s="309"/>
      <c r="OP269" s="309"/>
      <c r="OQ269" s="309"/>
      <c r="OR269" s="309"/>
      <c r="OS269" s="309"/>
      <c r="OT269" s="309"/>
      <c r="OU269" s="309"/>
      <c r="OV269" s="309"/>
      <c r="OW269" s="309"/>
      <c r="OX269" s="309"/>
      <c r="OY269" s="309"/>
      <c r="OZ269" s="309"/>
      <c r="PA269" s="309"/>
      <c r="PB269" s="309"/>
      <c r="PC269" s="309"/>
      <c r="PD269" s="309"/>
      <c r="PE269" s="309"/>
      <c r="PF269" s="309"/>
      <c r="PG269" s="309"/>
      <c r="PH269" s="309"/>
      <c r="PI269" s="309"/>
      <c r="PJ269" s="309"/>
      <c r="PK269" s="309"/>
      <c r="PL269" s="309"/>
      <c r="PM269" s="309"/>
      <c r="PN269" s="309"/>
      <c r="PO269" s="309"/>
      <c r="PP269" s="309"/>
      <c r="PQ269" s="309"/>
      <c r="PR269" s="309"/>
      <c r="PS269" s="309"/>
      <c r="PT269" s="309"/>
      <c r="PU269" s="309"/>
      <c r="PV269" s="309"/>
      <c r="PW269" s="309"/>
      <c r="PX269" s="309"/>
      <c r="PY269" s="309"/>
      <c r="PZ269" s="309"/>
      <c r="QA269" s="309"/>
      <c r="QB269" s="309"/>
      <c r="QC269" s="309"/>
      <c r="QD269" s="309"/>
      <c r="QE269" s="309"/>
      <c r="QF269" s="309"/>
      <c r="QG269" s="309"/>
      <c r="QH269" s="309"/>
      <c r="QI269" s="309"/>
      <c r="QJ269" s="309"/>
      <c r="QK269" s="309"/>
      <c r="QL269" s="309"/>
      <c r="QM269" s="309"/>
      <c r="QN269" s="309"/>
      <c r="QO269" s="309"/>
      <c r="QP269" s="309"/>
      <c r="QQ269" s="309"/>
      <c r="QR269" s="309"/>
      <c r="QS269" s="309"/>
      <c r="QT269" s="309"/>
      <c r="QU269" s="309"/>
      <c r="QV269" s="309"/>
      <c r="QW269" s="309"/>
      <c r="QX269" s="309"/>
      <c r="QY269" s="309"/>
      <c r="QZ269" s="309"/>
      <c r="RA269" s="309"/>
      <c r="RB269" s="309"/>
      <c r="RC269" s="309"/>
      <c r="RD269" s="309"/>
      <c r="RE269" s="309"/>
      <c r="RF269" s="309"/>
      <c r="RG269" s="309"/>
      <c r="RH269" s="309"/>
      <c r="RI269" s="309"/>
      <c r="RJ269" s="309"/>
      <c r="RK269" s="309"/>
      <c r="RL269" s="309"/>
      <c r="RM269" s="309"/>
      <c r="RN269" s="309"/>
      <c r="RO269" s="309"/>
      <c r="RP269" s="309"/>
      <c r="RQ269" s="309"/>
      <c r="RR269" s="309"/>
      <c r="RS269" s="309"/>
      <c r="RT269" s="309"/>
      <c r="RU269" s="309"/>
      <c r="RV269" s="309"/>
      <c r="RW269" s="309"/>
      <c r="RX269" s="309"/>
      <c r="RY269" s="309"/>
      <c r="RZ269" s="309"/>
      <c r="SA269" s="309"/>
      <c r="SB269" s="309"/>
      <c r="SC269" s="309"/>
      <c r="SD269" s="309"/>
      <c r="SE269" s="309"/>
      <c r="SF269" s="309"/>
      <c r="SG269" s="309"/>
      <c r="SH269" s="309"/>
      <c r="SI269" s="309"/>
      <c r="SJ269" s="309"/>
      <c r="SK269" s="309"/>
      <c r="SL269" s="309"/>
      <c r="SM269" s="309"/>
      <c r="SN269" s="309"/>
      <c r="SO269" s="309"/>
      <c r="SP269" s="309"/>
      <c r="SQ269" s="309"/>
      <c r="SR269" s="309"/>
      <c r="SS269" s="309"/>
      <c r="ST269" s="309"/>
      <c r="SU269" s="309"/>
      <c r="SV269" s="309"/>
      <c r="SW269" s="309"/>
      <c r="SX269" s="309"/>
      <c r="SY269" s="309"/>
      <c r="SZ269" s="309"/>
      <c r="TA269" s="309"/>
      <c r="TB269" s="309"/>
      <c r="TC269" s="309"/>
      <c r="TD269" s="309"/>
      <c r="TE269" s="309"/>
      <c r="TF269" s="309"/>
      <c r="TG269" s="309"/>
      <c r="TH269" s="309"/>
      <c r="TI269" s="309"/>
      <c r="TJ269" s="309"/>
      <c r="TK269" s="309"/>
      <c r="TL269" s="309"/>
      <c r="TM269" s="309"/>
      <c r="TN269" s="309"/>
      <c r="TO269" s="309"/>
      <c r="TP269" s="309"/>
      <c r="TQ269" s="309"/>
      <c r="TR269" s="309"/>
      <c r="TS269" s="309"/>
      <c r="TT269" s="309"/>
      <c r="TU269" s="309"/>
      <c r="TV269" s="309"/>
      <c r="TW269" s="309"/>
      <c r="TX269" s="309"/>
      <c r="TY269" s="309"/>
      <c r="TZ269" s="309"/>
      <c r="UA269" s="309"/>
      <c r="UB269" s="309"/>
      <c r="UC269" s="309"/>
      <c r="UD269" s="309"/>
      <c r="UE269" s="309"/>
      <c r="UF269" s="309"/>
      <c r="UG269" s="309"/>
      <c r="UH269" s="309"/>
      <c r="UI269" s="309"/>
      <c r="UJ269" s="309"/>
      <c r="UK269" s="309"/>
      <c r="UL269" s="309"/>
      <c r="UM269" s="309"/>
      <c r="UN269" s="309"/>
      <c r="UO269" s="309"/>
      <c r="UP269" s="309"/>
      <c r="UQ269" s="309"/>
      <c r="UR269" s="309"/>
      <c r="US269" s="309"/>
      <c r="UT269" s="309"/>
      <c r="UU269" s="309"/>
      <c r="UV269" s="309"/>
      <c r="UW269" s="309"/>
      <c r="UX269" s="309"/>
      <c r="UY269" s="309"/>
      <c r="UZ269" s="309"/>
      <c r="VA269" s="309"/>
      <c r="VB269" s="309"/>
      <c r="VC269" s="309"/>
      <c r="VD269" s="309"/>
      <c r="VE269" s="309"/>
      <c r="VF269" s="309"/>
      <c r="VG269" s="309"/>
      <c r="VH269" s="309"/>
      <c r="VI269" s="309"/>
      <c r="VJ269" s="309"/>
      <c r="VK269" s="309"/>
      <c r="VL269" s="309"/>
      <c r="VM269" s="309"/>
      <c r="VN269" s="309"/>
      <c r="VO269" s="309"/>
      <c r="VP269" s="309"/>
      <c r="VQ269" s="309"/>
      <c r="VR269" s="309"/>
      <c r="VS269" s="309"/>
      <c r="VT269" s="309"/>
      <c r="VU269" s="309"/>
      <c r="VV269" s="309"/>
      <c r="VW269" s="309"/>
      <c r="VX269" s="309"/>
      <c r="VY269" s="309"/>
      <c r="VZ269" s="309"/>
      <c r="WA269" s="309"/>
      <c r="WB269" s="309"/>
      <c r="WC269" s="309"/>
      <c r="WD269" s="309"/>
      <c r="WE269" s="309"/>
      <c r="WF269" s="309"/>
      <c r="WG269" s="309"/>
      <c r="WH269" s="309"/>
      <c r="WI269" s="309"/>
      <c r="WJ269" s="309"/>
      <c r="WK269" s="309"/>
      <c r="WL269" s="309"/>
      <c r="WM269" s="309"/>
      <c r="WN269" s="309"/>
      <c r="WO269" s="309"/>
      <c r="WP269" s="309"/>
      <c r="WQ269" s="309"/>
      <c r="WR269" s="309"/>
      <c r="WS269" s="309"/>
      <c r="WT269" s="309"/>
      <c r="WU269" s="309"/>
      <c r="WV269" s="309"/>
      <c r="WW269" s="309"/>
      <c r="WX269" s="309"/>
      <c r="WY269" s="309"/>
      <c r="WZ269" s="309"/>
      <c r="XA269" s="309"/>
      <c r="XB269" s="309"/>
      <c r="XC269" s="309"/>
      <c r="XD269" s="309"/>
      <c r="XE269" s="309"/>
      <c r="XF269" s="309"/>
      <c r="XG269" s="309"/>
      <c r="XH269" s="309"/>
      <c r="XI269" s="309"/>
      <c r="XJ269" s="309"/>
      <c r="XK269" s="309"/>
      <c r="XL269" s="309"/>
      <c r="XM269" s="309"/>
      <c r="XN269" s="309"/>
      <c r="XO269" s="309"/>
      <c r="XP269" s="309"/>
      <c r="XQ269" s="309"/>
      <c r="XR269" s="309"/>
      <c r="XS269" s="309"/>
      <c r="XT269" s="309"/>
      <c r="XU269" s="309"/>
      <c r="XV269" s="309"/>
      <c r="XW269" s="309"/>
      <c r="XX269" s="309"/>
      <c r="XY269" s="309"/>
      <c r="XZ269" s="309"/>
      <c r="YA269" s="309"/>
      <c r="YB269" s="309"/>
      <c r="YC269" s="309"/>
      <c r="YD269" s="309"/>
      <c r="YE269" s="309"/>
      <c r="YF269" s="309"/>
      <c r="YG269" s="309"/>
      <c r="YH269" s="309"/>
      <c r="YI269" s="309"/>
      <c r="YJ269" s="309"/>
      <c r="YK269" s="309"/>
      <c r="YL269" s="309"/>
      <c r="YM269" s="309"/>
      <c r="YN269" s="309"/>
      <c r="YO269" s="309"/>
      <c r="YP269" s="309"/>
      <c r="YQ269" s="309"/>
      <c r="YR269" s="309"/>
      <c r="YS269" s="309"/>
      <c r="YT269" s="309"/>
      <c r="YU269" s="309"/>
      <c r="YV269" s="309"/>
      <c r="YW269" s="309"/>
      <c r="YX269" s="309"/>
      <c r="YY269" s="309"/>
      <c r="YZ269" s="309"/>
      <c r="ZA269" s="309"/>
      <c r="ZB269" s="309"/>
      <c r="ZC269" s="309"/>
      <c r="ZD269" s="309"/>
      <c r="ZE269" s="309"/>
      <c r="ZF269" s="309"/>
      <c r="ZG269" s="309"/>
      <c r="ZH269" s="309"/>
      <c r="ZI269" s="309"/>
      <c r="ZJ269" s="309"/>
    </row>
    <row r="270" spans="5:686" s="308" customFormat="1" x14ac:dyDescent="0.3">
      <c r="E270" s="337"/>
      <c r="F270" s="337"/>
      <c r="G270" s="171"/>
      <c r="H270" s="1"/>
      <c r="Y270" s="309"/>
      <c r="Z270" s="309"/>
      <c r="AA270" s="309"/>
      <c r="AB270" s="309"/>
      <c r="AC270" s="309"/>
      <c r="AD270" s="309"/>
      <c r="AE270" s="309"/>
      <c r="AF270" s="309"/>
      <c r="AG270" s="309"/>
      <c r="AH270" s="309"/>
      <c r="AI270" s="309"/>
      <c r="AJ270" s="309"/>
      <c r="AK270" s="309"/>
      <c r="AL270" s="309"/>
      <c r="AM270" s="309"/>
      <c r="AN270" s="309"/>
      <c r="AO270" s="309"/>
      <c r="AP270" s="309"/>
      <c r="AQ270" s="309"/>
      <c r="AR270" s="309"/>
      <c r="AS270" s="309"/>
      <c r="AT270" s="309"/>
      <c r="AU270" s="309"/>
      <c r="AV270" s="309"/>
      <c r="AW270" s="309"/>
      <c r="AX270" s="309"/>
      <c r="AY270" s="309"/>
      <c r="AZ270" s="309"/>
      <c r="BA270" s="309"/>
      <c r="BB270" s="309"/>
      <c r="BC270" s="309"/>
      <c r="BD270" s="309"/>
      <c r="BE270" s="309"/>
      <c r="BF270" s="309"/>
      <c r="BG270" s="309"/>
      <c r="BH270" s="309"/>
      <c r="BI270" s="309"/>
      <c r="BJ270" s="309"/>
      <c r="BK270" s="309"/>
      <c r="BL270" s="309"/>
      <c r="BM270" s="309"/>
      <c r="BN270" s="309"/>
      <c r="BO270" s="309"/>
      <c r="BP270" s="309"/>
      <c r="BQ270" s="309"/>
      <c r="BR270" s="309"/>
      <c r="BS270" s="309"/>
      <c r="BT270" s="309"/>
      <c r="BU270" s="309"/>
      <c r="BV270" s="309"/>
      <c r="BW270" s="309"/>
      <c r="BX270" s="309"/>
      <c r="BY270" s="309"/>
      <c r="BZ270" s="309"/>
      <c r="CA270" s="309"/>
      <c r="CB270" s="309"/>
      <c r="CC270" s="309"/>
      <c r="CD270" s="309"/>
      <c r="CE270" s="309"/>
      <c r="CF270" s="309"/>
      <c r="CG270" s="309"/>
      <c r="CH270" s="309"/>
      <c r="CI270" s="309"/>
      <c r="CJ270" s="309"/>
      <c r="CK270" s="309"/>
      <c r="CL270" s="309"/>
      <c r="CM270" s="309"/>
      <c r="CN270" s="309"/>
      <c r="CO270" s="309"/>
      <c r="CP270" s="309"/>
      <c r="CQ270" s="309"/>
      <c r="CR270" s="309"/>
      <c r="CS270" s="309"/>
      <c r="CT270" s="309"/>
      <c r="CU270" s="309"/>
      <c r="CV270" s="309"/>
      <c r="CW270" s="309"/>
      <c r="CX270" s="309"/>
      <c r="CY270" s="309"/>
      <c r="CZ270" s="309"/>
      <c r="DA270" s="309"/>
      <c r="DB270" s="309"/>
      <c r="DC270" s="309"/>
      <c r="DD270" s="309"/>
      <c r="DE270" s="309"/>
      <c r="DF270" s="309"/>
      <c r="DG270" s="309"/>
      <c r="DH270" s="309"/>
      <c r="DI270" s="309"/>
      <c r="DJ270" s="309"/>
      <c r="DK270" s="309"/>
      <c r="DL270" s="309"/>
      <c r="DM270" s="309"/>
      <c r="DN270" s="309"/>
      <c r="DO270" s="309"/>
      <c r="DP270" s="309"/>
      <c r="DQ270" s="309"/>
      <c r="DR270" s="309"/>
      <c r="DS270" s="309"/>
      <c r="DT270" s="309"/>
      <c r="DU270" s="309"/>
      <c r="DV270" s="309"/>
      <c r="DW270" s="309"/>
      <c r="DX270" s="309"/>
      <c r="DY270" s="309"/>
      <c r="DZ270" s="309"/>
      <c r="EA270" s="309"/>
      <c r="EB270" s="309"/>
      <c r="EC270" s="309"/>
      <c r="ED270" s="309"/>
      <c r="EE270" s="309"/>
      <c r="EF270" s="309"/>
      <c r="EG270" s="309"/>
      <c r="EH270" s="309"/>
      <c r="EI270" s="309"/>
      <c r="EJ270" s="309"/>
      <c r="EK270" s="309"/>
      <c r="EL270" s="309"/>
      <c r="EM270" s="309"/>
      <c r="EN270" s="309"/>
      <c r="EO270" s="309"/>
      <c r="EP270" s="309"/>
      <c r="EQ270" s="309"/>
      <c r="ER270" s="309"/>
      <c r="ES270" s="309"/>
      <c r="ET270" s="309"/>
      <c r="EU270" s="309"/>
      <c r="EV270" s="309"/>
      <c r="EW270" s="309"/>
      <c r="EX270" s="309"/>
      <c r="EY270" s="309"/>
      <c r="EZ270" s="309"/>
      <c r="FA270" s="309"/>
      <c r="FB270" s="309"/>
      <c r="FC270" s="309"/>
      <c r="FD270" s="309"/>
      <c r="FE270" s="309"/>
      <c r="FF270" s="309"/>
      <c r="FG270" s="309"/>
      <c r="FH270" s="309"/>
      <c r="FI270" s="309"/>
      <c r="FJ270" s="309"/>
      <c r="FK270" s="309"/>
      <c r="FL270" s="309"/>
      <c r="FM270" s="309"/>
      <c r="FN270" s="309"/>
      <c r="FO270" s="309"/>
      <c r="FP270" s="309"/>
      <c r="FQ270" s="309"/>
      <c r="FR270" s="309"/>
      <c r="FS270" s="309"/>
      <c r="FT270" s="309"/>
      <c r="FU270" s="309"/>
      <c r="FV270" s="309"/>
      <c r="FW270" s="309"/>
      <c r="FX270" s="309"/>
      <c r="FY270" s="309"/>
      <c r="FZ270" s="309"/>
      <c r="GA270" s="309"/>
      <c r="GB270" s="309"/>
      <c r="GC270" s="309"/>
      <c r="GD270" s="309"/>
      <c r="GE270" s="309"/>
      <c r="GF270" s="309"/>
      <c r="GG270" s="309"/>
      <c r="GH270" s="309"/>
      <c r="GI270" s="309"/>
      <c r="GJ270" s="309"/>
      <c r="GK270" s="309"/>
      <c r="GL270" s="309"/>
      <c r="GM270" s="309"/>
      <c r="GN270" s="309"/>
      <c r="GO270" s="309"/>
      <c r="GP270" s="309"/>
      <c r="GQ270" s="309"/>
      <c r="GR270" s="309"/>
      <c r="GS270" s="309"/>
      <c r="GT270" s="309"/>
      <c r="GU270" s="309"/>
      <c r="GV270" s="309"/>
      <c r="GW270" s="309"/>
      <c r="GX270" s="309"/>
      <c r="GY270" s="309"/>
      <c r="GZ270" s="309"/>
      <c r="HA270" s="309"/>
      <c r="HB270" s="309"/>
      <c r="HC270" s="309"/>
      <c r="HD270" s="309"/>
      <c r="HE270" s="309"/>
      <c r="HF270" s="309"/>
      <c r="HG270" s="309"/>
      <c r="HH270" s="309"/>
      <c r="HI270" s="309"/>
      <c r="HJ270" s="309"/>
      <c r="HK270" s="309"/>
      <c r="HL270" s="309"/>
      <c r="HM270" s="309"/>
      <c r="HN270" s="309"/>
      <c r="HO270" s="309"/>
      <c r="HP270" s="309"/>
      <c r="HQ270" s="309"/>
      <c r="HR270" s="309"/>
      <c r="HS270" s="309"/>
      <c r="HT270" s="309"/>
      <c r="HU270" s="309"/>
      <c r="HV270" s="309"/>
      <c r="HW270" s="309"/>
      <c r="HX270" s="309"/>
      <c r="HY270" s="309"/>
      <c r="HZ270" s="309"/>
      <c r="IA270" s="309"/>
      <c r="IB270" s="309"/>
      <c r="IC270" s="309"/>
      <c r="ID270" s="309"/>
      <c r="IE270" s="309"/>
      <c r="IF270" s="309"/>
      <c r="IG270" s="309"/>
      <c r="IH270" s="309"/>
      <c r="II270" s="309"/>
      <c r="IJ270" s="309"/>
      <c r="IK270" s="309"/>
      <c r="IL270" s="309"/>
      <c r="IM270" s="309"/>
      <c r="IN270" s="309"/>
      <c r="IO270" s="309"/>
      <c r="IP270" s="309"/>
      <c r="IQ270" s="309"/>
      <c r="IR270" s="309"/>
      <c r="IS270" s="309"/>
      <c r="IT270" s="309"/>
      <c r="IU270" s="309"/>
      <c r="IV270" s="309"/>
      <c r="IW270" s="309"/>
      <c r="IX270" s="309"/>
      <c r="IY270" s="309"/>
      <c r="IZ270" s="309"/>
      <c r="JA270" s="309"/>
      <c r="JB270" s="309"/>
      <c r="JC270" s="309"/>
      <c r="JD270" s="309"/>
      <c r="JE270" s="309"/>
      <c r="JF270" s="309"/>
      <c r="JG270" s="309"/>
      <c r="JH270" s="309"/>
      <c r="JI270" s="309"/>
      <c r="JJ270" s="309"/>
      <c r="JK270" s="309"/>
      <c r="JL270" s="309"/>
      <c r="JM270" s="309"/>
      <c r="JN270" s="309"/>
      <c r="JO270" s="309"/>
      <c r="JP270" s="309"/>
      <c r="JQ270" s="309"/>
      <c r="JR270" s="309"/>
      <c r="JS270" s="309"/>
      <c r="JT270" s="309"/>
      <c r="JU270" s="309"/>
      <c r="JV270" s="309"/>
      <c r="JW270" s="309"/>
      <c r="JX270" s="309"/>
      <c r="JY270" s="309"/>
      <c r="JZ270" s="309"/>
      <c r="KA270" s="309"/>
      <c r="KB270" s="309"/>
      <c r="KC270" s="309"/>
      <c r="KD270" s="309"/>
      <c r="KE270" s="309"/>
      <c r="KF270" s="309"/>
      <c r="KG270" s="309"/>
      <c r="KH270" s="309"/>
      <c r="KI270" s="309"/>
      <c r="KJ270" s="309"/>
      <c r="KK270" s="309"/>
      <c r="KL270" s="309"/>
      <c r="KM270" s="309"/>
      <c r="KN270" s="309"/>
      <c r="KO270" s="309"/>
      <c r="KP270" s="309"/>
      <c r="KQ270" s="309"/>
      <c r="KR270" s="309"/>
      <c r="KS270" s="309"/>
      <c r="KT270" s="309"/>
      <c r="KU270" s="309"/>
      <c r="KV270" s="309"/>
      <c r="KW270" s="309"/>
      <c r="KX270" s="309"/>
      <c r="KY270" s="309"/>
      <c r="KZ270" s="309"/>
      <c r="LA270" s="309"/>
      <c r="LB270" s="309"/>
      <c r="LC270" s="309"/>
      <c r="LD270" s="309"/>
      <c r="LE270" s="309"/>
      <c r="LF270" s="309"/>
      <c r="LG270" s="309"/>
      <c r="LH270" s="309"/>
      <c r="LI270" s="309"/>
      <c r="LJ270" s="309"/>
      <c r="LK270" s="309"/>
      <c r="LL270" s="309"/>
      <c r="LM270" s="309"/>
      <c r="LN270" s="309"/>
      <c r="LO270" s="309"/>
      <c r="LP270" s="309"/>
      <c r="LQ270" s="309"/>
      <c r="LR270" s="309"/>
      <c r="LS270" s="309"/>
      <c r="LT270" s="309"/>
      <c r="LU270" s="309"/>
      <c r="LV270" s="309"/>
      <c r="LW270" s="309"/>
      <c r="LX270" s="309"/>
      <c r="LY270" s="309"/>
      <c r="LZ270" s="309"/>
      <c r="MA270" s="309"/>
      <c r="MB270" s="309"/>
      <c r="MC270" s="309"/>
      <c r="MD270" s="309"/>
      <c r="ME270" s="309"/>
      <c r="MF270" s="309"/>
      <c r="MG270" s="309"/>
      <c r="MH270" s="309"/>
      <c r="MI270" s="309"/>
      <c r="MJ270" s="309"/>
      <c r="MK270" s="309"/>
      <c r="ML270" s="309"/>
      <c r="MM270" s="309"/>
      <c r="MN270" s="309"/>
      <c r="MO270" s="309"/>
      <c r="MP270" s="309"/>
      <c r="MQ270" s="309"/>
      <c r="MR270" s="309"/>
      <c r="MS270" s="309"/>
      <c r="MT270" s="309"/>
      <c r="MU270" s="309"/>
      <c r="MV270" s="309"/>
      <c r="MW270" s="309"/>
      <c r="MX270" s="309"/>
      <c r="MY270" s="309"/>
      <c r="MZ270" s="309"/>
      <c r="NA270" s="309"/>
      <c r="NB270" s="309"/>
      <c r="NC270" s="309"/>
      <c r="ND270" s="309"/>
      <c r="NE270" s="309"/>
      <c r="NF270" s="309"/>
      <c r="NG270" s="309"/>
      <c r="NH270" s="309"/>
      <c r="NI270" s="309"/>
      <c r="NJ270" s="309"/>
      <c r="NK270" s="309"/>
      <c r="NL270" s="309"/>
      <c r="NM270" s="309"/>
      <c r="NN270" s="309"/>
      <c r="NO270" s="309"/>
      <c r="NP270" s="309"/>
      <c r="NQ270" s="309"/>
      <c r="NR270" s="309"/>
      <c r="NS270" s="309"/>
      <c r="NT270" s="309"/>
      <c r="NU270" s="309"/>
      <c r="NV270" s="309"/>
      <c r="NW270" s="309"/>
      <c r="NX270" s="309"/>
      <c r="NY270" s="309"/>
      <c r="NZ270" s="309"/>
      <c r="OA270" s="309"/>
      <c r="OB270" s="309"/>
      <c r="OC270" s="309"/>
      <c r="OD270" s="309"/>
      <c r="OE270" s="309"/>
      <c r="OF270" s="309"/>
      <c r="OG270" s="309"/>
      <c r="OH270" s="309"/>
      <c r="OI270" s="309"/>
      <c r="OJ270" s="309"/>
      <c r="OK270" s="309"/>
      <c r="OL270" s="309"/>
      <c r="OM270" s="309"/>
      <c r="ON270" s="309"/>
      <c r="OO270" s="309"/>
      <c r="OP270" s="309"/>
      <c r="OQ270" s="309"/>
      <c r="OR270" s="309"/>
      <c r="OS270" s="309"/>
      <c r="OT270" s="309"/>
      <c r="OU270" s="309"/>
      <c r="OV270" s="309"/>
      <c r="OW270" s="309"/>
      <c r="OX270" s="309"/>
      <c r="OY270" s="309"/>
      <c r="OZ270" s="309"/>
      <c r="PA270" s="309"/>
      <c r="PB270" s="309"/>
      <c r="PC270" s="309"/>
      <c r="PD270" s="309"/>
      <c r="PE270" s="309"/>
      <c r="PF270" s="309"/>
      <c r="PG270" s="309"/>
      <c r="PH270" s="309"/>
      <c r="PI270" s="309"/>
      <c r="PJ270" s="309"/>
      <c r="PK270" s="309"/>
      <c r="PL270" s="309"/>
      <c r="PM270" s="309"/>
      <c r="PN270" s="309"/>
      <c r="PO270" s="309"/>
      <c r="PP270" s="309"/>
      <c r="PQ270" s="309"/>
      <c r="PR270" s="309"/>
      <c r="PS270" s="309"/>
      <c r="PT270" s="309"/>
      <c r="PU270" s="309"/>
      <c r="PV270" s="309"/>
      <c r="PW270" s="309"/>
      <c r="PX270" s="309"/>
      <c r="PY270" s="309"/>
      <c r="PZ270" s="309"/>
      <c r="QA270" s="309"/>
      <c r="QB270" s="309"/>
      <c r="QC270" s="309"/>
      <c r="QD270" s="309"/>
      <c r="QE270" s="309"/>
      <c r="QF270" s="309"/>
      <c r="QG270" s="309"/>
      <c r="QH270" s="309"/>
      <c r="QI270" s="309"/>
      <c r="QJ270" s="309"/>
      <c r="QK270" s="309"/>
      <c r="QL270" s="309"/>
      <c r="QM270" s="309"/>
      <c r="QN270" s="309"/>
      <c r="QO270" s="309"/>
      <c r="QP270" s="309"/>
      <c r="QQ270" s="309"/>
      <c r="QR270" s="309"/>
      <c r="QS270" s="309"/>
      <c r="QT270" s="309"/>
      <c r="QU270" s="309"/>
      <c r="QV270" s="309"/>
      <c r="QW270" s="309"/>
      <c r="QX270" s="309"/>
      <c r="QY270" s="309"/>
      <c r="QZ270" s="309"/>
      <c r="RA270" s="309"/>
      <c r="RB270" s="309"/>
      <c r="RC270" s="309"/>
      <c r="RD270" s="309"/>
      <c r="RE270" s="309"/>
      <c r="RF270" s="309"/>
      <c r="RG270" s="309"/>
      <c r="RH270" s="309"/>
      <c r="RI270" s="309"/>
      <c r="RJ270" s="309"/>
      <c r="RK270" s="309"/>
      <c r="RL270" s="309"/>
      <c r="RM270" s="309"/>
      <c r="RN270" s="309"/>
      <c r="RO270" s="309"/>
      <c r="RP270" s="309"/>
      <c r="RQ270" s="309"/>
      <c r="RR270" s="309"/>
      <c r="RS270" s="309"/>
      <c r="RT270" s="309"/>
      <c r="RU270" s="309"/>
      <c r="RV270" s="309"/>
      <c r="RW270" s="309"/>
      <c r="RX270" s="309"/>
      <c r="RY270" s="309"/>
      <c r="RZ270" s="309"/>
      <c r="SA270" s="309"/>
      <c r="SB270" s="309"/>
      <c r="SC270" s="309"/>
      <c r="SD270" s="309"/>
      <c r="SE270" s="309"/>
      <c r="SF270" s="309"/>
      <c r="SG270" s="309"/>
      <c r="SH270" s="309"/>
      <c r="SI270" s="309"/>
      <c r="SJ270" s="309"/>
      <c r="SK270" s="309"/>
      <c r="SL270" s="309"/>
      <c r="SM270" s="309"/>
      <c r="SN270" s="309"/>
      <c r="SO270" s="309"/>
      <c r="SP270" s="309"/>
      <c r="SQ270" s="309"/>
      <c r="SR270" s="309"/>
      <c r="SS270" s="309"/>
      <c r="ST270" s="309"/>
      <c r="SU270" s="309"/>
      <c r="SV270" s="309"/>
      <c r="SW270" s="309"/>
      <c r="SX270" s="309"/>
      <c r="SY270" s="309"/>
      <c r="SZ270" s="309"/>
      <c r="TA270" s="309"/>
      <c r="TB270" s="309"/>
      <c r="TC270" s="309"/>
      <c r="TD270" s="309"/>
      <c r="TE270" s="309"/>
      <c r="TF270" s="309"/>
      <c r="TG270" s="309"/>
      <c r="TH270" s="309"/>
      <c r="TI270" s="309"/>
      <c r="TJ270" s="309"/>
      <c r="TK270" s="309"/>
      <c r="TL270" s="309"/>
      <c r="TM270" s="309"/>
      <c r="TN270" s="309"/>
      <c r="TO270" s="309"/>
      <c r="TP270" s="309"/>
      <c r="TQ270" s="309"/>
      <c r="TR270" s="309"/>
      <c r="TS270" s="309"/>
      <c r="TT270" s="309"/>
      <c r="TU270" s="309"/>
      <c r="TV270" s="309"/>
      <c r="TW270" s="309"/>
      <c r="TX270" s="309"/>
      <c r="TY270" s="309"/>
      <c r="TZ270" s="309"/>
      <c r="UA270" s="309"/>
      <c r="UB270" s="309"/>
      <c r="UC270" s="309"/>
      <c r="UD270" s="309"/>
      <c r="UE270" s="309"/>
      <c r="UF270" s="309"/>
      <c r="UG270" s="309"/>
      <c r="UH270" s="309"/>
      <c r="UI270" s="309"/>
      <c r="UJ270" s="309"/>
      <c r="UK270" s="309"/>
      <c r="UL270" s="309"/>
      <c r="UM270" s="309"/>
      <c r="UN270" s="309"/>
      <c r="UO270" s="309"/>
      <c r="UP270" s="309"/>
      <c r="UQ270" s="309"/>
      <c r="UR270" s="309"/>
      <c r="US270" s="309"/>
      <c r="UT270" s="309"/>
      <c r="UU270" s="309"/>
      <c r="UV270" s="309"/>
      <c r="UW270" s="309"/>
      <c r="UX270" s="309"/>
      <c r="UY270" s="309"/>
      <c r="UZ270" s="309"/>
      <c r="VA270" s="309"/>
      <c r="VB270" s="309"/>
      <c r="VC270" s="309"/>
      <c r="VD270" s="309"/>
      <c r="VE270" s="309"/>
      <c r="VF270" s="309"/>
      <c r="VG270" s="309"/>
      <c r="VH270" s="309"/>
      <c r="VI270" s="309"/>
      <c r="VJ270" s="309"/>
      <c r="VK270" s="309"/>
      <c r="VL270" s="309"/>
      <c r="VM270" s="309"/>
      <c r="VN270" s="309"/>
      <c r="VO270" s="309"/>
      <c r="VP270" s="309"/>
      <c r="VQ270" s="309"/>
      <c r="VR270" s="309"/>
      <c r="VS270" s="309"/>
      <c r="VT270" s="309"/>
      <c r="VU270" s="309"/>
      <c r="VV270" s="309"/>
      <c r="VW270" s="309"/>
      <c r="VX270" s="309"/>
      <c r="VY270" s="309"/>
      <c r="VZ270" s="309"/>
      <c r="WA270" s="309"/>
      <c r="WB270" s="309"/>
      <c r="WC270" s="309"/>
      <c r="WD270" s="309"/>
      <c r="WE270" s="309"/>
      <c r="WF270" s="309"/>
      <c r="WG270" s="309"/>
      <c r="WH270" s="309"/>
      <c r="WI270" s="309"/>
      <c r="WJ270" s="309"/>
      <c r="WK270" s="309"/>
      <c r="WL270" s="309"/>
      <c r="WM270" s="309"/>
      <c r="WN270" s="309"/>
      <c r="WO270" s="309"/>
      <c r="WP270" s="309"/>
      <c r="WQ270" s="309"/>
      <c r="WR270" s="309"/>
      <c r="WS270" s="309"/>
      <c r="WT270" s="309"/>
      <c r="WU270" s="309"/>
      <c r="WV270" s="309"/>
      <c r="WW270" s="309"/>
      <c r="WX270" s="309"/>
      <c r="WY270" s="309"/>
      <c r="WZ270" s="309"/>
      <c r="XA270" s="309"/>
      <c r="XB270" s="309"/>
      <c r="XC270" s="309"/>
      <c r="XD270" s="309"/>
      <c r="XE270" s="309"/>
      <c r="XF270" s="309"/>
      <c r="XG270" s="309"/>
      <c r="XH270" s="309"/>
      <c r="XI270" s="309"/>
      <c r="XJ270" s="309"/>
      <c r="XK270" s="309"/>
      <c r="XL270" s="309"/>
      <c r="XM270" s="309"/>
      <c r="XN270" s="309"/>
      <c r="XO270" s="309"/>
      <c r="XP270" s="309"/>
      <c r="XQ270" s="309"/>
      <c r="XR270" s="309"/>
      <c r="XS270" s="309"/>
      <c r="XT270" s="309"/>
      <c r="XU270" s="309"/>
      <c r="XV270" s="309"/>
      <c r="XW270" s="309"/>
      <c r="XX270" s="309"/>
      <c r="XY270" s="309"/>
      <c r="XZ270" s="309"/>
      <c r="YA270" s="309"/>
      <c r="YB270" s="309"/>
      <c r="YC270" s="309"/>
      <c r="YD270" s="309"/>
      <c r="YE270" s="309"/>
      <c r="YF270" s="309"/>
      <c r="YG270" s="309"/>
      <c r="YH270" s="309"/>
      <c r="YI270" s="309"/>
      <c r="YJ270" s="309"/>
      <c r="YK270" s="309"/>
      <c r="YL270" s="309"/>
      <c r="YM270" s="309"/>
      <c r="YN270" s="309"/>
      <c r="YO270" s="309"/>
      <c r="YP270" s="309"/>
      <c r="YQ270" s="309"/>
      <c r="YR270" s="309"/>
      <c r="YS270" s="309"/>
      <c r="YT270" s="309"/>
      <c r="YU270" s="309"/>
      <c r="YV270" s="309"/>
      <c r="YW270" s="309"/>
      <c r="YX270" s="309"/>
      <c r="YY270" s="309"/>
      <c r="YZ270" s="309"/>
      <c r="ZA270" s="309"/>
      <c r="ZB270" s="309"/>
      <c r="ZC270" s="309"/>
      <c r="ZD270" s="309"/>
      <c r="ZE270" s="309"/>
      <c r="ZF270" s="309"/>
      <c r="ZG270" s="309"/>
      <c r="ZH270" s="309"/>
      <c r="ZI270" s="309"/>
      <c r="ZJ270" s="309"/>
    </row>
    <row r="271" spans="5:686" s="308" customFormat="1" x14ac:dyDescent="0.3">
      <c r="E271" s="337"/>
      <c r="F271" s="337"/>
      <c r="G271" s="171"/>
      <c r="H271" s="1"/>
      <c r="Y271" s="309"/>
      <c r="Z271" s="309"/>
      <c r="AA271" s="309"/>
      <c r="AB271" s="309"/>
      <c r="AC271" s="309"/>
      <c r="AD271" s="309"/>
      <c r="AE271" s="309"/>
      <c r="AF271" s="309"/>
      <c r="AG271" s="309"/>
      <c r="AH271" s="309"/>
      <c r="AI271" s="309"/>
      <c r="AJ271" s="309"/>
      <c r="AK271" s="309"/>
      <c r="AL271" s="309"/>
      <c r="AM271" s="309"/>
      <c r="AN271" s="309"/>
      <c r="AO271" s="309"/>
      <c r="AP271" s="309"/>
      <c r="AQ271" s="309"/>
      <c r="AR271" s="309"/>
      <c r="AS271" s="309"/>
      <c r="AT271" s="309"/>
      <c r="AU271" s="309"/>
      <c r="AV271" s="309"/>
      <c r="AW271" s="309"/>
      <c r="AX271" s="309"/>
      <c r="AY271" s="309"/>
      <c r="AZ271" s="309"/>
      <c r="BA271" s="309"/>
      <c r="BB271" s="309"/>
      <c r="BC271" s="309"/>
      <c r="BD271" s="309"/>
      <c r="BE271" s="309"/>
      <c r="BF271" s="309"/>
      <c r="BG271" s="309"/>
      <c r="BH271" s="309"/>
      <c r="BI271" s="309"/>
      <c r="BJ271" s="309"/>
      <c r="BK271" s="309"/>
      <c r="BL271" s="309"/>
      <c r="BM271" s="309"/>
      <c r="BN271" s="309"/>
      <c r="BO271" s="309"/>
      <c r="BP271" s="309"/>
      <c r="BQ271" s="309"/>
      <c r="BR271" s="309"/>
      <c r="BS271" s="309"/>
      <c r="BT271" s="309"/>
      <c r="BU271" s="309"/>
      <c r="BV271" s="309"/>
      <c r="BW271" s="309"/>
      <c r="BX271" s="309"/>
      <c r="BY271" s="309"/>
      <c r="BZ271" s="309"/>
      <c r="CA271" s="309"/>
      <c r="CB271" s="309"/>
      <c r="CC271" s="309"/>
      <c r="CD271" s="309"/>
      <c r="CE271" s="309"/>
      <c r="CF271" s="309"/>
      <c r="CG271" s="309"/>
      <c r="CH271" s="309"/>
      <c r="CI271" s="309"/>
      <c r="CJ271" s="309"/>
      <c r="CK271" s="309"/>
      <c r="CL271" s="309"/>
      <c r="CM271" s="309"/>
      <c r="CN271" s="309"/>
      <c r="CO271" s="309"/>
      <c r="CP271" s="309"/>
      <c r="CQ271" s="309"/>
      <c r="CR271" s="309"/>
      <c r="CS271" s="309"/>
      <c r="CT271" s="309"/>
      <c r="CU271" s="309"/>
      <c r="CV271" s="309"/>
      <c r="CW271" s="309"/>
      <c r="CX271" s="309"/>
      <c r="CY271" s="309"/>
      <c r="CZ271" s="309"/>
      <c r="DA271" s="309"/>
      <c r="DB271" s="309"/>
      <c r="DC271" s="309"/>
      <c r="DD271" s="309"/>
      <c r="DE271" s="309"/>
      <c r="DF271" s="309"/>
      <c r="DG271" s="309"/>
      <c r="DH271" s="309"/>
      <c r="DI271" s="309"/>
      <c r="DJ271" s="309"/>
      <c r="DK271" s="309"/>
      <c r="DL271" s="309"/>
      <c r="DM271" s="309"/>
      <c r="DN271" s="309"/>
      <c r="DO271" s="309"/>
      <c r="DP271" s="309"/>
      <c r="DQ271" s="309"/>
      <c r="DR271" s="309"/>
      <c r="DS271" s="309"/>
      <c r="DT271" s="309"/>
      <c r="DU271" s="309"/>
      <c r="DV271" s="309"/>
      <c r="DW271" s="309"/>
      <c r="DX271" s="309"/>
      <c r="DY271" s="309"/>
      <c r="DZ271" s="309"/>
      <c r="EA271" s="309"/>
      <c r="EB271" s="309"/>
      <c r="EC271" s="309"/>
      <c r="ED271" s="309"/>
      <c r="EE271" s="309"/>
      <c r="EF271" s="309"/>
      <c r="EG271" s="309"/>
      <c r="EH271" s="309"/>
      <c r="EI271" s="309"/>
      <c r="EJ271" s="309"/>
      <c r="EK271" s="309"/>
      <c r="EL271" s="309"/>
      <c r="EM271" s="309"/>
      <c r="EN271" s="309"/>
      <c r="EO271" s="309"/>
      <c r="EP271" s="309"/>
      <c r="EQ271" s="309"/>
      <c r="ER271" s="309"/>
      <c r="ES271" s="309"/>
      <c r="ET271" s="309"/>
      <c r="EU271" s="309"/>
      <c r="EV271" s="309"/>
      <c r="EW271" s="309"/>
      <c r="EX271" s="309"/>
      <c r="EY271" s="309"/>
      <c r="EZ271" s="309"/>
      <c r="FA271" s="309"/>
      <c r="FB271" s="309"/>
      <c r="FC271" s="309"/>
      <c r="FD271" s="309"/>
      <c r="FE271" s="309"/>
      <c r="FF271" s="309"/>
      <c r="FG271" s="309"/>
      <c r="FH271" s="309"/>
      <c r="FI271" s="309"/>
      <c r="FJ271" s="309"/>
      <c r="FK271" s="309"/>
      <c r="FL271" s="309"/>
      <c r="FM271" s="309"/>
      <c r="FN271" s="309"/>
      <c r="FO271" s="309"/>
      <c r="FP271" s="309"/>
      <c r="FQ271" s="309"/>
      <c r="FR271" s="309"/>
      <c r="FS271" s="309"/>
      <c r="FT271" s="309"/>
      <c r="FU271" s="309"/>
      <c r="FV271" s="309"/>
      <c r="FW271" s="309"/>
      <c r="FX271" s="309"/>
      <c r="FY271" s="309"/>
      <c r="FZ271" s="309"/>
      <c r="GA271" s="309"/>
      <c r="GB271" s="309"/>
      <c r="GC271" s="309"/>
      <c r="GD271" s="309"/>
      <c r="GE271" s="309"/>
      <c r="GF271" s="309"/>
      <c r="GG271" s="309"/>
      <c r="GH271" s="309"/>
      <c r="GI271" s="309"/>
      <c r="GJ271" s="309"/>
      <c r="GK271" s="309"/>
      <c r="GL271" s="309"/>
      <c r="GM271" s="309"/>
      <c r="GN271" s="309"/>
      <c r="GO271" s="309"/>
      <c r="GP271" s="309"/>
      <c r="GQ271" s="309"/>
      <c r="GR271" s="309"/>
      <c r="GS271" s="309"/>
      <c r="GT271" s="309"/>
      <c r="GU271" s="309"/>
      <c r="GV271" s="309"/>
      <c r="GW271" s="309"/>
      <c r="GX271" s="309"/>
      <c r="GY271" s="309"/>
      <c r="GZ271" s="309"/>
      <c r="HA271" s="309"/>
      <c r="HB271" s="309"/>
      <c r="HC271" s="309"/>
      <c r="HD271" s="309"/>
      <c r="HE271" s="309"/>
      <c r="HF271" s="309"/>
      <c r="HG271" s="309"/>
      <c r="HH271" s="309"/>
      <c r="HI271" s="309"/>
      <c r="HJ271" s="309"/>
      <c r="HK271" s="309"/>
      <c r="HL271" s="309"/>
      <c r="HM271" s="309"/>
      <c r="HN271" s="309"/>
      <c r="HO271" s="309"/>
      <c r="HP271" s="309"/>
      <c r="HQ271" s="309"/>
      <c r="HR271" s="309"/>
      <c r="HS271" s="309"/>
      <c r="HT271" s="309"/>
      <c r="HU271" s="309"/>
      <c r="HV271" s="309"/>
      <c r="HW271" s="309"/>
      <c r="HX271" s="309"/>
      <c r="HY271" s="309"/>
      <c r="HZ271" s="309"/>
      <c r="IA271" s="309"/>
      <c r="IB271" s="309"/>
      <c r="IC271" s="309"/>
      <c r="ID271" s="309"/>
      <c r="IE271" s="309"/>
      <c r="IF271" s="309"/>
      <c r="IG271" s="309"/>
      <c r="IH271" s="309"/>
      <c r="II271" s="309"/>
      <c r="IJ271" s="309"/>
      <c r="IK271" s="309"/>
      <c r="IL271" s="309"/>
      <c r="IM271" s="309"/>
      <c r="IN271" s="309"/>
      <c r="IO271" s="309"/>
      <c r="IP271" s="309"/>
      <c r="IQ271" s="309"/>
      <c r="IR271" s="309"/>
      <c r="IS271" s="309"/>
      <c r="IT271" s="309"/>
      <c r="IU271" s="309"/>
      <c r="IV271" s="309"/>
      <c r="IW271" s="309"/>
      <c r="IX271" s="309"/>
      <c r="IY271" s="309"/>
      <c r="IZ271" s="309"/>
      <c r="JA271" s="309"/>
      <c r="JB271" s="309"/>
      <c r="JC271" s="309"/>
      <c r="JD271" s="309"/>
      <c r="JE271" s="309"/>
      <c r="JF271" s="309"/>
      <c r="JG271" s="309"/>
      <c r="JH271" s="309"/>
      <c r="JI271" s="309"/>
      <c r="JJ271" s="309"/>
      <c r="JK271" s="309"/>
      <c r="JL271" s="309"/>
      <c r="JM271" s="309"/>
      <c r="JN271" s="309"/>
      <c r="JO271" s="309"/>
      <c r="JP271" s="309"/>
      <c r="JQ271" s="309"/>
      <c r="JR271" s="309"/>
      <c r="JS271" s="309"/>
      <c r="JT271" s="309"/>
      <c r="JU271" s="309"/>
      <c r="JV271" s="309"/>
      <c r="JW271" s="309"/>
      <c r="JX271" s="309"/>
      <c r="JY271" s="309"/>
      <c r="JZ271" s="309"/>
      <c r="KA271" s="309"/>
      <c r="KB271" s="309"/>
      <c r="KC271" s="309"/>
      <c r="KD271" s="309"/>
      <c r="KE271" s="309"/>
      <c r="KF271" s="309"/>
      <c r="KG271" s="309"/>
      <c r="KH271" s="309"/>
      <c r="KI271" s="309"/>
      <c r="KJ271" s="309"/>
      <c r="KK271" s="309"/>
      <c r="KL271" s="309"/>
      <c r="KM271" s="309"/>
      <c r="KN271" s="309"/>
      <c r="KO271" s="309"/>
      <c r="KP271" s="309"/>
      <c r="KQ271" s="309"/>
      <c r="KR271" s="309"/>
      <c r="KS271" s="309"/>
      <c r="KT271" s="309"/>
      <c r="KU271" s="309"/>
      <c r="KV271" s="309"/>
      <c r="KW271" s="309"/>
      <c r="KX271" s="309"/>
      <c r="KY271" s="309"/>
      <c r="KZ271" s="309"/>
      <c r="LA271" s="309"/>
      <c r="LB271" s="309"/>
      <c r="LC271" s="309"/>
      <c r="LD271" s="309"/>
      <c r="LE271" s="309"/>
      <c r="LF271" s="309"/>
      <c r="LG271" s="309"/>
      <c r="LH271" s="309"/>
      <c r="LI271" s="309"/>
      <c r="LJ271" s="309"/>
      <c r="LK271" s="309"/>
      <c r="LL271" s="309"/>
      <c r="LM271" s="309"/>
      <c r="LN271" s="309"/>
      <c r="LO271" s="309"/>
      <c r="LP271" s="309"/>
      <c r="LQ271" s="309"/>
      <c r="LR271" s="309"/>
      <c r="LS271" s="309"/>
      <c r="LT271" s="309"/>
      <c r="LU271" s="309"/>
      <c r="LV271" s="309"/>
      <c r="LW271" s="309"/>
      <c r="LX271" s="309"/>
      <c r="LY271" s="309"/>
      <c r="LZ271" s="309"/>
      <c r="MA271" s="309"/>
      <c r="MB271" s="309"/>
      <c r="MC271" s="309"/>
      <c r="MD271" s="309"/>
      <c r="ME271" s="309"/>
      <c r="MF271" s="309"/>
      <c r="MG271" s="309"/>
      <c r="MH271" s="309"/>
      <c r="MI271" s="309"/>
      <c r="MJ271" s="309"/>
      <c r="MK271" s="309"/>
      <c r="ML271" s="309"/>
      <c r="MM271" s="309"/>
      <c r="MN271" s="309"/>
      <c r="MO271" s="309"/>
      <c r="MP271" s="309"/>
      <c r="MQ271" s="309"/>
      <c r="MR271" s="309"/>
      <c r="MS271" s="309"/>
      <c r="MT271" s="309"/>
      <c r="MU271" s="309"/>
      <c r="MV271" s="309"/>
      <c r="MW271" s="309"/>
      <c r="MX271" s="309"/>
      <c r="MY271" s="309"/>
      <c r="MZ271" s="309"/>
      <c r="NA271" s="309"/>
      <c r="NB271" s="309"/>
      <c r="NC271" s="309"/>
      <c r="ND271" s="309"/>
      <c r="NE271" s="309"/>
      <c r="NF271" s="309"/>
      <c r="NG271" s="309"/>
      <c r="NH271" s="309"/>
      <c r="NI271" s="309"/>
      <c r="NJ271" s="309"/>
      <c r="NK271" s="309"/>
      <c r="NL271" s="309"/>
      <c r="NM271" s="309"/>
      <c r="NN271" s="309"/>
      <c r="NO271" s="309"/>
      <c r="NP271" s="309"/>
      <c r="NQ271" s="309"/>
      <c r="NR271" s="309"/>
      <c r="NS271" s="309"/>
      <c r="NT271" s="309"/>
      <c r="NU271" s="309"/>
      <c r="NV271" s="309"/>
      <c r="NW271" s="309"/>
      <c r="NX271" s="309"/>
      <c r="NY271" s="309"/>
      <c r="NZ271" s="309"/>
      <c r="OA271" s="309"/>
      <c r="OB271" s="309"/>
      <c r="OC271" s="309"/>
      <c r="OD271" s="309"/>
      <c r="OE271" s="309"/>
      <c r="OF271" s="309"/>
      <c r="OG271" s="309"/>
      <c r="OH271" s="309"/>
      <c r="OI271" s="309"/>
      <c r="OJ271" s="309"/>
      <c r="OK271" s="309"/>
      <c r="OL271" s="309"/>
      <c r="OM271" s="309"/>
      <c r="ON271" s="309"/>
      <c r="OO271" s="309"/>
      <c r="OP271" s="309"/>
      <c r="OQ271" s="309"/>
      <c r="OR271" s="309"/>
      <c r="OS271" s="309"/>
      <c r="OT271" s="309"/>
      <c r="OU271" s="309"/>
      <c r="OV271" s="309"/>
      <c r="OW271" s="309"/>
      <c r="OX271" s="309"/>
      <c r="OY271" s="309"/>
      <c r="OZ271" s="309"/>
      <c r="PA271" s="309"/>
      <c r="PB271" s="309"/>
      <c r="PC271" s="309"/>
      <c r="PD271" s="309"/>
      <c r="PE271" s="309"/>
      <c r="PF271" s="309"/>
      <c r="PG271" s="309"/>
      <c r="PH271" s="309"/>
      <c r="PI271" s="309"/>
      <c r="PJ271" s="309"/>
      <c r="PK271" s="309"/>
      <c r="PL271" s="309"/>
      <c r="PM271" s="309"/>
      <c r="PN271" s="309"/>
      <c r="PO271" s="309"/>
      <c r="PP271" s="309"/>
      <c r="PQ271" s="309"/>
      <c r="PR271" s="309"/>
      <c r="PS271" s="309"/>
      <c r="PT271" s="309"/>
      <c r="PU271" s="309"/>
      <c r="PV271" s="309"/>
      <c r="PW271" s="309"/>
      <c r="PX271" s="309"/>
      <c r="PY271" s="309"/>
      <c r="PZ271" s="309"/>
      <c r="QA271" s="309"/>
      <c r="QB271" s="309"/>
      <c r="QC271" s="309"/>
      <c r="QD271" s="309"/>
      <c r="QE271" s="309"/>
      <c r="QF271" s="309"/>
      <c r="QG271" s="309"/>
      <c r="QH271" s="309"/>
      <c r="QI271" s="309"/>
      <c r="QJ271" s="309"/>
      <c r="QK271" s="309"/>
      <c r="QL271" s="309"/>
      <c r="QM271" s="309"/>
      <c r="QN271" s="309"/>
      <c r="QO271" s="309"/>
      <c r="QP271" s="309"/>
      <c r="QQ271" s="309"/>
      <c r="QR271" s="309"/>
      <c r="QS271" s="309"/>
      <c r="QT271" s="309"/>
      <c r="QU271" s="309"/>
      <c r="QV271" s="309"/>
      <c r="QW271" s="309"/>
      <c r="QX271" s="309"/>
      <c r="QY271" s="309"/>
      <c r="QZ271" s="309"/>
      <c r="RA271" s="309"/>
      <c r="RB271" s="309"/>
      <c r="RC271" s="309"/>
      <c r="RD271" s="309"/>
      <c r="RE271" s="309"/>
      <c r="RF271" s="309"/>
      <c r="RG271" s="309"/>
      <c r="RH271" s="309"/>
      <c r="RI271" s="309"/>
      <c r="RJ271" s="309"/>
      <c r="RK271" s="309"/>
      <c r="RL271" s="309"/>
      <c r="RM271" s="309"/>
      <c r="RN271" s="309"/>
      <c r="RO271" s="309"/>
      <c r="RP271" s="309"/>
      <c r="RQ271" s="309"/>
      <c r="RR271" s="309"/>
      <c r="RS271" s="309"/>
      <c r="RT271" s="309"/>
      <c r="RU271" s="309"/>
      <c r="RV271" s="309"/>
      <c r="RW271" s="309"/>
      <c r="RX271" s="309"/>
      <c r="RY271" s="309"/>
      <c r="RZ271" s="309"/>
      <c r="SA271" s="309"/>
      <c r="SB271" s="309"/>
      <c r="SC271" s="309"/>
      <c r="SD271" s="309"/>
      <c r="SE271" s="309"/>
      <c r="SF271" s="309"/>
      <c r="SG271" s="309"/>
      <c r="SH271" s="309"/>
      <c r="SI271" s="309"/>
      <c r="SJ271" s="309"/>
      <c r="SK271" s="309"/>
      <c r="SL271" s="309"/>
      <c r="SM271" s="309"/>
      <c r="SN271" s="309"/>
      <c r="SO271" s="309"/>
      <c r="SP271" s="309"/>
      <c r="SQ271" s="309"/>
      <c r="SR271" s="309"/>
      <c r="SS271" s="309"/>
      <c r="ST271" s="309"/>
      <c r="SU271" s="309"/>
      <c r="SV271" s="309"/>
      <c r="SW271" s="309"/>
      <c r="SX271" s="309"/>
      <c r="SY271" s="309"/>
      <c r="SZ271" s="309"/>
      <c r="TA271" s="309"/>
      <c r="TB271" s="309"/>
      <c r="TC271" s="309"/>
      <c r="TD271" s="309"/>
      <c r="TE271" s="309"/>
      <c r="TF271" s="309"/>
      <c r="TG271" s="309"/>
      <c r="TH271" s="309"/>
      <c r="TI271" s="309"/>
      <c r="TJ271" s="309"/>
      <c r="TK271" s="309"/>
      <c r="TL271" s="309"/>
      <c r="TM271" s="309"/>
      <c r="TN271" s="309"/>
      <c r="TO271" s="309"/>
      <c r="TP271" s="309"/>
      <c r="TQ271" s="309"/>
      <c r="TR271" s="309"/>
      <c r="TS271" s="309"/>
      <c r="TT271" s="309"/>
      <c r="TU271" s="309"/>
      <c r="TV271" s="309"/>
      <c r="TW271" s="309"/>
      <c r="TX271" s="309"/>
      <c r="TY271" s="309"/>
      <c r="TZ271" s="309"/>
      <c r="UA271" s="309"/>
      <c r="UB271" s="309"/>
      <c r="UC271" s="309"/>
      <c r="UD271" s="309"/>
      <c r="UE271" s="309"/>
      <c r="UF271" s="309"/>
      <c r="UG271" s="309"/>
      <c r="UH271" s="309"/>
      <c r="UI271" s="309"/>
      <c r="UJ271" s="309"/>
      <c r="UK271" s="309"/>
      <c r="UL271" s="309"/>
      <c r="UM271" s="309"/>
      <c r="UN271" s="309"/>
      <c r="UO271" s="309"/>
      <c r="UP271" s="309"/>
      <c r="UQ271" s="309"/>
      <c r="UR271" s="309"/>
      <c r="US271" s="309"/>
      <c r="UT271" s="309"/>
      <c r="UU271" s="309"/>
      <c r="UV271" s="309"/>
      <c r="UW271" s="309"/>
      <c r="UX271" s="309"/>
      <c r="UY271" s="309"/>
      <c r="UZ271" s="309"/>
      <c r="VA271" s="309"/>
      <c r="VB271" s="309"/>
      <c r="VC271" s="309"/>
      <c r="VD271" s="309"/>
      <c r="VE271" s="309"/>
      <c r="VF271" s="309"/>
      <c r="VG271" s="309"/>
      <c r="VH271" s="309"/>
      <c r="VI271" s="309"/>
      <c r="VJ271" s="309"/>
      <c r="VK271" s="309"/>
      <c r="VL271" s="309"/>
      <c r="VM271" s="309"/>
      <c r="VN271" s="309"/>
      <c r="VO271" s="309"/>
      <c r="VP271" s="309"/>
      <c r="VQ271" s="309"/>
      <c r="VR271" s="309"/>
      <c r="VS271" s="309"/>
      <c r="VT271" s="309"/>
      <c r="VU271" s="309"/>
      <c r="VV271" s="309"/>
      <c r="VW271" s="309"/>
      <c r="VX271" s="309"/>
      <c r="VY271" s="309"/>
      <c r="VZ271" s="309"/>
      <c r="WA271" s="309"/>
      <c r="WB271" s="309"/>
      <c r="WC271" s="309"/>
      <c r="WD271" s="309"/>
      <c r="WE271" s="309"/>
      <c r="WF271" s="309"/>
      <c r="WG271" s="309"/>
      <c r="WH271" s="309"/>
      <c r="WI271" s="309"/>
      <c r="WJ271" s="309"/>
      <c r="WK271" s="309"/>
      <c r="WL271" s="309"/>
      <c r="WM271" s="309"/>
      <c r="WN271" s="309"/>
      <c r="WO271" s="309"/>
      <c r="WP271" s="309"/>
      <c r="WQ271" s="309"/>
      <c r="WR271" s="309"/>
      <c r="WS271" s="309"/>
      <c r="WT271" s="309"/>
      <c r="WU271" s="309"/>
      <c r="WV271" s="309"/>
      <c r="WW271" s="309"/>
      <c r="WX271" s="309"/>
      <c r="WY271" s="309"/>
      <c r="WZ271" s="309"/>
      <c r="XA271" s="309"/>
      <c r="XB271" s="309"/>
      <c r="XC271" s="309"/>
      <c r="XD271" s="309"/>
      <c r="XE271" s="309"/>
      <c r="XF271" s="309"/>
      <c r="XG271" s="309"/>
      <c r="XH271" s="309"/>
      <c r="XI271" s="309"/>
      <c r="XJ271" s="309"/>
      <c r="XK271" s="309"/>
      <c r="XL271" s="309"/>
      <c r="XM271" s="309"/>
      <c r="XN271" s="309"/>
      <c r="XO271" s="309"/>
      <c r="XP271" s="309"/>
      <c r="XQ271" s="309"/>
      <c r="XR271" s="309"/>
      <c r="XS271" s="309"/>
      <c r="XT271" s="309"/>
      <c r="XU271" s="309"/>
      <c r="XV271" s="309"/>
      <c r="XW271" s="309"/>
      <c r="XX271" s="309"/>
      <c r="XY271" s="309"/>
      <c r="XZ271" s="309"/>
      <c r="YA271" s="309"/>
      <c r="YB271" s="309"/>
      <c r="YC271" s="309"/>
      <c r="YD271" s="309"/>
      <c r="YE271" s="309"/>
      <c r="YF271" s="309"/>
      <c r="YG271" s="309"/>
      <c r="YH271" s="309"/>
      <c r="YI271" s="309"/>
      <c r="YJ271" s="309"/>
      <c r="YK271" s="309"/>
      <c r="YL271" s="309"/>
      <c r="YM271" s="309"/>
      <c r="YN271" s="309"/>
      <c r="YO271" s="309"/>
      <c r="YP271" s="309"/>
      <c r="YQ271" s="309"/>
      <c r="YR271" s="309"/>
      <c r="YS271" s="309"/>
      <c r="YT271" s="309"/>
      <c r="YU271" s="309"/>
      <c r="YV271" s="309"/>
      <c r="YW271" s="309"/>
      <c r="YX271" s="309"/>
      <c r="YY271" s="309"/>
      <c r="YZ271" s="309"/>
      <c r="ZA271" s="309"/>
      <c r="ZB271" s="309"/>
      <c r="ZC271" s="309"/>
      <c r="ZD271" s="309"/>
      <c r="ZE271" s="309"/>
      <c r="ZF271" s="309"/>
      <c r="ZG271" s="309"/>
      <c r="ZH271" s="309"/>
      <c r="ZI271" s="309"/>
      <c r="ZJ271" s="309"/>
    </row>
    <row r="272" spans="5:686" s="308" customFormat="1" x14ac:dyDescent="0.3">
      <c r="E272" s="337"/>
      <c r="F272" s="337"/>
      <c r="G272" s="171"/>
      <c r="H272" s="1"/>
      <c r="Y272" s="309"/>
      <c r="Z272" s="309"/>
      <c r="AA272" s="309"/>
      <c r="AB272" s="309"/>
      <c r="AC272" s="309"/>
      <c r="AD272" s="309"/>
      <c r="AE272" s="309"/>
      <c r="AF272" s="309"/>
      <c r="AG272" s="309"/>
      <c r="AH272" s="309"/>
      <c r="AI272" s="309"/>
      <c r="AJ272" s="309"/>
      <c r="AK272" s="309"/>
      <c r="AL272" s="309"/>
      <c r="AM272" s="309"/>
      <c r="AN272" s="309"/>
      <c r="AO272" s="309"/>
      <c r="AP272" s="309"/>
      <c r="AQ272" s="309"/>
      <c r="AR272" s="309"/>
      <c r="AS272" s="309"/>
      <c r="AT272" s="309"/>
      <c r="AU272" s="309"/>
      <c r="AV272" s="309"/>
      <c r="AW272" s="309"/>
      <c r="AX272" s="309"/>
      <c r="AY272" s="309"/>
      <c r="AZ272" s="309"/>
      <c r="BA272" s="309"/>
      <c r="BB272" s="309"/>
      <c r="BC272" s="309"/>
      <c r="BD272" s="309"/>
      <c r="BE272" s="309"/>
      <c r="BF272" s="309"/>
      <c r="BG272" s="309"/>
      <c r="BH272" s="309"/>
      <c r="BI272" s="309"/>
      <c r="BJ272" s="309"/>
      <c r="BK272" s="309"/>
      <c r="BL272" s="309"/>
      <c r="BM272" s="309"/>
      <c r="BN272" s="309"/>
      <c r="BO272" s="309"/>
      <c r="BP272" s="309"/>
      <c r="BQ272" s="309"/>
      <c r="BR272" s="309"/>
      <c r="BS272" s="309"/>
      <c r="BT272" s="309"/>
      <c r="BU272" s="309"/>
      <c r="BV272" s="309"/>
      <c r="BW272" s="309"/>
      <c r="BX272" s="309"/>
      <c r="BY272" s="309"/>
      <c r="BZ272" s="309"/>
      <c r="CA272" s="309"/>
      <c r="CB272" s="309"/>
      <c r="CC272" s="309"/>
      <c r="CD272" s="309"/>
      <c r="CE272" s="309"/>
      <c r="CF272" s="309"/>
      <c r="CG272" s="309"/>
      <c r="CH272" s="309"/>
      <c r="CI272" s="309"/>
      <c r="CJ272" s="309"/>
      <c r="CK272" s="309"/>
      <c r="CL272" s="309"/>
      <c r="CM272" s="309"/>
      <c r="CN272" s="309"/>
      <c r="CO272" s="309"/>
      <c r="CP272" s="309"/>
      <c r="CQ272" s="309"/>
      <c r="CR272" s="309"/>
      <c r="CS272" s="309"/>
      <c r="CT272" s="309"/>
      <c r="CU272" s="309"/>
      <c r="CV272" s="309"/>
      <c r="CW272" s="309"/>
      <c r="CX272" s="309"/>
      <c r="CY272" s="309"/>
      <c r="CZ272" s="309"/>
      <c r="DA272" s="309"/>
      <c r="DB272" s="309"/>
      <c r="DC272" s="309"/>
      <c r="DD272" s="309"/>
      <c r="DE272" s="309"/>
      <c r="DF272" s="309"/>
      <c r="DG272" s="309"/>
      <c r="DH272" s="309"/>
      <c r="DI272" s="309"/>
      <c r="DJ272" s="309"/>
      <c r="DK272" s="309"/>
      <c r="DL272" s="309"/>
      <c r="DM272" s="309"/>
      <c r="DN272" s="309"/>
      <c r="DO272" s="309"/>
      <c r="DP272" s="309"/>
      <c r="DQ272" s="309"/>
      <c r="DR272" s="309"/>
      <c r="DS272" s="309"/>
      <c r="DT272" s="309"/>
      <c r="DU272" s="309"/>
      <c r="DV272" s="309"/>
      <c r="DW272" s="309"/>
      <c r="DX272" s="309"/>
      <c r="DY272" s="309"/>
      <c r="DZ272" s="309"/>
      <c r="EA272" s="309"/>
      <c r="EB272" s="309"/>
      <c r="EC272" s="309"/>
      <c r="ED272" s="309"/>
      <c r="EE272" s="309"/>
      <c r="EF272" s="309"/>
      <c r="EG272" s="309"/>
      <c r="EH272" s="309"/>
      <c r="EI272" s="309"/>
      <c r="EJ272" s="309"/>
      <c r="EK272" s="309"/>
      <c r="EL272" s="309"/>
      <c r="EM272" s="309"/>
      <c r="EN272" s="309"/>
      <c r="EO272" s="309"/>
      <c r="EP272" s="309"/>
      <c r="EQ272" s="309"/>
      <c r="ER272" s="309"/>
      <c r="ES272" s="309"/>
      <c r="ET272" s="309"/>
      <c r="EU272" s="309"/>
      <c r="EV272" s="309"/>
      <c r="EW272" s="309"/>
      <c r="EX272" s="309"/>
      <c r="EY272" s="309"/>
      <c r="EZ272" s="309"/>
      <c r="FA272" s="309"/>
      <c r="FB272" s="309"/>
      <c r="FC272" s="309"/>
      <c r="FD272" s="309"/>
      <c r="FE272" s="309"/>
      <c r="FF272" s="309"/>
      <c r="FG272" s="309"/>
      <c r="FH272" s="309"/>
      <c r="FI272" s="309"/>
      <c r="FJ272" s="309"/>
      <c r="FK272" s="309"/>
      <c r="FL272" s="309"/>
      <c r="FM272" s="309"/>
      <c r="FN272" s="309"/>
      <c r="FO272" s="309"/>
      <c r="FP272" s="309"/>
      <c r="FQ272" s="309"/>
      <c r="FR272" s="309"/>
      <c r="FS272" s="309"/>
      <c r="FT272" s="309"/>
      <c r="FU272" s="309"/>
      <c r="FV272" s="309"/>
      <c r="FW272" s="309"/>
      <c r="FX272" s="309"/>
      <c r="FY272" s="309"/>
      <c r="FZ272" s="309"/>
      <c r="GA272" s="309"/>
      <c r="GB272" s="309"/>
      <c r="GC272" s="309"/>
      <c r="GD272" s="309"/>
      <c r="GE272" s="309"/>
      <c r="GF272" s="309"/>
      <c r="GG272" s="309"/>
      <c r="GH272" s="309"/>
      <c r="GI272" s="309"/>
      <c r="GJ272" s="309"/>
      <c r="GK272" s="309"/>
      <c r="GL272" s="309"/>
      <c r="GM272" s="309"/>
      <c r="GN272" s="309"/>
      <c r="GO272" s="309"/>
      <c r="GP272" s="309"/>
      <c r="GQ272" s="309"/>
      <c r="GR272" s="309"/>
      <c r="GS272" s="309"/>
      <c r="GT272" s="309"/>
      <c r="GU272" s="309"/>
      <c r="GV272" s="309"/>
      <c r="GW272" s="309"/>
      <c r="GX272" s="309"/>
      <c r="GY272" s="309"/>
      <c r="GZ272" s="309"/>
      <c r="HA272" s="309"/>
      <c r="HB272" s="309"/>
      <c r="HC272" s="309"/>
      <c r="HD272" s="309"/>
      <c r="HE272" s="309"/>
      <c r="HF272" s="309"/>
      <c r="HG272" s="309"/>
      <c r="HH272" s="309"/>
      <c r="HI272" s="309"/>
      <c r="HJ272" s="309"/>
      <c r="HK272" s="309"/>
      <c r="HL272" s="309"/>
      <c r="HM272" s="309"/>
      <c r="HN272" s="309"/>
      <c r="HO272" s="309"/>
      <c r="HP272" s="309"/>
      <c r="HQ272" s="309"/>
      <c r="HR272" s="309"/>
      <c r="HS272" s="309"/>
      <c r="HT272" s="309"/>
      <c r="HU272" s="309"/>
      <c r="HV272" s="309"/>
      <c r="HW272" s="309"/>
      <c r="HX272" s="309"/>
      <c r="HY272" s="309"/>
      <c r="HZ272" s="309"/>
      <c r="IA272" s="309"/>
      <c r="IB272" s="309"/>
      <c r="IC272" s="309"/>
      <c r="ID272" s="309"/>
      <c r="IE272" s="309"/>
      <c r="IF272" s="309"/>
      <c r="IG272" s="309"/>
      <c r="IH272" s="309"/>
      <c r="II272" s="309"/>
      <c r="IJ272" s="309"/>
      <c r="IK272" s="309"/>
      <c r="IL272" s="309"/>
      <c r="IM272" s="309"/>
      <c r="IN272" s="309"/>
      <c r="IO272" s="309"/>
      <c r="IP272" s="309"/>
      <c r="IQ272" s="309"/>
      <c r="IR272" s="309"/>
      <c r="IS272" s="309"/>
      <c r="IT272" s="309"/>
      <c r="IU272" s="309"/>
      <c r="IV272" s="309"/>
      <c r="IW272" s="309"/>
      <c r="IX272" s="309"/>
      <c r="IY272" s="309"/>
      <c r="IZ272" s="309"/>
      <c r="JA272" s="309"/>
      <c r="JB272" s="309"/>
      <c r="JC272" s="309"/>
      <c r="JD272" s="309"/>
      <c r="JE272" s="309"/>
      <c r="JF272" s="309"/>
      <c r="JG272" s="309"/>
      <c r="JH272" s="309"/>
      <c r="JI272" s="309"/>
      <c r="JJ272" s="309"/>
      <c r="JK272" s="309"/>
      <c r="JL272" s="309"/>
      <c r="JM272" s="309"/>
      <c r="JN272" s="309"/>
      <c r="JO272" s="309"/>
      <c r="JP272" s="309"/>
      <c r="JQ272" s="309"/>
      <c r="JR272" s="309"/>
      <c r="JS272" s="309"/>
      <c r="JT272" s="309"/>
      <c r="JU272" s="309"/>
      <c r="JV272" s="309"/>
      <c r="JW272" s="309"/>
      <c r="JX272" s="309"/>
      <c r="JY272" s="309"/>
      <c r="JZ272" s="309"/>
      <c r="KA272" s="309"/>
      <c r="KB272" s="309"/>
      <c r="KC272" s="309"/>
      <c r="KD272" s="309"/>
      <c r="KE272" s="309"/>
      <c r="KF272" s="309"/>
      <c r="KG272" s="309"/>
      <c r="KH272" s="309"/>
      <c r="KI272" s="309"/>
      <c r="KJ272" s="309"/>
      <c r="KK272" s="309"/>
      <c r="KL272" s="309"/>
      <c r="KM272" s="309"/>
      <c r="KN272" s="309"/>
      <c r="KO272" s="309"/>
      <c r="KP272" s="309"/>
      <c r="KQ272" s="309"/>
      <c r="KR272" s="309"/>
      <c r="KS272" s="309"/>
      <c r="KT272" s="309"/>
      <c r="KU272" s="309"/>
      <c r="KV272" s="309"/>
      <c r="KW272" s="309"/>
      <c r="KX272" s="309"/>
      <c r="KY272" s="309"/>
      <c r="KZ272" s="309"/>
      <c r="LA272" s="309"/>
      <c r="LB272" s="309"/>
      <c r="LC272" s="309"/>
      <c r="LD272" s="309"/>
      <c r="LE272" s="309"/>
      <c r="LF272" s="309"/>
      <c r="LG272" s="309"/>
      <c r="LH272" s="309"/>
      <c r="LI272" s="309"/>
      <c r="LJ272" s="309"/>
      <c r="LK272" s="309"/>
      <c r="LL272" s="309"/>
      <c r="LM272" s="309"/>
      <c r="LN272" s="309"/>
      <c r="LO272" s="309"/>
      <c r="LP272" s="309"/>
      <c r="LQ272" s="309"/>
      <c r="LR272" s="309"/>
      <c r="LS272" s="309"/>
      <c r="LT272" s="309"/>
      <c r="LU272" s="309"/>
      <c r="LV272" s="309"/>
      <c r="LW272" s="309"/>
      <c r="LX272" s="309"/>
      <c r="LY272" s="309"/>
      <c r="LZ272" s="309"/>
      <c r="MA272" s="309"/>
      <c r="MB272" s="309"/>
      <c r="MC272" s="309"/>
      <c r="MD272" s="309"/>
      <c r="ME272" s="309"/>
      <c r="MF272" s="309"/>
      <c r="MG272" s="309"/>
      <c r="MH272" s="309"/>
      <c r="MI272" s="309"/>
      <c r="MJ272" s="309"/>
      <c r="MK272" s="309"/>
      <c r="ML272" s="309"/>
      <c r="MM272" s="309"/>
      <c r="MN272" s="309"/>
      <c r="MO272" s="309"/>
      <c r="MP272" s="309"/>
      <c r="MQ272" s="309"/>
      <c r="MR272" s="309"/>
      <c r="MS272" s="309"/>
      <c r="MT272" s="309"/>
      <c r="MU272" s="309"/>
      <c r="MV272" s="309"/>
      <c r="MW272" s="309"/>
      <c r="MX272" s="309"/>
      <c r="MY272" s="309"/>
      <c r="MZ272" s="309"/>
      <c r="NA272" s="309"/>
      <c r="NB272" s="309"/>
      <c r="NC272" s="309"/>
      <c r="ND272" s="309"/>
      <c r="NE272" s="309"/>
      <c r="NF272" s="309"/>
      <c r="NG272" s="309"/>
      <c r="NH272" s="309"/>
      <c r="NI272" s="309"/>
      <c r="NJ272" s="309"/>
      <c r="NK272" s="309"/>
      <c r="NL272" s="309"/>
      <c r="NM272" s="309"/>
      <c r="NN272" s="309"/>
      <c r="NO272" s="309"/>
      <c r="NP272" s="309"/>
      <c r="NQ272" s="309"/>
      <c r="NR272" s="309"/>
      <c r="NS272" s="309"/>
      <c r="NT272" s="309"/>
      <c r="NU272" s="309"/>
      <c r="NV272" s="309"/>
      <c r="NW272" s="309"/>
      <c r="NX272" s="309"/>
      <c r="NY272" s="309"/>
      <c r="NZ272" s="309"/>
      <c r="OA272" s="309"/>
      <c r="OB272" s="309"/>
      <c r="OC272" s="309"/>
      <c r="OD272" s="309"/>
      <c r="OE272" s="309"/>
      <c r="OF272" s="309"/>
      <c r="OG272" s="309"/>
      <c r="OH272" s="309"/>
      <c r="OI272" s="309"/>
      <c r="OJ272" s="309"/>
      <c r="OK272" s="309"/>
      <c r="OL272" s="309"/>
      <c r="OM272" s="309"/>
      <c r="ON272" s="309"/>
      <c r="OO272" s="309"/>
      <c r="OP272" s="309"/>
      <c r="OQ272" s="309"/>
      <c r="OR272" s="309"/>
      <c r="OS272" s="309"/>
      <c r="OT272" s="309"/>
      <c r="OU272" s="309"/>
      <c r="OV272" s="309"/>
      <c r="OW272" s="309"/>
      <c r="OX272" s="309"/>
      <c r="OY272" s="309"/>
      <c r="OZ272" s="309"/>
      <c r="PA272" s="309"/>
      <c r="PB272" s="309"/>
      <c r="PC272" s="309"/>
      <c r="PD272" s="309"/>
      <c r="PE272" s="309"/>
      <c r="PF272" s="309"/>
      <c r="PG272" s="309"/>
      <c r="PH272" s="309"/>
      <c r="PI272" s="309"/>
      <c r="PJ272" s="309"/>
      <c r="PK272" s="309"/>
      <c r="PL272" s="309"/>
      <c r="PM272" s="309"/>
      <c r="PN272" s="309"/>
      <c r="PO272" s="309"/>
      <c r="PP272" s="309"/>
      <c r="PQ272" s="309"/>
      <c r="PR272" s="309"/>
      <c r="PS272" s="309"/>
      <c r="PT272" s="309"/>
      <c r="PU272" s="309"/>
      <c r="PV272" s="309"/>
      <c r="PW272" s="309"/>
      <c r="PX272" s="309"/>
      <c r="PY272" s="309"/>
      <c r="PZ272" s="309"/>
      <c r="QA272" s="309"/>
      <c r="QB272" s="309"/>
      <c r="QC272" s="309"/>
      <c r="QD272" s="309"/>
      <c r="QE272" s="309"/>
      <c r="QF272" s="309"/>
      <c r="QG272" s="309"/>
      <c r="QH272" s="309"/>
      <c r="QI272" s="309"/>
      <c r="QJ272" s="309"/>
      <c r="QK272" s="309"/>
      <c r="QL272" s="309"/>
      <c r="QM272" s="309"/>
      <c r="QN272" s="309"/>
      <c r="QO272" s="309"/>
      <c r="QP272" s="309"/>
      <c r="QQ272" s="309"/>
      <c r="QR272" s="309"/>
      <c r="QS272" s="309"/>
      <c r="QT272" s="309"/>
      <c r="QU272" s="309"/>
      <c r="QV272" s="309"/>
      <c r="QW272" s="309"/>
      <c r="QX272" s="309"/>
      <c r="QY272" s="309"/>
      <c r="QZ272" s="309"/>
      <c r="RA272" s="309"/>
      <c r="RB272" s="309"/>
      <c r="RC272" s="309"/>
      <c r="RD272" s="309"/>
      <c r="RE272" s="309"/>
      <c r="RF272" s="309"/>
      <c r="RG272" s="309"/>
      <c r="RH272" s="309"/>
      <c r="RI272" s="309"/>
      <c r="RJ272" s="309"/>
      <c r="RK272" s="309"/>
      <c r="RL272" s="309"/>
      <c r="RM272" s="309"/>
      <c r="RN272" s="309"/>
      <c r="RO272" s="309"/>
      <c r="RP272" s="309"/>
      <c r="RQ272" s="309"/>
      <c r="RR272" s="309"/>
      <c r="RS272" s="309"/>
      <c r="RT272" s="309"/>
      <c r="RU272" s="309"/>
      <c r="RV272" s="309"/>
      <c r="RW272" s="309"/>
      <c r="RX272" s="309"/>
      <c r="RY272" s="309"/>
      <c r="RZ272" s="309"/>
      <c r="SA272" s="309"/>
      <c r="SB272" s="309"/>
      <c r="SC272" s="309"/>
      <c r="SD272" s="309"/>
      <c r="SE272" s="309"/>
      <c r="SF272" s="309"/>
      <c r="SG272" s="309"/>
      <c r="SH272" s="309"/>
      <c r="SI272" s="309"/>
      <c r="SJ272" s="309"/>
      <c r="SK272" s="309"/>
      <c r="SL272" s="309"/>
      <c r="SM272" s="309"/>
      <c r="SN272" s="309"/>
      <c r="SO272" s="309"/>
      <c r="SP272" s="309"/>
      <c r="SQ272" s="309"/>
      <c r="SR272" s="309"/>
      <c r="SS272" s="309"/>
      <c r="ST272" s="309"/>
      <c r="SU272" s="309"/>
      <c r="SV272" s="309"/>
      <c r="SW272" s="309"/>
      <c r="SX272" s="309"/>
      <c r="SY272" s="309"/>
      <c r="SZ272" s="309"/>
      <c r="TA272" s="309"/>
      <c r="TB272" s="309"/>
      <c r="TC272" s="309"/>
      <c r="TD272" s="309"/>
      <c r="TE272" s="309"/>
      <c r="TF272" s="309"/>
      <c r="TG272" s="309"/>
      <c r="TH272" s="309"/>
      <c r="TI272" s="309"/>
      <c r="TJ272" s="309"/>
      <c r="TK272" s="309"/>
      <c r="TL272" s="309"/>
      <c r="TM272" s="309"/>
      <c r="TN272" s="309"/>
      <c r="TO272" s="309"/>
      <c r="TP272" s="309"/>
      <c r="TQ272" s="309"/>
      <c r="TR272" s="309"/>
      <c r="TS272" s="309"/>
      <c r="TT272" s="309"/>
      <c r="TU272" s="309"/>
      <c r="TV272" s="309"/>
      <c r="TW272" s="309"/>
      <c r="TX272" s="309"/>
      <c r="TY272" s="309"/>
      <c r="TZ272" s="309"/>
      <c r="UA272" s="309"/>
      <c r="UB272" s="309"/>
      <c r="UC272" s="309"/>
      <c r="UD272" s="309"/>
      <c r="UE272" s="309"/>
      <c r="UF272" s="309"/>
      <c r="UG272" s="309"/>
      <c r="UH272" s="309"/>
      <c r="UI272" s="309"/>
      <c r="UJ272" s="309"/>
      <c r="UK272" s="309"/>
      <c r="UL272" s="309"/>
      <c r="UM272" s="309"/>
      <c r="UN272" s="309"/>
      <c r="UO272" s="309"/>
      <c r="UP272" s="309"/>
      <c r="UQ272" s="309"/>
      <c r="UR272" s="309"/>
      <c r="US272" s="309"/>
      <c r="UT272" s="309"/>
      <c r="UU272" s="309"/>
      <c r="UV272" s="309"/>
      <c r="UW272" s="309"/>
      <c r="UX272" s="309"/>
      <c r="UY272" s="309"/>
      <c r="UZ272" s="309"/>
      <c r="VA272" s="309"/>
      <c r="VB272" s="309"/>
      <c r="VC272" s="309"/>
      <c r="VD272" s="309"/>
      <c r="VE272" s="309"/>
      <c r="VF272" s="309"/>
      <c r="VG272" s="309"/>
      <c r="VH272" s="309"/>
      <c r="VI272" s="309"/>
      <c r="VJ272" s="309"/>
      <c r="VK272" s="309"/>
      <c r="VL272" s="309"/>
      <c r="VM272" s="309"/>
      <c r="VN272" s="309"/>
      <c r="VO272" s="309"/>
      <c r="VP272" s="309"/>
      <c r="VQ272" s="309"/>
      <c r="VR272" s="309"/>
      <c r="VS272" s="309"/>
      <c r="VT272" s="309"/>
      <c r="VU272" s="309"/>
      <c r="VV272" s="309"/>
      <c r="VW272" s="309"/>
      <c r="VX272" s="309"/>
      <c r="VY272" s="309"/>
      <c r="VZ272" s="309"/>
      <c r="WA272" s="309"/>
      <c r="WB272" s="309"/>
      <c r="WC272" s="309"/>
      <c r="WD272" s="309"/>
      <c r="WE272" s="309"/>
      <c r="WF272" s="309"/>
      <c r="WG272" s="309"/>
      <c r="WH272" s="309"/>
      <c r="WI272" s="309"/>
      <c r="WJ272" s="309"/>
      <c r="WK272" s="309"/>
      <c r="WL272" s="309"/>
      <c r="WM272" s="309"/>
      <c r="WN272" s="309"/>
      <c r="WO272" s="309"/>
      <c r="WP272" s="309"/>
      <c r="WQ272" s="309"/>
      <c r="WR272" s="309"/>
      <c r="WS272" s="309"/>
      <c r="WT272" s="309"/>
      <c r="WU272" s="309"/>
      <c r="WV272" s="309"/>
      <c r="WW272" s="309"/>
      <c r="WX272" s="309"/>
      <c r="WY272" s="309"/>
      <c r="WZ272" s="309"/>
      <c r="XA272" s="309"/>
      <c r="XB272" s="309"/>
      <c r="XC272" s="309"/>
      <c r="XD272" s="309"/>
      <c r="XE272" s="309"/>
      <c r="XF272" s="309"/>
      <c r="XG272" s="309"/>
      <c r="XH272" s="309"/>
      <c r="XI272" s="309"/>
      <c r="XJ272" s="309"/>
      <c r="XK272" s="309"/>
      <c r="XL272" s="309"/>
      <c r="XM272" s="309"/>
      <c r="XN272" s="309"/>
      <c r="XO272" s="309"/>
      <c r="XP272" s="309"/>
      <c r="XQ272" s="309"/>
      <c r="XR272" s="309"/>
      <c r="XS272" s="309"/>
      <c r="XT272" s="309"/>
      <c r="XU272" s="309"/>
      <c r="XV272" s="309"/>
      <c r="XW272" s="309"/>
      <c r="XX272" s="309"/>
      <c r="XY272" s="309"/>
      <c r="XZ272" s="309"/>
      <c r="YA272" s="309"/>
      <c r="YB272" s="309"/>
      <c r="YC272" s="309"/>
      <c r="YD272" s="309"/>
      <c r="YE272" s="309"/>
      <c r="YF272" s="309"/>
      <c r="YG272" s="309"/>
      <c r="YH272" s="309"/>
      <c r="YI272" s="309"/>
      <c r="YJ272" s="309"/>
      <c r="YK272" s="309"/>
      <c r="YL272" s="309"/>
      <c r="YM272" s="309"/>
      <c r="YN272" s="309"/>
      <c r="YO272" s="309"/>
      <c r="YP272" s="309"/>
      <c r="YQ272" s="309"/>
      <c r="YR272" s="309"/>
      <c r="YS272" s="309"/>
      <c r="YT272" s="309"/>
      <c r="YU272" s="309"/>
      <c r="YV272" s="309"/>
      <c r="YW272" s="309"/>
      <c r="YX272" s="309"/>
      <c r="YY272" s="309"/>
      <c r="YZ272" s="309"/>
      <c r="ZA272" s="309"/>
      <c r="ZB272" s="309"/>
      <c r="ZC272" s="309"/>
      <c r="ZD272" s="309"/>
      <c r="ZE272" s="309"/>
      <c r="ZF272" s="309"/>
      <c r="ZG272" s="309"/>
      <c r="ZH272" s="309"/>
      <c r="ZI272" s="309"/>
      <c r="ZJ272" s="309"/>
    </row>
    <row r="273" spans="2:686" s="308" customFormat="1" x14ac:dyDescent="0.3">
      <c r="E273" s="337"/>
      <c r="F273" s="337"/>
      <c r="G273" s="171"/>
      <c r="H273" s="1"/>
      <c r="Y273" s="309"/>
      <c r="Z273" s="309"/>
      <c r="AA273" s="309"/>
      <c r="AB273" s="309"/>
      <c r="AC273" s="309"/>
      <c r="AD273" s="309"/>
      <c r="AE273" s="309"/>
      <c r="AF273" s="309"/>
      <c r="AG273" s="309"/>
      <c r="AH273" s="309"/>
      <c r="AI273" s="309"/>
      <c r="AJ273" s="309"/>
      <c r="AK273" s="309"/>
      <c r="AL273" s="309"/>
      <c r="AM273" s="309"/>
      <c r="AN273" s="309"/>
      <c r="AO273" s="309"/>
      <c r="AP273" s="309"/>
      <c r="AQ273" s="309"/>
      <c r="AR273" s="309"/>
      <c r="AS273" s="309"/>
      <c r="AT273" s="309"/>
      <c r="AU273" s="309"/>
      <c r="AV273" s="309"/>
      <c r="AW273" s="309"/>
      <c r="AX273" s="309"/>
      <c r="AY273" s="309"/>
      <c r="AZ273" s="309"/>
      <c r="BA273" s="309"/>
      <c r="BB273" s="309"/>
      <c r="BC273" s="309"/>
      <c r="BD273" s="309"/>
      <c r="BE273" s="309"/>
      <c r="BF273" s="309"/>
      <c r="BG273" s="309"/>
      <c r="BH273" s="309"/>
      <c r="BI273" s="309"/>
      <c r="BJ273" s="309"/>
      <c r="BK273" s="309"/>
      <c r="BL273" s="309"/>
      <c r="BM273" s="309"/>
      <c r="BN273" s="309"/>
      <c r="BO273" s="309"/>
      <c r="BP273" s="309"/>
      <c r="BQ273" s="309"/>
      <c r="BR273" s="309"/>
      <c r="BS273" s="309"/>
      <c r="BT273" s="309"/>
      <c r="BU273" s="309"/>
      <c r="BV273" s="309"/>
      <c r="BW273" s="309"/>
      <c r="BX273" s="309"/>
      <c r="BY273" s="309"/>
      <c r="BZ273" s="309"/>
      <c r="CA273" s="309"/>
      <c r="CB273" s="309"/>
      <c r="CC273" s="309"/>
      <c r="CD273" s="309"/>
      <c r="CE273" s="309"/>
      <c r="CF273" s="309"/>
      <c r="CG273" s="309"/>
      <c r="CH273" s="309"/>
      <c r="CI273" s="309"/>
      <c r="CJ273" s="309"/>
      <c r="CK273" s="309"/>
      <c r="CL273" s="309"/>
      <c r="CM273" s="309"/>
      <c r="CN273" s="309"/>
      <c r="CO273" s="309"/>
      <c r="CP273" s="309"/>
      <c r="CQ273" s="309"/>
      <c r="CR273" s="309"/>
      <c r="CS273" s="309"/>
      <c r="CT273" s="309"/>
      <c r="CU273" s="309"/>
      <c r="CV273" s="309"/>
      <c r="CW273" s="309"/>
      <c r="CX273" s="309"/>
      <c r="CY273" s="309"/>
      <c r="CZ273" s="309"/>
      <c r="DA273" s="309"/>
      <c r="DB273" s="309"/>
      <c r="DC273" s="309"/>
      <c r="DD273" s="309"/>
      <c r="DE273" s="309"/>
      <c r="DF273" s="309"/>
      <c r="DG273" s="309"/>
      <c r="DH273" s="309"/>
      <c r="DI273" s="309"/>
      <c r="DJ273" s="309"/>
      <c r="DK273" s="309"/>
      <c r="DL273" s="309"/>
      <c r="DM273" s="309"/>
      <c r="DN273" s="309"/>
      <c r="DO273" s="309"/>
      <c r="DP273" s="309"/>
      <c r="DQ273" s="309"/>
      <c r="DR273" s="309"/>
      <c r="DS273" s="309"/>
      <c r="DT273" s="309"/>
      <c r="DU273" s="309"/>
      <c r="DV273" s="309"/>
      <c r="DW273" s="309"/>
      <c r="DX273" s="309"/>
      <c r="DY273" s="309"/>
      <c r="DZ273" s="309"/>
      <c r="EA273" s="309"/>
      <c r="EB273" s="309"/>
      <c r="EC273" s="309"/>
      <c r="ED273" s="309"/>
      <c r="EE273" s="309"/>
      <c r="EF273" s="309"/>
      <c r="EG273" s="309"/>
      <c r="EH273" s="309"/>
      <c r="EI273" s="309"/>
      <c r="EJ273" s="309"/>
      <c r="EK273" s="309"/>
      <c r="EL273" s="309"/>
      <c r="EM273" s="309"/>
      <c r="EN273" s="309"/>
      <c r="EO273" s="309"/>
      <c r="EP273" s="309"/>
      <c r="EQ273" s="309"/>
      <c r="ER273" s="309"/>
      <c r="ES273" s="309"/>
      <c r="ET273" s="309"/>
      <c r="EU273" s="309"/>
      <c r="EV273" s="309"/>
      <c r="EW273" s="309"/>
      <c r="EX273" s="309"/>
      <c r="EY273" s="309"/>
      <c r="EZ273" s="309"/>
      <c r="FA273" s="309"/>
      <c r="FB273" s="309"/>
      <c r="FC273" s="309"/>
      <c r="FD273" s="309"/>
      <c r="FE273" s="309"/>
      <c r="FF273" s="309"/>
      <c r="FG273" s="309"/>
      <c r="FH273" s="309"/>
      <c r="FI273" s="309"/>
      <c r="FJ273" s="309"/>
      <c r="FK273" s="309"/>
      <c r="FL273" s="309"/>
      <c r="FM273" s="309"/>
      <c r="FN273" s="309"/>
      <c r="FO273" s="309"/>
      <c r="FP273" s="309"/>
      <c r="FQ273" s="309"/>
      <c r="FR273" s="309"/>
      <c r="FS273" s="309"/>
      <c r="FT273" s="309"/>
      <c r="FU273" s="309"/>
      <c r="FV273" s="309"/>
      <c r="FW273" s="309"/>
      <c r="FX273" s="309"/>
      <c r="FY273" s="309"/>
      <c r="FZ273" s="309"/>
      <c r="GA273" s="309"/>
      <c r="GB273" s="309"/>
      <c r="GC273" s="309"/>
      <c r="GD273" s="309"/>
      <c r="GE273" s="309"/>
      <c r="GF273" s="309"/>
      <c r="GG273" s="309"/>
      <c r="GH273" s="309"/>
      <c r="GI273" s="309"/>
      <c r="GJ273" s="309"/>
      <c r="GK273" s="309"/>
      <c r="GL273" s="309"/>
      <c r="GM273" s="309"/>
      <c r="GN273" s="309"/>
      <c r="GO273" s="309"/>
      <c r="GP273" s="309"/>
      <c r="GQ273" s="309"/>
      <c r="GR273" s="309"/>
      <c r="GS273" s="309"/>
      <c r="GT273" s="309"/>
      <c r="GU273" s="309"/>
      <c r="GV273" s="309"/>
      <c r="GW273" s="309"/>
      <c r="GX273" s="309"/>
      <c r="GY273" s="309"/>
      <c r="GZ273" s="309"/>
      <c r="HA273" s="309"/>
      <c r="HB273" s="309"/>
      <c r="HC273" s="309"/>
      <c r="HD273" s="309"/>
      <c r="HE273" s="309"/>
      <c r="HF273" s="309"/>
      <c r="HG273" s="309"/>
      <c r="HH273" s="309"/>
      <c r="HI273" s="309"/>
      <c r="HJ273" s="309"/>
      <c r="HK273" s="309"/>
      <c r="HL273" s="309"/>
      <c r="HM273" s="309"/>
      <c r="HN273" s="309"/>
      <c r="HO273" s="309"/>
      <c r="HP273" s="309"/>
      <c r="HQ273" s="309"/>
      <c r="HR273" s="309"/>
      <c r="HS273" s="309"/>
      <c r="HT273" s="309"/>
      <c r="HU273" s="309"/>
      <c r="HV273" s="309"/>
      <c r="HW273" s="309"/>
      <c r="HX273" s="309"/>
      <c r="HY273" s="309"/>
      <c r="HZ273" s="309"/>
      <c r="IA273" s="309"/>
      <c r="IB273" s="309"/>
      <c r="IC273" s="309"/>
      <c r="ID273" s="309"/>
      <c r="IE273" s="309"/>
      <c r="IF273" s="309"/>
      <c r="IG273" s="309"/>
      <c r="IH273" s="309"/>
      <c r="II273" s="309"/>
      <c r="IJ273" s="309"/>
      <c r="IK273" s="309"/>
      <c r="IL273" s="309"/>
      <c r="IM273" s="309"/>
      <c r="IN273" s="309"/>
      <c r="IO273" s="309"/>
      <c r="IP273" s="309"/>
      <c r="IQ273" s="309"/>
      <c r="IR273" s="309"/>
      <c r="IS273" s="309"/>
      <c r="IT273" s="309"/>
      <c r="IU273" s="309"/>
      <c r="IV273" s="309"/>
      <c r="IW273" s="309"/>
      <c r="IX273" s="309"/>
      <c r="IY273" s="309"/>
      <c r="IZ273" s="309"/>
      <c r="JA273" s="309"/>
      <c r="JB273" s="309"/>
      <c r="JC273" s="309"/>
      <c r="JD273" s="309"/>
      <c r="JE273" s="309"/>
      <c r="JF273" s="309"/>
      <c r="JG273" s="309"/>
      <c r="JH273" s="309"/>
      <c r="JI273" s="309"/>
      <c r="JJ273" s="309"/>
      <c r="JK273" s="309"/>
      <c r="JL273" s="309"/>
      <c r="JM273" s="309"/>
      <c r="JN273" s="309"/>
      <c r="JO273" s="309"/>
      <c r="JP273" s="309"/>
      <c r="JQ273" s="309"/>
      <c r="JR273" s="309"/>
      <c r="JS273" s="309"/>
      <c r="JT273" s="309"/>
      <c r="JU273" s="309"/>
      <c r="JV273" s="309"/>
      <c r="JW273" s="309"/>
      <c r="JX273" s="309"/>
      <c r="JY273" s="309"/>
      <c r="JZ273" s="309"/>
      <c r="KA273" s="309"/>
      <c r="KB273" s="309"/>
      <c r="KC273" s="309"/>
      <c r="KD273" s="309"/>
      <c r="KE273" s="309"/>
      <c r="KF273" s="309"/>
      <c r="KG273" s="309"/>
      <c r="KH273" s="309"/>
      <c r="KI273" s="309"/>
      <c r="KJ273" s="309"/>
      <c r="KK273" s="309"/>
      <c r="KL273" s="309"/>
      <c r="KM273" s="309"/>
      <c r="KN273" s="309"/>
      <c r="KO273" s="309"/>
      <c r="KP273" s="309"/>
      <c r="KQ273" s="309"/>
      <c r="KR273" s="309"/>
      <c r="KS273" s="309"/>
      <c r="KT273" s="309"/>
      <c r="KU273" s="309"/>
      <c r="KV273" s="309"/>
      <c r="KW273" s="309"/>
      <c r="KX273" s="309"/>
      <c r="KY273" s="309"/>
      <c r="KZ273" s="309"/>
      <c r="LA273" s="309"/>
      <c r="LB273" s="309"/>
      <c r="LC273" s="309"/>
      <c r="LD273" s="309"/>
      <c r="LE273" s="309"/>
      <c r="LF273" s="309"/>
      <c r="LG273" s="309"/>
      <c r="LH273" s="309"/>
      <c r="LI273" s="309"/>
      <c r="LJ273" s="309"/>
      <c r="LK273" s="309"/>
      <c r="LL273" s="309"/>
      <c r="LM273" s="309"/>
      <c r="LN273" s="309"/>
      <c r="LO273" s="309"/>
      <c r="LP273" s="309"/>
      <c r="LQ273" s="309"/>
      <c r="LR273" s="309"/>
      <c r="LS273" s="309"/>
      <c r="LT273" s="309"/>
      <c r="LU273" s="309"/>
      <c r="LV273" s="309"/>
      <c r="LW273" s="309"/>
      <c r="LX273" s="309"/>
      <c r="LY273" s="309"/>
      <c r="LZ273" s="309"/>
      <c r="MA273" s="309"/>
      <c r="MB273" s="309"/>
      <c r="MC273" s="309"/>
      <c r="MD273" s="309"/>
      <c r="ME273" s="309"/>
      <c r="MF273" s="309"/>
      <c r="MG273" s="309"/>
      <c r="MH273" s="309"/>
      <c r="MI273" s="309"/>
      <c r="MJ273" s="309"/>
      <c r="MK273" s="309"/>
      <c r="ML273" s="309"/>
      <c r="MM273" s="309"/>
      <c r="MN273" s="309"/>
      <c r="MO273" s="309"/>
      <c r="MP273" s="309"/>
      <c r="MQ273" s="309"/>
      <c r="MR273" s="309"/>
      <c r="MS273" s="309"/>
      <c r="MT273" s="309"/>
      <c r="MU273" s="309"/>
      <c r="MV273" s="309"/>
      <c r="MW273" s="309"/>
      <c r="MX273" s="309"/>
      <c r="MY273" s="309"/>
      <c r="MZ273" s="309"/>
      <c r="NA273" s="309"/>
      <c r="NB273" s="309"/>
      <c r="NC273" s="309"/>
      <c r="ND273" s="309"/>
      <c r="NE273" s="309"/>
      <c r="NF273" s="309"/>
      <c r="NG273" s="309"/>
      <c r="NH273" s="309"/>
      <c r="NI273" s="309"/>
      <c r="NJ273" s="309"/>
      <c r="NK273" s="309"/>
      <c r="NL273" s="309"/>
      <c r="NM273" s="309"/>
      <c r="NN273" s="309"/>
      <c r="NO273" s="309"/>
      <c r="NP273" s="309"/>
      <c r="NQ273" s="309"/>
      <c r="NR273" s="309"/>
      <c r="NS273" s="309"/>
      <c r="NT273" s="309"/>
      <c r="NU273" s="309"/>
      <c r="NV273" s="309"/>
      <c r="NW273" s="309"/>
      <c r="NX273" s="309"/>
      <c r="NY273" s="309"/>
      <c r="NZ273" s="309"/>
      <c r="OA273" s="309"/>
      <c r="OB273" s="309"/>
      <c r="OC273" s="309"/>
      <c r="OD273" s="309"/>
      <c r="OE273" s="309"/>
      <c r="OF273" s="309"/>
      <c r="OG273" s="309"/>
      <c r="OH273" s="309"/>
      <c r="OI273" s="309"/>
      <c r="OJ273" s="309"/>
      <c r="OK273" s="309"/>
      <c r="OL273" s="309"/>
      <c r="OM273" s="309"/>
      <c r="ON273" s="309"/>
      <c r="OO273" s="309"/>
      <c r="OP273" s="309"/>
      <c r="OQ273" s="309"/>
      <c r="OR273" s="309"/>
      <c r="OS273" s="309"/>
      <c r="OT273" s="309"/>
      <c r="OU273" s="309"/>
      <c r="OV273" s="309"/>
      <c r="OW273" s="309"/>
      <c r="OX273" s="309"/>
      <c r="OY273" s="309"/>
      <c r="OZ273" s="309"/>
      <c r="PA273" s="309"/>
      <c r="PB273" s="309"/>
      <c r="PC273" s="309"/>
      <c r="PD273" s="309"/>
      <c r="PE273" s="309"/>
      <c r="PF273" s="309"/>
      <c r="PG273" s="309"/>
      <c r="PH273" s="309"/>
      <c r="PI273" s="309"/>
      <c r="PJ273" s="309"/>
      <c r="PK273" s="309"/>
      <c r="PL273" s="309"/>
      <c r="PM273" s="309"/>
      <c r="PN273" s="309"/>
      <c r="PO273" s="309"/>
      <c r="PP273" s="309"/>
      <c r="PQ273" s="309"/>
      <c r="PR273" s="309"/>
      <c r="PS273" s="309"/>
      <c r="PT273" s="309"/>
      <c r="PU273" s="309"/>
      <c r="PV273" s="309"/>
      <c r="PW273" s="309"/>
      <c r="PX273" s="309"/>
      <c r="PY273" s="309"/>
      <c r="PZ273" s="309"/>
      <c r="QA273" s="309"/>
      <c r="QB273" s="309"/>
      <c r="QC273" s="309"/>
      <c r="QD273" s="309"/>
      <c r="QE273" s="309"/>
      <c r="QF273" s="309"/>
      <c r="QG273" s="309"/>
      <c r="QH273" s="309"/>
      <c r="QI273" s="309"/>
      <c r="QJ273" s="309"/>
      <c r="QK273" s="309"/>
      <c r="QL273" s="309"/>
      <c r="QM273" s="309"/>
      <c r="QN273" s="309"/>
      <c r="QO273" s="309"/>
      <c r="QP273" s="309"/>
      <c r="QQ273" s="309"/>
      <c r="QR273" s="309"/>
      <c r="QS273" s="309"/>
      <c r="QT273" s="309"/>
      <c r="QU273" s="309"/>
      <c r="QV273" s="309"/>
      <c r="QW273" s="309"/>
      <c r="QX273" s="309"/>
      <c r="QY273" s="309"/>
      <c r="QZ273" s="309"/>
      <c r="RA273" s="309"/>
      <c r="RB273" s="309"/>
      <c r="RC273" s="309"/>
      <c r="RD273" s="309"/>
      <c r="RE273" s="309"/>
      <c r="RF273" s="309"/>
      <c r="RG273" s="309"/>
      <c r="RH273" s="309"/>
      <c r="RI273" s="309"/>
      <c r="RJ273" s="309"/>
      <c r="RK273" s="309"/>
      <c r="RL273" s="309"/>
      <c r="RM273" s="309"/>
      <c r="RN273" s="309"/>
      <c r="RO273" s="309"/>
      <c r="RP273" s="309"/>
      <c r="RQ273" s="309"/>
      <c r="RR273" s="309"/>
      <c r="RS273" s="309"/>
      <c r="RT273" s="309"/>
      <c r="RU273" s="309"/>
      <c r="RV273" s="309"/>
      <c r="RW273" s="309"/>
      <c r="RX273" s="309"/>
      <c r="RY273" s="309"/>
      <c r="RZ273" s="309"/>
      <c r="SA273" s="309"/>
      <c r="SB273" s="309"/>
      <c r="SC273" s="309"/>
      <c r="SD273" s="309"/>
      <c r="SE273" s="309"/>
      <c r="SF273" s="309"/>
      <c r="SG273" s="309"/>
      <c r="SH273" s="309"/>
      <c r="SI273" s="309"/>
      <c r="SJ273" s="309"/>
      <c r="SK273" s="309"/>
      <c r="SL273" s="309"/>
      <c r="SM273" s="309"/>
      <c r="SN273" s="309"/>
      <c r="SO273" s="309"/>
      <c r="SP273" s="309"/>
      <c r="SQ273" s="309"/>
      <c r="SR273" s="309"/>
      <c r="SS273" s="309"/>
      <c r="ST273" s="309"/>
      <c r="SU273" s="309"/>
      <c r="SV273" s="309"/>
      <c r="SW273" s="309"/>
      <c r="SX273" s="309"/>
      <c r="SY273" s="309"/>
      <c r="SZ273" s="309"/>
      <c r="TA273" s="309"/>
      <c r="TB273" s="309"/>
      <c r="TC273" s="309"/>
      <c r="TD273" s="309"/>
      <c r="TE273" s="309"/>
      <c r="TF273" s="309"/>
      <c r="TG273" s="309"/>
      <c r="TH273" s="309"/>
      <c r="TI273" s="309"/>
      <c r="TJ273" s="309"/>
      <c r="TK273" s="309"/>
      <c r="TL273" s="309"/>
      <c r="TM273" s="309"/>
      <c r="TN273" s="309"/>
      <c r="TO273" s="309"/>
      <c r="TP273" s="309"/>
      <c r="TQ273" s="309"/>
      <c r="TR273" s="309"/>
      <c r="TS273" s="309"/>
      <c r="TT273" s="309"/>
      <c r="TU273" s="309"/>
      <c r="TV273" s="309"/>
      <c r="TW273" s="309"/>
      <c r="TX273" s="309"/>
      <c r="TY273" s="309"/>
      <c r="TZ273" s="309"/>
      <c r="UA273" s="309"/>
      <c r="UB273" s="309"/>
      <c r="UC273" s="309"/>
      <c r="UD273" s="309"/>
      <c r="UE273" s="309"/>
      <c r="UF273" s="309"/>
      <c r="UG273" s="309"/>
      <c r="UH273" s="309"/>
      <c r="UI273" s="309"/>
      <c r="UJ273" s="309"/>
      <c r="UK273" s="309"/>
      <c r="UL273" s="309"/>
      <c r="UM273" s="309"/>
      <c r="UN273" s="309"/>
      <c r="UO273" s="309"/>
      <c r="UP273" s="309"/>
      <c r="UQ273" s="309"/>
      <c r="UR273" s="309"/>
      <c r="US273" s="309"/>
      <c r="UT273" s="309"/>
      <c r="UU273" s="309"/>
      <c r="UV273" s="309"/>
      <c r="UW273" s="309"/>
      <c r="UX273" s="309"/>
      <c r="UY273" s="309"/>
      <c r="UZ273" s="309"/>
      <c r="VA273" s="309"/>
      <c r="VB273" s="309"/>
      <c r="VC273" s="309"/>
      <c r="VD273" s="309"/>
      <c r="VE273" s="309"/>
      <c r="VF273" s="309"/>
      <c r="VG273" s="309"/>
      <c r="VH273" s="309"/>
      <c r="VI273" s="309"/>
      <c r="VJ273" s="309"/>
      <c r="VK273" s="309"/>
      <c r="VL273" s="309"/>
      <c r="VM273" s="309"/>
      <c r="VN273" s="309"/>
      <c r="VO273" s="309"/>
      <c r="VP273" s="309"/>
      <c r="VQ273" s="309"/>
      <c r="VR273" s="309"/>
      <c r="VS273" s="309"/>
      <c r="VT273" s="309"/>
      <c r="VU273" s="309"/>
      <c r="VV273" s="309"/>
      <c r="VW273" s="309"/>
      <c r="VX273" s="309"/>
      <c r="VY273" s="309"/>
      <c r="VZ273" s="309"/>
      <c r="WA273" s="309"/>
      <c r="WB273" s="309"/>
      <c r="WC273" s="309"/>
      <c r="WD273" s="309"/>
      <c r="WE273" s="309"/>
      <c r="WF273" s="309"/>
      <c r="WG273" s="309"/>
      <c r="WH273" s="309"/>
      <c r="WI273" s="309"/>
      <c r="WJ273" s="309"/>
      <c r="WK273" s="309"/>
      <c r="WL273" s="309"/>
      <c r="WM273" s="309"/>
      <c r="WN273" s="309"/>
      <c r="WO273" s="309"/>
      <c r="WP273" s="309"/>
      <c r="WQ273" s="309"/>
      <c r="WR273" s="309"/>
      <c r="WS273" s="309"/>
      <c r="WT273" s="309"/>
      <c r="WU273" s="309"/>
      <c r="WV273" s="309"/>
      <c r="WW273" s="309"/>
      <c r="WX273" s="309"/>
      <c r="WY273" s="309"/>
      <c r="WZ273" s="309"/>
      <c r="XA273" s="309"/>
      <c r="XB273" s="309"/>
      <c r="XC273" s="309"/>
      <c r="XD273" s="309"/>
      <c r="XE273" s="309"/>
      <c r="XF273" s="309"/>
      <c r="XG273" s="309"/>
      <c r="XH273" s="309"/>
      <c r="XI273" s="309"/>
      <c r="XJ273" s="309"/>
      <c r="XK273" s="309"/>
      <c r="XL273" s="309"/>
      <c r="XM273" s="309"/>
      <c r="XN273" s="309"/>
      <c r="XO273" s="309"/>
      <c r="XP273" s="309"/>
      <c r="XQ273" s="309"/>
      <c r="XR273" s="309"/>
      <c r="XS273" s="309"/>
      <c r="XT273" s="309"/>
      <c r="XU273" s="309"/>
      <c r="XV273" s="309"/>
      <c r="XW273" s="309"/>
      <c r="XX273" s="309"/>
      <c r="XY273" s="309"/>
      <c r="XZ273" s="309"/>
      <c r="YA273" s="309"/>
      <c r="YB273" s="309"/>
      <c r="YC273" s="309"/>
      <c r="YD273" s="309"/>
      <c r="YE273" s="309"/>
      <c r="YF273" s="309"/>
      <c r="YG273" s="309"/>
      <c r="YH273" s="309"/>
      <c r="YI273" s="309"/>
      <c r="YJ273" s="309"/>
      <c r="YK273" s="309"/>
      <c r="YL273" s="309"/>
      <c r="YM273" s="309"/>
      <c r="YN273" s="309"/>
      <c r="YO273" s="309"/>
      <c r="YP273" s="309"/>
      <c r="YQ273" s="309"/>
      <c r="YR273" s="309"/>
      <c r="YS273" s="309"/>
      <c r="YT273" s="309"/>
      <c r="YU273" s="309"/>
      <c r="YV273" s="309"/>
      <c r="YW273" s="309"/>
      <c r="YX273" s="309"/>
      <c r="YY273" s="309"/>
      <c r="YZ273" s="309"/>
      <c r="ZA273" s="309"/>
      <c r="ZB273" s="309"/>
      <c r="ZC273" s="309"/>
      <c r="ZD273" s="309"/>
      <c r="ZE273" s="309"/>
      <c r="ZF273" s="309"/>
      <c r="ZG273" s="309"/>
      <c r="ZH273" s="309"/>
      <c r="ZI273" s="309"/>
      <c r="ZJ273" s="309"/>
    </row>
    <row r="274" spans="2:686" s="308" customFormat="1" x14ac:dyDescent="0.3">
      <c r="E274" s="337"/>
      <c r="F274" s="337"/>
      <c r="G274" s="171"/>
      <c r="H274" s="1"/>
      <c r="Y274" s="309"/>
      <c r="Z274" s="309"/>
      <c r="AA274" s="309"/>
      <c r="AB274" s="309"/>
      <c r="AC274" s="309"/>
      <c r="AD274" s="309"/>
      <c r="AE274" s="309"/>
      <c r="AF274" s="309"/>
      <c r="AG274" s="309"/>
      <c r="AH274" s="309"/>
      <c r="AI274" s="309"/>
      <c r="AJ274" s="309"/>
      <c r="AK274" s="309"/>
      <c r="AL274" s="309"/>
      <c r="AM274" s="309"/>
      <c r="AN274" s="309"/>
      <c r="AO274" s="309"/>
      <c r="AP274" s="309"/>
      <c r="AQ274" s="309"/>
      <c r="AR274" s="309"/>
      <c r="AS274" s="309"/>
      <c r="AT274" s="309"/>
      <c r="AU274" s="309"/>
      <c r="AV274" s="309"/>
      <c r="AW274" s="309"/>
      <c r="AX274" s="309"/>
      <c r="AY274" s="309"/>
      <c r="AZ274" s="309"/>
      <c r="BA274" s="309"/>
      <c r="BB274" s="309"/>
      <c r="BC274" s="309"/>
      <c r="BD274" s="309"/>
      <c r="BE274" s="309"/>
      <c r="BF274" s="309"/>
      <c r="BG274" s="309"/>
      <c r="BH274" s="309"/>
      <c r="BI274" s="309"/>
      <c r="BJ274" s="309"/>
      <c r="BK274" s="309"/>
      <c r="BL274" s="309"/>
      <c r="BM274" s="309"/>
      <c r="BN274" s="309"/>
      <c r="BO274" s="309"/>
      <c r="BP274" s="309"/>
      <c r="BQ274" s="309"/>
      <c r="BR274" s="309"/>
      <c r="BS274" s="309"/>
      <c r="BT274" s="309"/>
      <c r="BU274" s="309"/>
      <c r="BV274" s="309"/>
      <c r="BW274" s="309"/>
      <c r="BX274" s="309"/>
      <c r="BY274" s="309"/>
      <c r="BZ274" s="309"/>
      <c r="CA274" s="309"/>
      <c r="CB274" s="309"/>
      <c r="CC274" s="309"/>
      <c r="CD274" s="309"/>
      <c r="CE274" s="309"/>
      <c r="CF274" s="309"/>
      <c r="CG274" s="309"/>
      <c r="CH274" s="309"/>
      <c r="CI274" s="309"/>
      <c r="CJ274" s="309"/>
      <c r="CK274" s="309"/>
      <c r="CL274" s="309"/>
      <c r="CM274" s="309"/>
      <c r="CN274" s="309"/>
      <c r="CO274" s="309"/>
      <c r="CP274" s="309"/>
      <c r="CQ274" s="309"/>
      <c r="CR274" s="309"/>
      <c r="CS274" s="309"/>
      <c r="CT274" s="309"/>
      <c r="CU274" s="309"/>
      <c r="CV274" s="309"/>
      <c r="CW274" s="309"/>
      <c r="CX274" s="309"/>
      <c r="CY274" s="309"/>
      <c r="CZ274" s="309"/>
      <c r="DA274" s="309"/>
      <c r="DB274" s="309"/>
      <c r="DC274" s="309"/>
      <c r="DD274" s="309"/>
      <c r="DE274" s="309"/>
      <c r="DF274" s="309"/>
      <c r="DG274" s="309"/>
      <c r="DH274" s="309"/>
      <c r="DI274" s="309"/>
      <c r="DJ274" s="309"/>
      <c r="DK274" s="309"/>
      <c r="DL274" s="309"/>
      <c r="DM274" s="309"/>
      <c r="DN274" s="309"/>
      <c r="DO274" s="309"/>
      <c r="DP274" s="309"/>
      <c r="DQ274" s="309"/>
      <c r="DR274" s="309"/>
      <c r="DS274" s="309"/>
      <c r="DT274" s="309"/>
      <c r="DU274" s="309"/>
      <c r="DV274" s="309"/>
      <c r="DW274" s="309"/>
      <c r="DX274" s="309"/>
      <c r="DY274" s="309"/>
      <c r="DZ274" s="309"/>
      <c r="EA274" s="309"/>
      <c r="EB274" s="309"/>
      <c r="EC274" s="309"/>
      <c r="ED274" s="309"/>
      <c r="EE274" s="309"/>
      <c r="EF274" s="309"/>
      <c r="EG274" s="309"/>
      <c r="EH274" s="309"/>
      <c r="EI274" s="309"/>
      <c r="EJ274" s="309"/>
      <c r="EK274" s="309"/>
      <c r="EL274" s="309"/>
      <c r="EM274" s="309"/>
      <c r="EN274" s="309"/>
      <c r="EO274" s="309"/>
      <c r="EP274" s="309"/>
      <c r="EQ274" s="309"/>
      <c r="ER274" s="309"/>
      <c r="ES274" s="309"/>
      <c r="ET274" s="309"/>
      <c r="EU274" s="309"/>
      <c r="EV274" s="309"/>
      <c r="EW274" s="309"/>
      <c r="EX274" s="309"/>
      <c r="EY274" s="309"/>
      <c r="EZ274" s="309"/>
      <c r="FA274" s="309"/>
      <c r="FB274" s="309"/>
      <c r="FC274" s="309"/>
      <c r="FD274" s="309"/>
      <c r="FE274" s="309"/>
      <c r="FF274" s="309"/>
      <c r="FG274" s="309"/>
      <c r="FH274" s="309"/>
      <c r="FI274" s="309"/>
      <c r="FJ274" s="309"/>
      <c r="FK274" s="309"/>
      <c r="FL274" s="309"/>
      <c r="FM274" s="309"/>
      <c r="FN274" s="309"/>
      <c r="FO274" s="309"/>
      <c r="FP274" s="309"/>
      <c r="FQ274" s="309"/>
      <c r="FR274" s="309"/>
      <c r="FS274" s="309"/>
      <c r="FT274" s="309"/>
      <c r="FU274" s="309"/>
      <c r="FV274" s="309"/>
      <c r="FW274" s="309"/>
      <c r="FX274" s="309"/>
      <c r="FY274" s="309"/>
      <c r="FZ274" s="309"/>
      <c r="GA274" s="309"/>
      <c r="GB274" s="309"/>
      <c r="GC274" s="309"/>
      <c r="GD274" s="309"/>
      <c r="GE274" s="309"/>
      <c r="GF274" s="309"/>
      <c r="GG274" s="309"/>
      <c r="GH274" s="309"/>
      <c r="GI274" s="309"/>
      <c r="GJ274" s="309"/>
      <c r="GK274" s="309"/>
      <c r="GL274" s="309"/>
      <c r="GM274" s="309"/>
      <c r="GN274" s="309"/>
      <c r="GO274" s="309"/>
      <c r="GP274" s="309"/>
      <c r="GQ274" s="309"/>
      <c r="GR274" s="309"/>
      <c r="GS274" s="309"/>
      <c r="GT274" s="309"/>
      <c r="GU274" s="309"/>
      <c r="GV274" s="309"/>
      <c r="GW274" s="309"/>
      <c r="GX274" s="309"/>
      <c r="GY274" s="309"/>
      <c r="GZ274" s="309"/>
      <c r="HA274" s="309"/>
      <c r="HB274" s="309"/>
      <c r="HC274" s="309"/>
      <c r="HD274" s="309"/>
      <c r="HE274" s="309"/>
      <c r="HF274" s="309"/>
      <c r="HG274" s="309"/>
      <c r="HH274" s="309"/>
      <c r="HI274" s="309"/>
      <c r="HJ274" s="309"/>
      <c r="HK274" s="309"/>
      <c r="HL274" s="309"/>
      <c r="HM274" s="309"/>
      <c r="HN274" s="309"/>
      <c r="HO274" s="309"/>
      <c r="HP274" s="309"/>
      <c r="HQ274" s="309"/>
      <c r="HR274" s="309"/>
      <c r="HS274" s="309"/>
      <c r="HT274" s="309"/>
      <c r="HU274" s="309"/>
      <c r="HV274" s="309"/>
      <c r="HW274" s="309"/>
      <c r="HX274" s="309"/>
      <c r="HY274" s="309"/>
      <c r="HZ274" s="309"/>
      <c r="IA274" s="309"/>
      <c r="IB274" s="309"/>
      <c r="IC274" s="309"/>
      <c r="ID274" s="309"/>
      <c r="IE274" s="309"/>
      <c r="IF274" s="309"/>
      <c r="IG274" s="309"/>
      <c r="IH274" s="309"/>
      <c r="II274" s="309"/>
      <c r="IJ274" s="309"/>
      <c r="IK274" s="309"/>
      <c r="IL274" s="309"/>
      <c r="IM274" s="309"/>
      <c r="IN274" s="309"/>
      <c r="IO274" s="309"/>
      <c r="IP274" s="309"/>
      <c r="IQ274" s="309"/>
      <c r="IR274" s="309"/>
      <c r="IS274" s="309"/>
      <c r="IT274" s="309"/>
      <c r="IU274" s="309"/>
      <c r="IV274" s="309"/>
      <c r="IW274" s="309"/>
      <c r="IX274" s="309"/>
      <c r="IY274" s="309"/>
      <c r="IZ274" s="309"/>
      <c r="JA274" s="309"/>
      <c r="JB274" s="309"/>
      <c r="JC274" s="309"/>
      <c r="JD274" s="309"/>
      <c r="JE274" s="309"/>
      <c r="JF274" s="309"/>
      <c r="JG274" s="309"/>
      <c r="JH274" s="309"/>
      <c r="JI274" s="309"/>
      <c r="JJ274" s="309"/>
      <c r="JK274" s="309"/>
      <c r="JL274" s="309"/>
      <c r="JM274" s="309"/>
      <c r="JN274" s="309"/>
      <c r="JO274" s="309"/>
      <c r="JP274" s="309"/>
      <c r="JQ274" s="309"/>
      <c r="JR274" s="309"/>
      <c r="JS274" s="309"/>
      <c r="JT274" s="309"/>
      <c r="JU274" s="309"/>
      <c r="JV274" s="309"/>
      <c r="JW274" s="309"/>
      <c r="JX274" s="309"/>
      <c r="JY274" s="309"/>
      <c r="JZ274" s="309"/>
      <c r="KA274" s="309"/>
      <c r="KB274" s="309"/>
      <c r="KC274" s="309"/>
      <c r="KD274" s="309"/>
      <c r="KE274" s="309"/>
      <c r="KF274" s="309"/>
      <c r="KG274" s="309"/>
      <c r="KH274" s="309"/>
      <c r="KI274" s="309"/>
      <c r="KJ274" s="309"/>
      <c r="KK274" s="309"/>
      <c r="KL274" s="309"/>
      <c r="KM274" s="309"/>
      <c r="KN274" s="309"/>
      <c r="KO274" s="309"/>
      <c r="KP274" s="309"/>
      <c r="KQ274" s="309"/>
      <c r="KR274" s="309"/>
      <c r="KS274" s="309"/>
      <c r="KT274" s="309"/>
      <c r="KU274" s="309"/>
      <c r="KV274" s="309"/>
      <c r="KW274" s="309"/>
      <c r="KX274" s="309"/>
      <c r="KY274" s="309"/>
      <c r="KZ274" s="309"/>
      <c r="LA274" s="309"/>
      <c r="LB274" s="309"/>
      <c r="LC274" s="309"/>
      <c r="LD274" s="309"/>
      <c r="LE274" s="309"/>
      <c r="LF274" s="309"/>
      <c r="LG274" s="309"/>
      <c r="LH274" s="309"/>
      <c r="LI274" s="309"/>
      <c r="LJ274" s="309"/>
      <c r="LK274" s="309"/>
      <c r="LL274" s="309"/>
      <c r="LM274" s="309"/>
      <c r="LN274" s="309"/>
      <c r="LO274" s="309"/>
      <c r="LP274" s="309"/>
      <c r="LQ274" s="309"/>
      <c r="LR274" s="309"/>
      <c r="LS274" s="309"/>
      <c r="LT274" s="309"/>
      <c r="LU274" s="309"/>
      <c r="LV274" s="309"/>
      <c r="LW274" s="309"/>
      <c r="LX274" s="309"/>
      <c r="LY274" s="309"/>
      <c r="LZ274" s="309"/>
      <c r="MA274" s="309"/>
      <c r="MB274" s="309"/>
      <c r="MC274" s="309"/>
      <c r="MD274" s="309"/>
      <c r="ME274" s="309"/>
      <c r="MF274" s="309"/>
      <c r="MG274" s="309"/>
      <c r="MH274" s="309"/>
      <c r="MI274" s="309"/>
      <c r="MJ274" s="309"/>
      <c r="MK274" s="309"/>
      <c r="ML274" s="309"/>
      <c r="MM274" s="309"/>
      <c r="MN274" s="309"/>
      <c r="MO274" s="309"/>
      <c r="MP274" s="309"/>
      <c r="MQ274" s="309"/>
      <c r="MR274" s="309"/>
      <c r="MS274" s="309"/>
      <c r="MT274" s="309"/>
      <c r="MU274" s="309"/>
      <c r="MV274" s="309"/>
      <c r="MW274" s="309"/>
      <c r="MX274" s="309"/>
      <c r="MY274" s="309"/>
      <c r="MZ274" s="309"/>
      <c r="NA274" s="309"/>
      <c r="NB274" s="309"/>
      <c r="NC274" s="309"/>
      <c r="ND274" s="309"/>
      <c r="NE274" s="309"/>
      <c r="NF274" s="309"/>
      <c r="NG274" s="309"/>
      <c r="NH274" s="309"/>
      <c r="NI274" s="309"/>
      <c r="NJ274" s="309"/>
      <c r="NK274" s="309"/>
      <c r="NL274" s="309"/>
      <c r="NM274" s="309"/>
      <c r="NN274" s="309"/>
      <c r="NO274" s="309"/>
      <c r="NP274" s="309"/>
      <c r="NQ274" s="309"/>
      <c r="NR274" s="309"/>
      <c r="NS274" s="309"/>
      <c r="NT274" s="309"/>
      <c r="NU274" s="309"/>
      <c r="NV274" s="309"/>
      <c r="NW274" s="309"/>
      <c r="NX274" s="309"/>
      <c r="NY274" s="309"/>
      <c r="NZ274" s="309"/>
      <c r="OA274" s="309"/>
      <c r="OB274" s="309"/>
      <c r="OC274" s="309"/>
      <c r="OD274" s="309"/>
      <c r="OE274" s="309"/>
      <c r="OF274" s="309"/>
      <c r="OG274" s="309"/>
      <c r="OH274" s="309"/>
      <c r="OI274" s="309"/>
      <c r="OJ274" s="309"/>
      <c r="OK274" s="309"/>
      <c r="OL274" s="309"/>
      <c r="OM274" s="309"/>
      <c r="ON274" s="309"/>
      <c r="OO274" s="309"/>
      <c r="OP274" s="309"/>
      <c r="OQ274" s="309"/>
      <c r="OR274" s="309"/>
      <c r="OS274" s="309"/>
      <c r="OT274" s="309"/>
      <c r="OU274" s="309"/>
      <c r="OV274" s="309"/>
      <c r="OW274" s="309"/>
      <c r="OX274" s="309"/>
      <c r="OY274" s="309"/>
      <c r="OZ274" s="309"/>
      <c r="PA274" s="309"/>
      <c r="PB274" s="309"/>
      <c r="PC274" s="309"/>
      <c r="PD274" s="309"/>
      <c r="PE274" s="309"/>
      <c r="PF274" s="309"/>
      <c r="PG274" s="309"/>
      <c r="PH274" s="309"/>
      <c r="PI274" s="309"/>
      <c r="PJ274" s="309"/>
      <c r="PK274" s="309"/>
      <c r="PL274" s="309"/>
      <c r="PM274" s="309"/>
      <c r="PN274" s="309"/>
      <c r="PO274" s="309"/>
      <c r="PP274" s="309"/>
      <c r="PQ274" s="309"/>
      <c r="PR274" s="309"/>
      <c r="PS274" s="309"/>
      <c r="PT274" s="309"/>
      <c r="PU274" s="309"/>
      <c r="PV274" s="309"/>
      <c r="PW274" s="309"/>
      <c r="PX274" s="309"/>
      <c r="PY274" s="309"/>
      <c r="PZ274" s="309"/>
      <c r="QA274" s="309"/>
      <c r="QB274" s="309"/>
      <c r="QC274" s="309"/>
      <c r="QD274" s="309"/>
      <c r="QE274" s="309"/>
      <c r="QF274" s="309"/>
      <c r="QG274" s="309"/>
      <c r="QH274" s="309"/>
      <c r="QI274" s="309"/>
      <c r="QJ274" s="309"/>
      <c r="QK274" s="309"/>
      <c r="QL274" s="309"/>
      <c r="QM274" s="309"/>
      <c r="QN274" s="309"/>
      <c r="QO274" s="309"/>
      <c r="QP274" s="309"/>
      <c r="QQ274" s="309"/>
      <c r="QR274" s="309"/>
      <c r="QS274" s="309"/>
      <c r="QT274" s="309"/>
      <c r="QU274" s="309"/>
      <c r="QV274" s="309"/>
      <c r="QW274" s="309"/>
      <c r="QX274" s="309"/>
      <c r="QY274" s="309"/>
      <c r="QZ274" s="309"/>
      <c r="RA274" s="309"/>
      <c r="RB274" s="309"/>
      <c r="RC274" s="309"/>
      <c r="RD274" s="309"/>
      <c r="RE274" s="309"/>
      <c r="RF274" s="309"/>
      <c r="RG274" s="309"/>
      <c r="RH274" s="309"/>
      <c r="RI274" s="309"/>
      <c r="RJ274" s="309"/>
      <c r="RK274" s="309"/>
      <c r="RL274" s="309"/>
      <c r="RM274" s="309"/>
      <c r="RN274" s="309"/>
      <c r="RO274" s="309"/>
      <c r="RP274" s="309"/>
      <c r="RQ274" s="309"/>
      <c r="RR274" s="309"/>
      <c r="RS274" s="309"/>
      <c r="RT274" s="309"/>
      <c r="RU274" s="309"/>
      <c r="RV274" s="309"/>
      <c r="RW274" s="309"/>
      <c r="RX274" s="309"/>
      <c r="RY274" s="309"/>
      <c r="RZ274" s="309"/>
      <c r="SA274" s="309"/>
      <c r="SB274" s="309"/>
      <c r="SC274" s="309"/>
      <c r="SD274" s="309"/>
      <c r="SE274" s="309"/>
      <c r="SF274" s="309"/>
      <c r="SG274" s="309"/>
      <c r="SH274" s="309"/>
      <c r="SI274" s="309"/>
      <c r="SJ274" s="309"/>
      <c r="SK274" s="309"/>
      <c r="SL274" s="309"/>
      <c r="SM274" s="309"/>
      <c r="SN274" s="309"/>
      <c r="SO274" s="309"/>
      <c r="SP274" s="309"/>
      <c r="SQ274" s="309"/>
      <c r="SR274" s="309"/>
      <c r="SS274" s="309"/>
      <c r="ST274" s="309"/>
      <c r="SU274" s="309"/>
      <c r="SV274" s="309"/>
      <c r="SW274" s="309"/>
      <c r="SX274" s="309"/>
      <c r="SY274" s="309"/>
      <c r="SZ274" s="309"/>
      <c r="TA274" s="309"/>
      <c r="TB274" s="309"/>
      <c r="TC274" s="309"/>
      <c r="TD274" s="309"/>
      <c r="TE274" s="309"/>
      <c r="TF274" s="309"/>
      <c r="TG274" s="309"/>
      <c r="TH274" s="309"/>
      <c r="TI274" s="309"/>
      <c r="TJ274" s="309"/>
      <c r="TK274" s="309"/>
      <c r="TL274" s="309"/>
      <c r="TM274" s="309"/>
      <c r="TN274" s="309"/>
      <c r="TO274" s="309"/>
      <c r="TP274" s="309"/>
      <c r="TQ274" s="309"/>
      <c r="TR274" s="309"/>
      <c r="TS274" s="309"/>
      <c r="TT274" s="309"/>
      <c r="TU274" s="309"/>
      <c r="TV274" s="309"/>
      <c r="TW274" s="309"/>
      <c r="TX274" s="309"/>
      <c r="TY274" s="309"/>
      <c r="TZ274" s="309"/>
      <c r="UA274" s="309"/>
      <c r="UB274" s="309"/>
      <c r="UC274" s="309"/>
      <c r="UD274" s="309"/>
      <c r="UE274" s="309"/>
      <c r="UF274" s="309"/>
      <c r="UG274" s="309"/>
      <c r="UH274" s="309"/>
      <c r="UI274" s="309"/>
      <c r="UJ274" s="309"/>
      <c r="UK274" s="309"/>
      <c r="UL274" s="309"/>
      <c r="UM274" s="309"/>
      <c r="UN274" s="309"/>
      <c r="UO274" s="309"/>
      <c r="UP274" s="309"/>
      <c r="UQ274" s="309"/>
      <c r="UR274" s="309"/>
      <c r="US274" s="309"/>
      <c r="UT274" s="309"/>
      <c r="UU274" s="309"/>
      <c r="UV274" s="309"/>
      <c r="UW274" s="309"/>
      <c r="UX274" s="309"/>
      <c r="UY274" s="309"/>
      <c r="UZ274" s="309"/>
      <c r="VA274" s="309"/>
      <c r="VB274" s="309"/>
      <c r="VC274" s="309"/>
      <c r="VD274" s="309"/>
      <c r="VE274" s="309"/>
      <c r="VF274" s="309"/>
      <c r="VG274" s="309"/>
      <c r="VH274" s="309"/>
      <c r="VI274" s="309"/>
      <c r="VJ274" s="309"/>
      <c r="VK274" s="309"/>
      <c r="VL274" s="309"/>
      <c r="VM274" s="309"/>
      <c r="VN274" s="309"/>
      <c r="VO274" s="309"/>
      <c r="VP274" s="309"/>
      <c r="VQ274" s="309"/>
      <c r="VR274" s="309"/>
      <c r="VS274" s="309"/>
      <c r="VT274" s="309"/>
      <c r="VU274" s="309"/>
      <c r="VV274" s="309"/>
      <c r="VW274" s="309"/>
      <c r="VX274" s="309"/>
      <c r="VY274" s="309"/>
      <c r="VZ274" s="309"/>
      <c r="WA274" s="309"/>
      <c r="WB274" s="309"/>
      <c r="WC274" s="309"/>
      <c r="WD274" s="309"/>
      <c r="WE274" s="309"/>
      <c r="WF274" s="309"/>
      <c r="WG274" s="309"/>
      <c r="WH274" s="309"/>
      <c r="WI274" s="309"/>
      <c r="WJ274" s="309"/>
      <c r="WK274" s="309"/>
      <c r="WL274" s="309"/>
      <c r="WM274" s="309"/>
      <c r="WN274" s="309"/>
      <c r="WO274" s="309"/>
      <c r="WP274" s="309"/>
      <c r="WQ274" s="309"/>
      <c r="WR274" s="309"/>
      <c r="WS274" s="309"/>
      <c r="WT274" s="309"/>
      <c r="WU274" s="309"/>
      <c r="WV274" s="309"/>
      <c r="WW274" s="309"/>
      <c r="WX274" s="309"/>
      <c r="WY274" s="309"/>
      <c r="WZ274" s="309"/>
      <c r="XA274" s="309"/>
      <c r="XB274" s="309"/>
      <c r="XC274" s="309"/>
      <c r="XD274" s="309"/>
      <c r="XE274" s="309"/>
      <c r="XF274" s="309"/>
      <c r="XG274" s="309"/>
      <c r="XH274" s="309"/>
      <c r="XI274" s="309"/>
      <c r="XJ274" s="309"/>
      <c r="XK274" s="309"/>
      <c r="XL274" s="309"/>
      <c r="XM274" s="309"/>
      <c r="XN274" s="309"/>
      <c r="XO274" s="309"/>
      <c r="XP274" s="309"/>
      <c r="XQ274" s="309"/>
      <c r="XR274" s="309"/>
      <c r="XS274" s="309"/>
      <c r="XT274" s="309"/>
      <c r="XU274" s="309"/>
      <c r="XV274" s="309"/>
      <c r="XW274" s="309"/>
      <c r="XX274" s="309"/>
      <c r="XY274" s="309"/>
      <c r="XZ274" s="309"/>
      <c r="YA274" s="309"/>
      <c r="YB274" s="309"/>
      <c r="YC274" s="309"/>
      <c r="YD274" s="309"/>
      <c r="YE274" s="309"/>
      <c r="YF274" s="309"/>
      <c r="YG274" s="309"/>
      <c r="YH274" s="309"/>
      <c r="YI274" s="309"/>
      <c r="YJ274" s="309"/>
      <c r="YK274" s="309"/>
      <c r="YL274" s="309"/>
      <c r="YM274" s="309"/>
      <c r="YN274" s="309"/>
      <c r="YO274" s="309"/>
      <c r="YP274" s="309"/>
      <c r="YQ274" s="309"/>
      <c r="YR274" s="309"/>
      <c r="YS274" s="309"/>
      <c r="YT274" s="309"/>
      <c r="YU274" s="309"/>
      <c r="YV274" s="309"/>
      <c r="YW274" s="309"/>
      <c r="YX274" s="309"/>
      <c r="YY274" s="309"/>
      <c r="YZ274" s="309"/>
      <c r="ZA274" s="309"/>
      <c r="ZB274" s="309"/>
      <c r="ZC274" s="309"/>
      <c r="ZD274" s="309"/>
      <c r="ZE274" s="309"/>
      <c r="ZF274" s="309"/>
      <c r="ZG274" s="309"/>
      <c r="ZH274" s="309"/>
      <c r="ZI274" s="309"/>
      <c r="ZJ274" s="309"/>
    </row>
    <row r="275" spans="2:686" s="308" customFormat="1" x14ac:dyDescent="0.3">
      <c r="E275" s="337"/>
      <c r="F275" s="337"/>
      <c r="G275" s="171"/>
      <c r="H275" s="1"/>
      <c r="Y275" s="309"/>
      <c r="Z275" s="309"/>
      <c r="AA275" s="309"/>
      <c r="AB275" s="309"/>
      <c r="AC275" s="309"/>
      <c r="AD275" s="309"/>
      <c r="AE275" s="309"/>
      <c r="AF275" s="309"/>
      <c r="AG275" s="309"/>
      <c r="AH275" s="309"/>
      <c r="AI275" s="309"/>
      <c r="AJ275" s="309"/>
      <c r="AK275" s="309"/>
      <c r="AL275" s="309"/>
      <c r="AM275" s="309"/>
      <c r="AN275" s="309"/>
      <c r="AO275" s="309"/>
      <c r="AP275" s="309"/>
      <c r="AQ275" s="309"/>
      <c r="AR275" s="309"/>
      <c r="AS275" s="309"/>
      <c r="AT275" s="309"/>
      <c r="AU275" s="309"/>
      <c r="AV275" s="309"/>
      <c r="AW275" s="309"/>
      <c r="AX275" s="309"/>
      <c r="AY275" s="309"/>
      <c r="AZ275" s="309"/>
      <c r="BA275" s="309"/>
      <c r="BB275" s="309"/>
      <c r="BC275" s="309"/>
      <c r="BD275" s="309"/>
      <c r="BE275" s="309"/>
      <c r="BF275" s="309"/>
      <c r="BG275" s="309"/>
      <c r="BH275" s="309"/>
      <c r="BI275" s="309"/>
      <c r="BJ275" s="309"/>
      <c r="BK275" s="309"/>
      <c r="BL275" s="309"/>
      <c r="BM275" s="309"/>
      <c r="BN275" s="309"/>
      <c r="BO275" s="309"/>
      <c r="BP275" s="309"/>
      <c r="BQ275" s="309"/>
      <c r="BR275" s="309"/>
      <c r="BS275" s="309"/>
      <c r="BT275" s="309"/>
      <c r="BU275" s="309"/>
      <c r="BV275" s="309"/>
      <c r="BW275" s="309"/>
      <c r="BX275" s="309"/>
      <c r="BY275" s="309"/>
      <c r="BZ275" s="309"/>
      <c r="CA275" s="309"/>
      <c r="CB275" s="309"/>
      <c r="CC275" s="309"/>
      <c r="CD275" s="309"/>
      <c r="CE275" s="309"/>
      <c r="CF275" s="309"/>
      <c r="CG275" s="309"/>
      <c r="CH275" s="309"/>
      <c r="CI275" s="309"/>
      <c r="CJ275" s="309"/>
      <c r="CK275" s="309"/>
      <c r="CL275" s="309"/>
      <c r="CM275" s="309"/>
      <c r="CN275" s="309"/>
      <c r="CO275" s="309"/>
      <c r="CP275" s="309"/>
      <c r="CQ275" s="309"/>
      <c r="CR275" s="309"/>
      <c r="CS275" s="309"/>
      <c r="CT275" s="309"/>
      <c r="CU275" s="309"/>
      <c r="CV275" s="309"/>
      <c r="CW275" s="309"/>
      <c r="CX275" s="309"/>
      <c r="CY275" s="309"/>
      <c r="CZ275" s="309"/>
      <c r="DA275" s="309"/>
      <c r="DB275" s="309"/>
      <c r="DC275" s="309"/>
      <c r="DD275" s="309"/>
      <c r="DE275" s="309"/>
      <c r="DF275" s="309"/>
      <c r="DG275" s="309"/>
      <c r="DH275" s="309"/>
      <c r="DI275" s="309"/>
      <c r="DJ275" s="309"/>
      <c r="DK275" s="309"/>
      <c r="DL275" s="309"/>
      <c r="DM275" s="309"/>
      <c r="DN275" s="309"/>
      <c r="DO275" s="309"/>
      <c r="DP275" s="309"/>
      <c r="DQ275" s="309"/>
      <c r="DR275" s="309"/>
      <c r="DS275" s="309"/>
      <c r="DT275" s="309"/>
      <c r="DU275" s="309"/>
      <c r="DV275" s="309"/>
      <c r="DW275" s="309"/>
      <c r="DX275" s="309"/>
      <c r="DY275" s="309"/>
      <c r="DZ275" s="309"/>
      <c r="EA275" s="309"/>
      <c r="EB275" s="309"/>
      <c r="EC275" s="309"/>
      <c r="ED275" s="309"/>
      <c r="EE275" s="309"/>
      <c r="EF275" s="309"/>
      <c r="EG275" s="309"/>
      <c r="EH275" s="309"/>
      <c r="EI275" s="309"/>
      <c r="EJ275" s="309"/>
      <c r="EK275" s="309"/>
      <c r="EL275" s="309"/>
      <c r="EM275" s="309"/>
      <c r="EN275" s="309"/>
      <c r="EO275" s="309"/>
      <c r="EP275" s="309"/>
      <c r="EQ275" s="309"/>
      <c r="ER275" s="309"/>
      <c r="ES275" s="309"/>
      <c r="ET275" s="309"/>
      <c r="EU275" s="309"/>
      <c r="EV275" s="309"/>
      <c r="EW275" s="309"/>
      <c r="EX275" s="309"/>
      <c r="EY275" s="309"/>
      <c r="EZ275" s="309"/>
      <c r="FA275" s="309"/>
      <c r="FB275" s="309"/>
      <c r="FC275" s="309"/>
      <c r="FD275" s="309"/>
      <c r="FE275" s="309"/>
      <c r="FF275" s="309"/>
      <c r="FG275" s="309"/>
      <c r="FH275" s="309"/>
      <c r="FI275" s="309"/>
      <c r="FJ275" s="309"/>
      <c r="FK275" s="309"/>
      <c r="FL275" s="309"/>
      <c r="FM275" s="309"/>
      <c r="FN275" s="309"/>
      <c r="FO275" s="309"/>
      <c r="FP275" s="309"/>
      <c r="FQ275" s="309"/>
      <c r="FR275" s="309"/>
      <c r="FS275" s="309"/>
      <c r="FT275" s="309"/>
      <c r="FU275" s="309"/>
      <c r="FV275" s="309"/>
      <c r="FW275" s="309"/>
      <c r="FX275" s="309"/>
      <c r="FY275" s="309"/>
      <c r="FZ275" s="309"/>
      <c r="GA275" s="309"/>
      <c r="GB275" s="309"/>
      <c r="GC275" s="309"/>
      <c r="GD275" s="309"/>
      <c r="GE275" s="309"/>
      <c r="GF275" s="309"/>
      <c r="GG275" s="309"/>
      <c r="GH275" s="309"/>
      <c r="GI275" s="309"/>
      <c r="GJ275" s="309"/>
      <c r="GK275" s="309"/>
      <c r="GL275" s="309"/>
      <c r="GM275" s="309"/>
      <c r="GN275" s="309"/>
      <c r="GO275" s="309"/>
      <c r="GP275" s="309"/>
      <c r="GQ275" s="309"/>
      <c r="GR275" s="309"/>
      <c r="GS275" s="309"/>
      <c r="GT275" s="309"/>
      <c r="GU275" s="309"/>
      <c r="GV275" s="309"/>
      <c r="GW275" s="309"/>
      <c r="GX275" s="309"/>
      <c r="GY275" s="309"/>
      <c r="GZ275" s="309"/>
      <c r="HA275" s="309"/>
      <c r="HB275" s="309"/>
      <c r="HC275" s="309"/>
      <c r="HD275" s="309"/>
      <c r="HE275" s="309"/>
      <c r="HF275" s="309"/>
      <c r="HG275" s="309"/>
      <c r="HH275" s="309"/>
      <c r="HI275" s="309"/>
      <c r="HJ275" s="309"/>
      <c r="HK275" s="309"/>
      <c r="HL275" s="309"/>
      <c r="HM275" s="309"/>
      <c r="HN275" s="309"/>
      <c r="HO275" s="309"/>
      <c r="HP275" s="309"/>
      <c r="HQ275" s="309"/>
      <c r="HR275" s="309"/>
      <c r="HS275" s="309"/>
      <c r="HT275" s="309"/>
      <c r="HU275" s="309"/>
      <c r="HV275" s="309"/>
      <c r="HW275" s="309"/>
      <c r="HX275" s="309"/>
      <c r="HY275" s="309"/>
      <c r="HZ275" s="309"/>
      <c r="IA275" s="309"/>
      <c r="IB275" s="309"/>
      <c r="IC275" s="309"/>
      <c r="ID275" s="309"/>
      <c r="IE275" s="309"/>
      <c r="IF275" s="309"/>
      <c r="IG275" s="309"/>
      <c r="IH275" s="309"/>
      <c r="II275" s="309"/>
      <c r="IJ275" s="309"/>
      <c r="IK275" s="309"/>
      <c r="IL275" s="309"/>
      <c r="IM275" s="309"/>
      <c r="IN275" s="309"/>
      <c r="IO275" s="309"/>
      <c r="IP275" s="309"/>
      <c r="IQ275" s="309"/>
      <c r="IR275" s="309"/>
      <c r="IS275" s="309"/>
      <c r="IT275" s="309"/>
      <c r="IU275" s="309"/>
      <c r="IV275" s="309"/>
      <c r="IW275" s="309"/>
      <c r="IX275" s="309"/>
      <c r="IY275" s="309"/>
      <c r="IZ275" s="309"/>
      <c r="JA275" s="309"/>
      <c r="JB275" s="309"/>
      <c r="JC275" s="309"/>
      <c r="JD275" s="309"/>
      <c r="JE275" s="309"/>
      <c r="JF275" s="309"/>
      <c r="JG275" s="309"/>
      <c r="JH275" s="309"/>
      <c r="JI275" s="309"/>
      <c r="JJ275" s="309"/>
      <c r="JK275" s="309"/>
      <c r="JL275" s="309"/>
      <c r="JM275" s="309"/>
      <c r="JN275" s="309"/>
      <c r="JO275" s="309"/>
      <c r="JP275" s="309"/>
      <c r="JQ275" s="309"/>
      <c r="JR275" s="309"/>
      <c r="JS275" s="309"/>
      <c r="JT275" s="309"/>
      <c r="JU275" s="309"/>
      <c r="JV275" s="309"/>
      <c r="JW275" s="309"/>
      <c r="JX275" s="309"/>
      <c r="JY275" s="309"/>
      <c r="JZ275" s="309"/>
      <c r="KA275" s="309"/>
      <c r="KB275" s="309"/>
      <c r="KC275" s="309"/>
      <c r="KD275" s="309"/>
      <c r="KE275" s="309"/>
      <c r="KF275" s="309"/>
      <c r="KG275" s="309"/>
      <c r="KH275" s="309"/>
      <c r="KI275" s="309"/>
      <c r="KJ275" s="309"/>
      <c r="KK275" s="309"/>
      <c r="KL275" s="309"/>
      <c r="KM275" s="309"/>
      <c r="KN275" s="309"/>
      <c r="KO275" s="309"/>
      <c r="KP275" s="309"/>
      <c r="KQ275" s="309"/>
      <c r="KR275" s="309"/>
      <c r="KS275" s="309"/>
      <c r="KT275" s="309"/>
      <c r="KU275" s="309"/>
      <c r="KV275" s="309"/>
      <c r="KW275" s="309"/>
      <c r="KX275" s="309"/>
      <c r="KY275" s="309"/>
      <c r="KZ275" s="309"/>
      <c r="LA275" s="309"/>
      <c r="LB275" s="309"/>
      <c r="LC275" s="309"/>
      <c r="LD275" s="309"/>
      <c r="LE275" s="309"/>
      <c r="LF275" s="309"/>
      <c r="LG275" s="309"/>
      <c r="LH275" s="309"/>
      <c r="LI275" s="309"/>
      <c r="LJ275" s="309"/>
      <c r="LK275" s="309"/>
      <c r="LL275" s="309"/>
      <c r="LM275" s="309"/>
      <c r="LN275" s="309"/>
      <c r="LO275" s="309"/>
      <c r="LP275" s="309"/>
      <c r="LQ275" s="309"/>
      <c r="LR275" s="309"/>
      <c r="LS275" s="309"/>
      <c r="LT275" s="309"/>
      <c r="LU275" s="309"/>
      <c r="LV275" s="309"/>
      <c r="LW275" s="309"/>
      <c r="LX275" s="309"/>
      <c r="LY275" s="309"/>
      <c r="LZ275" s="309"/>
      <c r="MA275" s="309"/>
      <c r="MB275" s="309"/>
      <c r="MC275" s="309"/>
      <c r="MD275" s="309"/>
      <c r="ME275" s="309"/>
      <c r="MF275" s="309"/>
      <c r="MG275" s="309"/>
      <c r="MH275" s="309"/>
      <c r="MI275" s="309"/>
      <c r="MJ275" s="309"/>
      <c r="MK275" s="309"/>
      <c r="ML275" s="309"/>
      <c r="MM275" s="309"/>
      <c r="MN275" s="309"/>
      <c r="MO275" s="309"/>
      <c r="MP275" s="309"/>
      <c r="MQ275" s="309"/>
      <c r="MR275" s="309"/>
      <c r="MS275" s="309"/>
      <c r="MT275" s="309"/>
      <c r="MU275" s="309"/>
      <c r="MV275" s="309"/>
      <c r="MW275" s="309"/>
      <c r="MX275" s="309"/>
      <c r="MY275" s="309"/>
      <c r="MZ275" s="309"/>
      <c r="NA275" s="309"/>
      <c r="NB275" s="309"/>
      <c r="NC275" s="309"/>
      <c r="ND275" s="309"/>
      <c r="NE275" s="309"/>
      <c r="NF275" s="309"/>
      <c r="NG275" s="309"/>
      <c r="NH275" s="309"/>
      <c r="NI275" s="309"/>
      <c r="NJ275" s="309"/>
      <c r="NK275" s="309"/>
      <c r="NL275" s="309"/>
      <c r="NM275" s="309"/>
      <c r="NN275" s="309"/>
      <c r="NO275" s="309"/>
      <c r="NP275" s="309"/>
      <c r="NQ275" s="309"/>
      <c r="NR275" s="309"/>
      <c r="NS275" s="309"/>
      <c r="NT275" s="309"/>
      <c r="NU275" s="309"/>
      <c r="NV275" s="309"/>
      <c r="NW275" s="309"/>
      <c r="NX275" s="309"/>
      <c r="NY275" s="309"/>
      <c r="NZ275" s="309"/>
      <c r="OA275" s="309"/>
      <c r="OB275" s="309"/>
      <c r="OC275" s="309"/>
      <c r="OD275" s="309"/>
      <c r="OE275" s="309"/>
      <c r="OF275" s="309"/>
      <c r="OG275" s="309"/>
      <c r="OH275" s="309"/>
      <c r="OI275" s="309"/>
      <c r="OJ275" s="309"/>
      <c r="OK275" s="309"/>
      <c r="OL275" s="309"/>
      <c r="OM275" s="309"/>
      <c r="ON275" s="309"/>
      <c r="OO275" s="309"/>
      <c r="OP275" s="309"/>
      <c r="OQ275" s="309"/>
      <c r="OR275" s="309"/>
      <c r="OS275" s="309"/>
      <c r="OT275" s="309"/>
      <c r="OU275" s="309"/>
      <c r="OV275" s="309"/>
      <c r="OW275" s="309"/>
      <c r="OX275" s="309"/>
      <c r="OY275" s="309"/>
      <c r="OZ275" s="309"/>
      <c r="PA275" s="309"/>
      <c r="PB275" s="309"/>
      <c r="PC275" s="309"/>
      <c r="PD275" s="309"/>
      <c r="PE275" s="309"/>
      <c r="PF275" s="309"/>
      <c r="PG275" s="309"/>
      <c r="PH275" s="309"/>
      <c r="PI275" s="309"/>
      <c r="PJ275" s="309"/>
      <c r="PK275" s="309"/>
      <c r="PL275" s="309"/>
      <c r="PM275" s="309"/>
      <c r="PN275" s="309"/>
      <c r="PO275" s="309"/>
      <c r="PP275" s="309"/>
      <c r="PQ275" s="309"/>
      <c r="PR275" s="309"/>
      <c r="PS275" s="309"/>
      <c r="PT275" s="309"/>
      <c r="PU275" s="309"/>
      <c r="PV275" s="309"/>
      <c r="PW275" s="309"/>
      <c r="PX275" s="309"/>
      <c r="PY275" s="309"/>
      <c r="PZ275" s="309"/>
      <c r="QA275" s="309"/>
      <c r="QB275" s="309"/>
      <c r="QC275" s="309"/>
      <c r="QD275" s="309"/>
      <c r="QE275" s="309"/>
      <c r="QF275" s="309"/>
      <c r="QG275" s="309"/>
      <c r="QH275" s="309"/>
      <c r="QI275" s="309"/>
      <c r="QJ275" s="309"/>
      <c r="QK275" s="309"/>
      <c r="QL275" s="309"/>
      <c r="QM275" s="309"/>
      <c r="QN275" s="309"/>
      <c r="QO275" s="309"/>
      <c r="QP275" s="309"/>
      <c r="QQ275" s="309"/>
      <c r="QR275" s="309"/>
      <c r="QS275" s="309"/>
      <c r="QT275" s="309"/>
      <c r="QU275" s="309"/>
      <c r="QV275" s="309"/>
      <c r="QW275" s="309"/>
      <c r="QX275" s="309"/>
      <c r="QY275" s="309"/>
      <c r="QZ275" s="309"/>
      <c r="RA275" s="309"/>
      <c r="RB275" s="309"/>
      <c r="RC275" s="309"/>
      <c r="RD275" s="309"/>
      <c r="RE275" s="309"/>
      <c r="RF275" s="309"/>
      <c r="RG275" s="309"/>
      <c r="RH275" s="309"/>
      <c r="RI275" s="309"/>
      <c r="RJ275" s="309"/>
      <c r="RK275" s="309"/>
      <c r="RL275" s="309"/>
      <c r="RM275" s="309"/>
      <c r="RN275" s="309"/>
      <c r="RO275" s="309"/>
      <c r="RP275" s="309"/>
      <c r="RQ275" s="309"/>
      <c r="RR275" s="309"/>
      <c r="RS275" s="309"/>
      <c r="RT275" s="309"/>
      <c r="RU275" s="309"/>
      <c r="RV275" s="309"/>
      <c r="RW275" s="309"/>
      <c r="RX275" s="309"/>
      <c r="RY275" s="309"/>
      <c r="RZ275" s="309"/>
      <c r="SA275" s="309"/>
      <c r="SB275" s="309"/>
      <c r="SC275" s="309"/>
      <c r="SD275" s="309"/>
      <c r="SE275" s="309"/>
      <c r="SF275" s="309"/>
      <c r="SG275" s="309"/>
      <c r="SH275" s="309"/>
      <c r="SI275" s="309"/>
      <c r="SJ275" s="309"/>
      <c r="SK275" s="309"/>
      <c r="SL275" s="309"/>
      <c r="SM275" s="309"/>
      <c r="SN275" s="309"/>
      <c r="SO275" s="309"/>
      <c r="SP275" s="309"/>
      <c r="SQ275" s="309"/>
      <c r="SR275" s="309"/>
      <c r="SS275" s="309"/>
      <c r="ST275" s="309"/>
      <c r="SU275" s="309"/>
      <c r="SV275" s="309"/>
      <c r="SW275" s="309"/>
      <c r="SX275" s="309"/>
      <c r="SY275" s="309"/>
      <c r="SZ275" s="309"/>
      <c r="TA275" s="309"/>
      <c r="TB275" s="309"/>
      <c r="TC275" s="309"/>
      <c r="TD275" s="309"/>
      <c r="TE275" s="309"/>
      <c r="TF275" s="309"/>
      <c r="TG275" s="309"/>
      <c r="TH275" s="309"/>
      <c r="TI275" s="309"/>
      <c r="TJ275" s="309"/>
      <c r="TK275" s="309"/>
      <c r="TL275" s="309"/>
      <c r="TM275" s="309"/>
      <c r="TN275" s="309"/>
      <c r="TO275" s="309"/>
      <c r="TP275" s="309"/>
      <c r="TQ275" s="309"/>
      <c r="TR275" s="309"/>
      <c r="TS275" s="309"/>
      <c r="TT275" s="309"/>
      <c r="TU275" s="309"/>
      <c r="TV275" s="309"/>
      <c r="TW275" s="309"/>
      <c r="TX275" s="309"/>
      <c r="TY275" s="309"/>
      <c r="TZ275" s="309"/>
      <c r="UA275" s="309"/>
      <c r="UB275" s="309"/>
      <c r="UC275" s="309"/>
      <c r="UD275" s="309"/>
      <c r="UE275" s="309"/>
      <c r="UF275" s="309"/>
      <c r="UG275" s="309"/>
      <c r="UH275" s="309"/>
      <c r="UI275" s="309"/>
      <c r="UJ275" s="309"/>
      <c r="UK275" s="309"/>
      <c r="UL275" s="309"/>
      <c r="UM275" s="309"/>
      <c r="UN275" s="309"/>
      <c r="UO275" s="309"/>
      <c r="UP275" s="309"/>
      <c r="UQ275" s="309"/>
      <c r="UR275" s="309"/>
      <c r="US275" s="309"/>
      <c r="UT275" s="309"/>
      <c r="UU275" s="309"/>
      <c r="UV275" s="309"/>
      <c r="UW275" s="309"/>
      <c r="UX275" s="309"/>
      <c r="UY275" s="309"/>
      <c r="UZ275" s="309"/>
      <c r="VA275" s="309"/>
      <c r="VB275" s="309"/>
      <c r="VC275" s="309"/>
      <c r="VD275" s="309"/>
      <c r="VE275" s="309"/>
      <c r="VF275" s="309"/>
      <c r="VG275" s="309"/>
      <c r="VH275" s="309"/>
      <c r="VI275" s="309"/>
      <c r="VJ275" s="309"/>
      <c r="VK275" s="309"/>
      <c r="VL275" s="309"/>
      <c r="VM275" s="309"/>
      <c r="VN275" s="309"/>
      <c r="VO275" s="309"/>
      <c r="VP275" s="309"/>
      <c r="VQ275" s="309"/>
      <c r="VR275" s="309"/>
      <c r="VS275" s="309"/>
      <c r="VT275" s="309"/>
      <c r="VU275" s="309"/>
      <c r="VV275" s="309"/>
      <c r="VW275" s="309"/>
      <c r="VX275" s="309"/>
      <c r="VY275" s="309"/>
      <c r="VZ275" s="309"/>
      <c r="WA275" s="309"/>
      <c r="WB275" s="309"/>
      <c r="WC275" s="309"/>
      <c r="WD275" s="309"/>
      <c r="WE275" s="309"/>
      <c r="WF275" s="309"/>
      <c r="WG275" s="309"/>
      <c r="WH275" s="309"/>
      <c r="WI275" s="309"/>
      <c r="WJ275" s="309"/>
      <c r="WK275" s="309"/>
      <c r="WL275" s="309"/>
      <c r="WM275" s="309"/>
      <c r="WN275" s="309"/>
      <c r="WO275" s="309"/>
      <c r="WP275" s="309"/>
      <c r="WQ275" s="309"/>
      <c r="WR275" s="309"/>
      <c r="WS275" s="309"/>
      <c r="WT275" s="309"/>
      <c r="WU275" s="309"/>
      <c r="WV275" s="309"/>
      <c r="WW275" s="309"/>
      <c r="WX275" s="309"/>
      <c r="WY275" s="309"/>
      <c r="WZ275" s="309"/>
      <c r="XA275" s="309"/>
      <c r="XB275" s="309"/>
      <c r="XC275" s="309"/>
      <c r="XD275" s="309"/>
      <c r="XE275" s="309"/>
      <c r="XF275" s="309"/>
      <c r="XG275" s="309"/>
      <c r="XH275" s="309"/>
      <c r="XI275" s="309"/>
      <c r="XJ275" s="309"/>
      <c r="XK275" s="309"/>
      <c r="XL275" s="309"/>
      <c r="XM275" s="309"/>
      <c r="XN275" s="309"/>
      <c r="XO275" s="309"/>
      <c r="XP275" s="309"/>
      <c r="XQ275" s="309"/>
      <c r="XR275" s="309"/>
      <c r="XS275" s="309"/>
      <c r="XT275" s="309"/>
      <c r="XU275" s="309"/>
      <c r="XV275" s="309"/>
      <c r="XW275" s="309"/>
      <c r="XX275" s="309"/>
      <c r="XY275" s="309"/>
      <c r="XZ275" s="309"/>
      <c r="YA275" s="309"/>
      <c r="YB275" s="309"/>
      <c r="YC275" s="309"/>
      <c r="YD275" s="309"/>
      <c r="YE275" s="309"/>
      <c r="YF275" s="309"/>
      <c r="YG275" s="309"/>
      <c r="YH275" s="309"/>
      <c r="YI275" s="309"/>
      <c r="YJ275" s="309"/>
      <c r="YK275" s="309"/>
      <c r="YL275" s="309"/>
      <c r="YM275" s="309"/>
      <c r="YN275" s="309"/>
      <c r="YO275" s="309"/>
      <c r="YP275" s="309"/>
      <c r="YQ275" s="309"/>
      <c r="YR275" s="309"/>
      <c r="YS275" s="309"/>
      <c r="YT275" s="309"/>
      <c r="YU275" s="309"/>
      <c r="YV275" s="309"/>
      <c r="YW275" s="309"/>
      <c r="YX275" s="309"/>
      <c r="YY275" s="309"/>
      <c r="YZ275" s="309"/>
      <c r="ZA275" s="309"/>
      <c r="ZB275" s="309"/>
      <c r="ZC275" s="309"/>
      <c r="ZD275" s="309"/>
      <c r="ZE275" s="309"/>
      <c r="ZF275" s="309"/>
      <c r="ZG275" s="309"/>
      <c r="ZH275" s="309"/>
      <c r="ZI275" s="309"/>
      <c r="ZJ275" s="309"/>
    </row>
    <row r="276" spans="2:686" s="308" customFormat="1" x14ac:dyDescent="0.3">
      <c r="E276" s="337"/>
      <c r="F276" s="337"/>
      <c r="G276" s="171"/>
      <c r="H276" s="1"/>
      <c r="Y276" s="309"/>
      <c r="Z276" s="309"/>
      <c r="AA276" s="309"/>
      <c r="AB276" s="309"/>
      <c r="AC276" s="309"/>
      <c r="AD276" s="309"/>
      <c r="AE276" s="309"/>
      <c r="AF276" s="309"/>
      <c r="AG276" s="309"/>
      <c r="AH276" s="309"/>
      <c r="AI276" s="309"/>
      <c r="AJ276" s="309"/>
      <c r="AK276" s="309"/>
      <c r="AL276" s="309"/>
      <c r="AM276" s="309"/>
      <c r="AN276" s="309"/>
      <c r="AO276" s="309"/>
      <c r="AP276" s="309"/>
      <c r="AQ276" s="309"/>
      <c r="AR276" s="309"/>
      <c r="AS276" s="309"/>
      <c r="AT276" s="309"/>
      <c r="AU276" s="309"/>
      <c r="AV276" s="309"/>
      <c r="AW276" s="309"/>
      <c r="AX276" s="309"/>
      <c r="AY276" s="309"/>
      <c r="AZ276" s="309"/>
      <c r="BA276" s="309"/>
      <c r="BB276" s="309"/>
      <c r="BC276" s="309"/>
      <c r="BD276" s="309"/>
      <c r="BE276" s="309"/>
      <c r="BF276" s="309"/>
      <c r="BG276" s="309"/>
      <c r="BH276" s="309"/>
      <c r="BI276" s="309"/>
      <c r="BJ276" s="309"/>
      <c r="BK276" s="309"/>
      <c r="BL276" s="309"/>
      <c r="BM276" s="309"/>
      <c r="BN276" s="309"/>
      <c r="BO276" s="309"/>
      <c r="BP276" s="309"/>
      <c r="BQ276" s="309"/>
      <c r="BR276" s="309"/>
      <c r="BS276" s="309"/>
      <c r="BT276" s="309"/>
      <c r="BU276" s="309"/>
      <c r="BV276" s="309"/>
      <c r="BW276" s="309"/>
      <c r="BX276" s="309"/>
      <c r="BY276" s="309"/>
      <c r="BZ276" s="309"/>
      <c r="CA276" s="309"/>
      <c r="CB276" s="309"/>
      <c r="CC276" s="309"/>
      <c r="CD276" s="309"/>
      <c r="CE276" s="309"/>
      <c r="CF276" s="309"/>
      <c r="CG276" s="309"/>
      <c r="CH276" s="309"/>
      <c r="CI276" s="309"/>
      <c r="CJ276" s="309"/>
      <c r="CK276" s="309"/>
      <c r="CL276" s="309"/>
      <c r="CM276" s="309"/>
      <c r="CN276" s="309"/>
      <c r="CO276" s="309"/>
      <c r="CP276" s="309"/>
      <c r="CQ276" s="309"/>
      <c r="CR276" s="309"/>
      <c r="CS276" s="309"/>
      <c r="CT276" s="309"/>
      <c r="CU276" s="309"/>
      <c r="CV276" s="309"/>
      <c r="CW276" s="309"/>
      <c r="CX276" s="309"/>
      <c r="CY276" s="309"/>
      <c r="CZ276" s="309"/>
      <c r="DA276" s="309"/>
      <c r="DB276" s="309"/>
      <c r="DC276" s="309"/>
      <c r="DD276" s="309"/>
      <c r="DE276" s="309"/>
      <c r="DF276" s="309"/>
      <c r="DG276" s="309"/>
      <c r="DH276" s="309"/>
      <c r="DI276" s="309"/>
      <c r="DJ276" s="309"/>
      <c r="DK276" s="309"/>
      <c r="DL276" s="309"/>
      <c r="DM276" s="309"/>
      <c r="DN276" s="309"/>
      <c r="DO276" s="309"/>
      <c r="DP276" s="309"/>
      <c r="DQ276" s="309"/>
      <c r="DR276" s="309"/>
      <c r="DS276" s="309"/>
      <c r="DT276" s="309"/>
      <c r="DU276" s="309"/>
      <c r="DV276" s="309"/>
      <c r="DW276" s="309"/>
      <c r="DX276" s="309"/>
      <c r="DY276" s="309"/>
      <c r="DZ276" s="309"/>
      <c r="EA276" s="309"/>
      <c r="EB276" s="309"/>
      <c r="EC276" s="309"/>
      <c r="ED276" s="309"/>
      <c r="EE276" s="309"/>
      <c r="EF276" s="309"/>
      <c r="EG276" s="309"/>
      <c r="EH276" s="309"/>
      <c r="EI276" s="309"/>
      <c r="EJ276" s="309"/>
      <c r="EK276" s="309"/>
      <c r="EL276" s="309"/>
      <c r="EM276" s="309"/>
      <c r="EN276" s="309"/>
      <c r="EO276" s="309"/>
      <c r="EP276" s="309"/>
      <c r="EQ276" s="309"/>
      <c r="ER276" s="309"/>
      <c r="ES276" s="309"/>
      <c r="ET276" s="309"/>
      <c r="EU276" s="309"/>
      <c r="EV276" s="309"/>
      <c r="EW276" s="309"/>
      <c r="EX276" s="309"/>
      <c r="EY276" s="309"/>
      <c r="EZ276" s="309"/>
      <c r="FA276" s="309"/>
      <c r="FB276" s="309"/>
      <c r="FC276" s="309"/>
      <c r="FD276" s="309"/>
      <c r="FE276" s="309"/>
      <c r="FF276" s="309"/>
      <c r="FG276" s="309"/>
      <c r="FH276" s="309"/>
      <c r="FI276" s="309"/>
      <c r="FJ276" s="309"/>
      <c r="FK276" s="309"/>
      <c r="FL276" s="309"/>
      <c r="FM276" s="309"/>
      <c r="FN276" s="309"/>
      <c r="FO276" s="309"/>
      <c r="FP276" s="309"/>
      <c r="FQ276" s="309"/>
      <c r="FR276" s="309"/>
      <c r="FS276" s="309"/>
      <c r="FT276" s="309"/>
      <c r="FU276" s="309"/>
      <c r="FV276" s="309"/>
      <c r="FW276" s="309"/>
      <c r="FX276" s="309"/>
      <c r="FY276" s="309"/>
      <c r="FZ276" s="309"/>
      <c r="GA276" s="309"/>
      <c r="GB276" s="309"/>
      <c r="GC276" s="309"/>
      <c r="GD276" s="309"/>
      <c r="GE276" s="309"/>
      <c r="GF276" s="309"/>
      <c r="GG276" s="309"/>
      <c r="GH276" s="309"/>
      <c r="GI276" s="309"/>
      <c r="GJ276" s="309"/>
      <c r="GK276" s="309"/>
      <c r="GL276" s="309"/>
      <c r="GM276" s="309"/>
      <c r="GN276" s="309"/>
      <c r="GO276" s="309"/>
      <c r="GP276" s="309"/>
      <c r="GQ276" s="309"/>
      <c r="GR276" s="309"/>
      <c r="GS276" s="309"/>
      <c r="GT276" s="309"/>
      <c r="GU276" s="309"/>
      <c r="GV276" s="309"/>
      <c r="GW276" s="309"/>
      <c r="GX276" s="309"/>
      <c r="GY276" s="309"/>
      <c r="GZ276" s="309"/>
      <c r="HA276" s="309"/>
      <c r="HB276" s="309"/>
      <c r="HC276" s="309"/>
      <c r="HD276" s="309"/>
      <c r="HE276" s="309"/>
      <c r="HF276" s="309"/>
      <c r="HG276" s="309"/>
      <c r="HH276" s="309"/>
      <c r="HI276" s="309"/>
      <c r="HJ276" s="309"/>
      <c r="HK276" s="309"/>
      <c r="HL276" s="309"/>
      <c r="HM276" s="309"/>
      <c r="HN276" s="309"/>
      <c r="HO276" s="309"/>
      <c r="HP276" s="309"/>
      <c r="HQ276" s="309"/>
      <c r="HR276" s="309"/>
      <c r="HS276" s="309"/>
      <c r="HT276" s="309"/>
      <c r="HU276" s="309"/>
      <c r="HV276" s="309"/>
      <c r="HW276" s="309"/>
      <c r="HX276" s="309"/>
      <c r="HY276" s="309"/>
      <c r="HZ276" s="309"/>
      <c r="IA276" s="309"/>
      <c r="IB276" s="309"/>
      <c r="IC276" s="309"/>
      <c r="ID276" s="309"/>
      <c r="IE276" s="309"/>
      <c r="IF276" s="309"/>
      <c r="IG276" s="309"/>
      <c r="IH276" s="309"/>
      <c r="II276" s="309"/>
      <c r="IJ276" s="309"/>
      <c r="IK276" s="309"/>
      <c r="IL276" s="309"/>
      <c r="IM276" s="309"/>
      <c r="IN276" s="309"/>
      <c r="IO276" s="309"/>
      <c r="IP276" s="309"/>
      <c r="IQ276" s="309"/>
      <c r="IR276" s="309"/>
      <c r="IS276" s="309"/>
      <c r="IT276" s="309"/>
      <c r="IU276" s="309"/>
      <c r="IV276" s="309"/>
      <c r="IW276" s="309"/>
      <c r="IX276" s="309"/>
      <c r="IY276" s="309"/>
      <c r="IZ276" s="309"/>
      <c r="JA276" s="309"/>
      <c r="JB276" s="309"/>
      <c r="JC276" s="309"/>
      <c r="JD276" s="309"/>
      <c r="JE276" s="309"/>
      <c r="JF276" s="309"/>
      <c r="JG276" s="309"/>
      <c r="JH276" s="309"/>
      <c r="JI276" s="309"/>
      <c r="JJ276" s="309"/>
      <c r="JK276" s="309"/>
      <c r="JL276" s="309"/>
      <c r="JM276" s="309"/>
      <c r="JN276" s="309"/>
      <c r="JO276" s="309"/>
      <c r="JP276" s="309"/>
      <c r="JQ276" s="309"/>
      <c r="JR276" s="309"/>
      <c r="JS276" s="309"/>
      <c r="JT276" s="309"/>
      <c r="JU276" s="309"/>
      <c r="JV276" s="309"/>
      <c r="JW276" s="309"/>
      <c r="JX276" s="309"/>
      <c r="JY276" s="309"/>
      <c r="JZ276" s="309"/>
      <c r="KA276" s="309"/>
      <c r="KB276" s="309"/>
      <c r="KC276" s="309"/>
      <c r="KD276" s="309"/>
      <c r="KE276" s="309"/>
      <c r="KF276" s="309"/>
      <c r="KG276" s="309"/>
      <c r="KH276" s="309"/>
      <c r="KI276" s="309"/>
      <c r="KJ276" s="309"/>
      <c r="KK276" s="309"/>
      <c r="KL276" s="309"/>
      <c r="KM276" s="309"/>
      <c r="KN276" s="309"/>
      <c r="KO276" s="309"/>
      <c r="KP276" s="309"/>
      <c r="KQ276" s="309"/>
      <c r="KR276" s="309"/>
      <c r="KS276" s="309"/>
      <c r="KT276" s="309"/>
      <c r="KU276" s="309"/>
      <c r="KV276" s="309"/>
      <c r="KW276" s="309"/>
      <c r="KX276" s="309"/>
      <c r="KY276" s="309"/>
      <c r="KZ276" s="309"/>
      <c r="LA276" s="309"/>
      <c r="LB276" s="309"/>
      <c r="LC276" s="309"/>
      <c r="LD276" s="309"/>
      <c r="LE276" s="309"/>
      <c r="LF276" s="309"/>
      <c r="LG276" s="309"/>
      <c r="LH276" s="309"/>
      <c r="LI276" s="309"/>
      <c r="LJ276" s="309"/>
      <c r="LK276" s="309"/>
      <c r="LL276" s="309"/>
      <c r="LM276" s="309"/>
      <c r="LN276" s="309"/>
      <c r="LO276" s="309"/>
      <c r="LP276" s="309"/>
      <c r="LQ276" s="309"/>
      <c r="LR276" s="309"/>
      <c r="LS276" s="309"/>
      <c r="LT276" s="309"/>
      <c r="LU276" s="309"/>
      <c r="LV276" s="309"/>
      <c r="LW276" s="309"/>
      <c r="LX276" s="309"/>
      <c r="LY276" s="309"/>
      <c r="LZ276" s="309"/>
      <c r="MA276" s="309"/>
      <c r="MB276" s="309"/>
      <c r="MC276" s="309"/>
      <c r="MD276" s="309"/>
      <c r="ME276" s="309"/>
      <c r="MF276" s="309"/>
      <c r="MG276" s="309"/>
      <c r="MH276" s="309"/>
      <c r="MI276" s="309"/>
      <c r="MJ276" s="309"/>
      <c r="MK276" s="309"/>
      <c r="ML276" s="309"/>
      <c r="MM276" s="309"/>
      <c r="MN276" s="309"/>
      <c r="MO276" s="309"/>
      <c r="MP276" s="309"/>
      <c r="MQ276" s="309"/>
      <c r="MR276" s="309"/>
      <c r="MS276" s="309"/>
      <c r="MT276" s="309"/>
      <c r="MU276" s="309"/>
      <c r="MV276" s="309"/>
      <c r="MW276" s="309"/>
      <c r="MX276" s="309"/>
      <c r="MY276" s="309"/>
      <c r="MZ276" s="309"/>
      <c r="NA276" s="309"/>
      <c r="NB276" s="309"/>
      <c r="NC276" s="309"/>
      <c r="ND276" s="309"/>
      <c r="NE276" s="309"/>
      <c r="NF276" s="309"/>
      <c r="NG276" s="309"/>
      <c r="NH276" s="309"/>
      <c r="NI276" s="309"/>
      <c r="NJ276" s="309"/>
      <c r="NK276" s="309"/>
      <c r="NL276" s="309"/>
      <c r="NM276" s="309"/>
      <c r="NN276" s="309"/>
      <c r="NO276" s="309"/>
      <c r="NP276" s="309"/>
      <c r="NQ276" s="309"/>
      <c r="NR276" s="309"/>
      <c r="NS276" s="309"/>
      <c r="NT276" s="309"/>
      <c r="NU276" s="309"/>
      <c r="NV276" s="309"/>
      <c r="NW276" s="309"/>
      <c r="NX276" s="309"/>
      <c r="NY276" s="309"/>
      <c r="NZ276" s="309"/>
      <c r="OA276" s="309"/>
      <c r="OB276" s="309"/>
      <c r="OC276" s="309"/>
      <c r="OD276" s="309"/>
      <c r="OE276" s="309"/>
      <c r="OF276" s="309"/>
      <c r="OG276" s="309"/>
      <c r="OH276" s="309"/>
      <c r="OI276" s="309"/>
      <c r="OJ276" s="309"/>
      <c r="OK276" s="309"/>
      <c r="OL276" s="309"/>
      <c r="OM276" s="309"/>
      <c r="ON276" s="309"/>
      <c r="OO276" s="309"/>
      <c r="OP276" s="309"/>
      <c r="OQ276" s="309"/>
      <c r="OR276" s="309"/>
      <c r="OS276" s="309"/>
      <c r="OT276" s="309"/>
      <c r="OU276" s="309"/>
      <c r="OV276" s="309"/>
      <c r="OW276" s="309"/>
      <c r="OX276" s="309"/>
      <c r="OY276" s="309"/>
      <c r="OZ276" s="309"/>
      <c r="PA276" s="309"/>
      <c r="PB276" s="309"/>
      <c r="PC276" s="309"/>
      <c r="PD276" s="309"/>
      <c r="PE276" s="309"/>
      <c r="PF276" s="309"/>
      <c r="PG276" s="309"/>
      <c r="PH276" s="309"/>
      <c r="PI276" s="309"/>
      <c r="PJ276" s="309"/>
      <c r="PK276" s="309"/>
      <c r="PL276" s="309"/>
      <c r="PM276" s="309"/>
      <c r="PN276" s="309"/>
      <c r="PO276" s="309"/>
      <c r="PP276" s="309"/>
      <c r="PQ276" s="309"/>
      <c r="PR276" s="309"/>
      <c r="PS276" s="309"/>
      <c r="PT276" s="309"/>
      <c r="PU276" s="309"/>
      <c r="PV276" s="309"/>
      <c r="PW276" s="309"/>
      <c r="PX276" s="309"/>
      <c r="PY276" s="309"/>
      <c r="PZ276" s="309"/>
      <c r="QA276" s="309"/>
      <c r="QB276" s="309"/>
      <c r="QC276" s="309"/>
      <c r="QD276" s="309"/>
      <c r="QE276" s="309"/>
      <c r="QF276" s="309"/>
      <c r="QG276" s="309"/>
      <c r="QH276" s="309"/>
      <c r="QI276" s="309"/>
      <c r="QJ276" s="309"/>
      <c r="QK276" s="309"/>
      <c r="QL276" s="309"/>
      <c r="QM276" s="309"/>
      <c r="QN276" s="309"/>
      <c r="QO276" s="309"/>
      <c r="QP276" s="309"/>
      <c r="QQ276" s="309"/>
      <c r="QR276" s="309"/>
      <c r="QS276" s="309"/>
      <c r="QT276" s="309"/>
      <c r="QU276" s="309"/>
      <c r="QV276" s="309"/>
      <c r="QW276" s="309"/>
      <c r="QX276" s="309"/>
      <c r="QY276" s="309"/>
      <c r="QZ276" s="309"/>
      <c r="RA276" s="309"/>
      <c r="RB276" s="309"/>
      <c r="RC276" s="309"/>
      <c r="RD276" s="309"/>
      <c r="RE276" s="309"/>
      <c r="RF276" s="309"/>
      <c r="RG276" s="309"/>
      <c r="RH276" s="309"/>
      <c r="RI276" s="309"/>
      <c r="RJ276" s="309"/>
      <c r="RK276" s="309"/>
      <c r="RL276" s="309"/>
      <c r="RM276" s="309"/>
      <c r="RN276" s="309"/>
      <c r="RO276" s="309"/>
      <c r="RP276" s="309"/>
      <c r="RQ276" s="309"/>
      <c r="RR276" s="309"/>
      <c r="RS276" s="309"/>
      <c r="RT276" s="309"/>
      <c r="RU276" s="309"/>
      <c r="RV276" s="309"/>
      <c r="RW276" s="309"/>
      <c r="RX276" s="309"/>
      <c r="RY276" s="309"/>
      <c r="RZ276" s="309"/>
      <c r="SA276" s="309"/>
      <c r="SB276" s="309"/>
      <c r="SC276" s="309"/>
      <c r="SD276" s="309"/>
      <c r="SE276" s="309"/>
      <c r="SF276" s="309"/>
      <c r="SG276" s="309"/>
      <c r="SH276" s="309"/>
      <c r="SI276" s="309"/>
      <c r="SJ276" s="309"/>
      <c r="SK276" s="309"/>
      <c r="SL276" s="309"/>
      <c r="SM276" s="309"/>
      <c r="SN276" s="309"/>
      <c r="SO276" s="309"/>
      <c r="SP276" s="309"/>
      <c r="SQ276" s="309"/>
      <c r="SR276" s="309"/>
      <c r="SS276" s="309"/>
      <c r="ST276" s="309"/>
      <c r="SU276" s="309"/>
      <c r="SV276" s="309"/>
      <c r="SW276" s="309"/>
      <c r="SX276" s="309"/>
      <c r="SY276" s="309"/>
      <c r="SZ276" s="309"/>
      <c r="TA276" s="309"/>
      <c r="TB276" s="309"/>
      <c r="TC276" s="309"/>
      <c r="TD276" s="309"/>
      <c r="TE276" s="309"/>
      <c r="TF276" s="309"/>
      <c r="TG276" s="309"/>
      <c r="TH276" s="309"/>
      <c r="TI276" s="309"/>
      <c r="TJ276" s="309"/>
      <c r="TK276" s="309"/>
      <c r="TL276" s="309"/>
      <c r="TM276" s="309"/>
      <c r="TN276" s="309"/>
      <c r="TO276" s="309"/>
      <c r="TP276" s="309"/>
      <c r="TQ276" s="309"/>
      <c r="TR276" s="309"/>
      <c r="TS276" s="309"/>
      <c r="TT276" s="309"/>
      <c r="TU276" s="309"/>
      <c r="TV276" s="309"/>
      <c r="TW276" s="309"/>
      <c r="TX276" s="309"/>
      <c r="TY276" s="309"/>
      <c r="TZ276" s="309"/>
      <c r="UA276" s="309"/>
      <c r="UB276" s="309"/>
      <c r="UC276" s="309"/>
      <c r="UD276" s="309"/>
      <c r="UE276" s="309"/>
      <c r="UF276" s="309"/>
      <c r="UG276" s="309"/>
      <c r="UH276" s="309"/>
      <c r="UI276" s="309"/>
      <c r="UJ276" s="309"/>
      <c r="UK276" s="309"/>
      <c r="UL276" s="309"/>
      <c r="UM276" s="309"/>
      <c r="UN276" s="309"/>
      <c r="UO276" s="309"/>
      <c r="UP276" s="309"/>
      <c r="UQ276" s="309"/>
      <c r="UR276" s="309"/>
      <c r="US276" s="309"/>
      <c r="UT276" s="309"/>
      <c r="UU276" s="309"/>
      <c r="UV276" s="309"/>
      <c r="UW276" s="309"/>
      <c r="UX276" s="309"/>
      <c r="UY276" s="309"/>
      <c r="UZ276" s="309"/>
      <c r="VA276" s="309"/>
      <c r="VB276" s="309"/>
      <c r="VC276" s="309"/>
      <c r="VD276" s="309"/>
      <c r="VE276" s="309"/>
      <c r="VF276" s="309"/>
      <c r="VG276" s="309"/>
      <c r="VH276" s="309"/>
      <c r="VI276" s="309"/>
      <c r="VJ276" s="309"/>
      <c r="VK276" s="309"/>
      <c r="VL276" s="309"/>
      <c r="VM276" s="309"/>
      <c r="VN276" s="309"/>
      <c r="VO276" s="309"/>
      <c r="VP276" s="309"/>
      <c r="VQ276" s="309"/>
      <c r="VR276" s="309"/>
      <c r="VS276" s="309"/>
      <c r="VT276" s="309"/>
      <c r="VU276" s="309"/>
      <c r="VV276" s="309"/>
      <c r="VW276" s="309"/>
      <c r="VX276" s="309"/>
      <c r="VY276" s="309"/>
      <c r="VZ276" s="309"/>
      <c r="WA276" s="309"/>
      <c r="WB276" s="309"/>
      <c r="WC276" s="309"/>
      <c r="WD276" s="309"/>
      <c r="WE276" s="309"/>
      <c r="WF276" s="309"/>
      <c r="WG276" s="309"/>
      <c r="WH276" s="309"/>
      <c r="WI276" s="309"/>
      <c r="WJ276" s="309"/>
      <c r="WK276" s="309"/>
      <c r="WL276" s="309"/>
      <c r="WM276" s="309"/>
      <c r="WN276" s="309"/>
      <c r="WO276" s="309"/>
      <c r="WP276" s="309"/>
      <c r="WQ276" s="309"/>
      <c r="WR276" s="309"/>
      <c r="WS276" s="309"/>
      <c r="WT276" s="309"/>
      <c r="WU276" s="309"/>
      <c r="WV276" s="309"/>
      <c r="WW276" s="309"/>
      <c r="WX276" s="309"/>
      <c r="WY276" s="309"/>
      <c r="WZ276" s="309"/>
      <c r="XA276" s="309"/>
      <c r="XB276" s="309"/>
      <c r="XC276" s="309"/>
      <c r="XD276" s="309"/>
      <c r="XE276" s="309"/>
      <c r="XF276" s="309"/>
      <c r="XG276" s="309"/>
      <c r="XH276" s="309"/>
      <c r="XI276" s="309"/>
      <c r="XJ276" s="309"/>
      <c r="XK276" s="309"/>
      <c r="XL276" s="309"/>
      <c r="XM276" s="309"/>
      <c r="XN276" s="309"/>
      <c r="XO276" s="309"/>
      <c r="XP276" s="309"/>
      <c r="XQ276" s="309"/>
      <c r="XR276" s="309"/>
      <c r="XS276" s="309"/>
      <c r="XT276" s="309"/>
      <c r="XU276" s="309"/>
      <c r="XV276" s="309"/>
      <c r="XW276" s="309"/>
      <c r="XX276" s="309"/>
      <c r="XY276" s="309"/>
      <c r="XZ276" s="309"/>
      <c r="YA276" s="309"/>
      <c r="YB276" s="309"/>
      <c r="YC276" s="309"/>
      <c r="YD276" s="309"/>
      <c r="YE276" s="309"/>
      <c r="YF276" s="309"/>
      <c r="YG276" s="309"/>
      <c r="YH276" s="309"/>
      <c r="YI276" s="309"/>
      <c r="YJ276" s="309"/>
      <c r="YK276" s="309"/>
      <c r="YL276" s="309"/>
      <c r="YM276" s="309"/>
      <c r="YN276" s="309"/>
      <c r="YO276" s="309"/>
      <c r="YP276" s="309"/>
      <c r="YQ276" s="309"/>
      <c r="YR276" s="309"/>
      <c r="YS276" s="309"/>
      <c r="YT276" s="309"/>
      <c r="YU276" s="309"/>
      <c r="YV276" s="309"/>
      <c r="YW276" s="309"/>
      <c r="YX276" s="309"/>
      <c r="YY276" s="309"/>
      <c r="YZ276" s="309"/>
      <c r="ZA276" s="309"/>
      <c r="ZB276" s="309"/>
      <c r="ZC276" s="309"/>
      <c r="ZD276" s="309"/>
      <c r="ZE276" s="309"/>
      <c r="ZF276" s="309"/>
      <c r="ZG276" s="309"/>
      <c r="ZH276" s="309"/>
      <c r="ZI276" s="309"/>
      <c r="ZJ276" s="309"/>
    </row>
    <row r="277" spans="2:686" s="308" customFormat="1" x14ac:dyDescent="0.3">
      <c r="E277" s="337"/>
      <c r="F277" s="337"/>
      <c r="G277" s="171"/>
      <c r="H277" s="1"/>
      <c r="Y277" s="309"/>
      <c r="Z277" s="309"/>
      <c r="AA277" s="309"/>
      <c r="AB277" s="309"/>
      <c r="AC277" s="309"/>
      <c r="AD277" s="309"/>
      <c r="AE277" s="309"/>
      <c r="AF277" s="309"/>
      <c r="AG277" s="309"/>
      <c r="AH277" s="309"/>
      <c r="AI277" s="309"/>
      <c r="AJ277" s="309"/>
      <c r="AK277" s="309"/>
      <c r="AL277" s="309"/>
      <c r="AM277" s="309"/>
      <c r="AN277" s="309"/>
      <c r="AO277" s="309"/>
      <c r="AP277" s="309"/>
      <c r="AQ277" s="309"/>
      <c r="AR277" s="309"/>
      <c r="AS277" s="309"/>
      <c r="AT277" s="309"/>
      <c r="AU277" s="309"/>
      <c r="AV277" s="309"/>
      <c r="AW277" s="309"/>
      <c r="AX277" s="309"/>
      <c r="AY277" s="309"/>
      <c r="AZ277" s="309"/>
      <c r="BA277" s="309"/>
      <c r="BB277" s="309"/>
      <c r="BC277" s="309"/>
      <c r="BD277" s="309"/>
      <c r="BE277" s="309"/>
      <c r="BF277" s="309"/>
      <c r="BG277" s="309"/>
      <c r="BH277" s="309"/>
      <c r="BI277" s="309"/>
      <c r="BJ277" s="309"/>
      <c r="BK277" s="309"/>
      <c r="BL277" s="309"/>
      <c r="BM277" s="309"/>
      <c r="BN277" s="309"/>
      <c r="BO277" s="309"/>
      <c r="BP277" s="309"/>
      <c r="BQ277" s="309"/>
      <c r="BR277" s="309"/>
      <c r="BS277" s="309"/>
      <c r="BT277" s="309"/>
      <c r="BU277" s="309"/>
      <c r="BV277" s="309"/>
      <c r="BW277" s="309"/>
      <c r="BX277" s="309"/>
      <c r="BY277" s="309"/>
      <c r="BZ277" s="309"/>
      <c r="CA277" s="309"/>
      <c r="CB277" s="309"/>
      <c r="CC277" s="309"/>
      <c r="CD277" s="309"/>
      <c r="CE277" s="309"/>
      <c r="CF277" s="309"/>
      <c r="CG277" s="309"/>
      <c r="CH277" s="309"/>
      <c r="CI277" s="309"/>
      <c r="CJ277" s="309"/>
      <c r="CK277" s="309"/>
      <c r="CL277" s="309"/>
      <c r="CM277" s="309"/>
      <c r="CN277" s="309"/>
      <c r="CO277" s="309"/>
      <c r="CP277" s="309"/>
      <c r="CQ277" s="309"/>
      <c r="CR277" s="309"/>
      <c r="CS277" s="309"/>
      <c r="CT277" s="309"/>
      <c r="CU277" s="309"/>
      <c r="CV277" s="309"/>
      <c r="CW277" s="309"/>
      <c r="CX277" s="309"/>
      <c r="CY277" s="309"/>
      <c r="CZ277" s="309"/>
      <c r="DA277" s="309"/>
      <c r="DB277" s="309"/>
      <c r="DC277" s="309"/>
      <c r="DD277" s="309"/>
      <c r="DE277" s="309"/>
      <c r="DF277" s="309"/>
      <c r="DG277" s="309"/>
      <c r="DH277" s="309"/>
      <c r="DI277" s="309"/>
      <c r="DJ277" s="309"/>
      <c r="DK277" s="309"/>
      <c r="DL277" s="309"/>
      <c r="DM277" s="309"/>
      <c r="DN277" s="309"/>
      <c r="DO277" s="309"/>
      <c r="DP277" s="309"/>
      <c r="DQ277" s="309"/>
      <c r="DR277" s="309"/>
      <c r="DS277" s="309"/>
      <c r="DT277" s="309"/>
      <c r="DU277" s="309"/>
      <c r="DV277" s="309"/>
      <c r="DW277" s="309"/>
      <c r="DX277" s="309"/>
      <c r="DY277" s="309"/>
      <c r="DZ277" s="309"/>
      <c r="EA277" s="309"/>
      <c r="EB277" s="309"/>
      <c r="EC277" s="309"/>
      <c r="ED277" s="309"/>
      <c r="EE277" s="309"/>
      <c r="EF277" s="309"/>
      <c r="EG277" s="309"/>
      <c r="EH277" s="309"/>
      <c r="EI277" s="309"/>
      <c r="EJ277" s="309"/>
      <c r="EK277" s="309"/>
      <c r="EL277" s="309"/>
      <c r="EM277" s="309"/>
      <c r="EN277" s="309"/>
      <c r="EO277" s="309"/>
      <c r="EP277" s="309"/>
      <c r="EQ277" s="309"/>
      <c r="ER277" s="309"/>
      <c r="ES277" s="309"/>
      <c r="ET277" s="309"/>
      <c r="EU277" s="309"/>
      <c r="EV277" s="309"/>
      <c r="EW277" s="309"/>
      <c r="EX277" s="309"/>
      <c r="EY277" s="309"/>
      <c r="EZ277" s="309"/>
      <c r="FA277" s="309"/>
      <c r="FB277" s="309"/>
      <c r="FC277" s="309"/>
      <c r="FD277" s="309"/>
      <c r="FE277" s="309"/>
      <c r="FF277" s="309"/>
      <c r="FG277" s="309"/>
      <c r="FH277" s="309"/>
      <c r="FI277" s="309"/>
      <c r="FJ277" s="309"/>
      <c r="FK277" s="309"/>
      <c r="FL277" s="309"/>
      <c r="FM277" s="309"/>
      <c r="FN277" s="309"/>
      <c r="FO277" s="309"/>
      <c r="FP277" s="309"/>
      <c r="FQ277" s="309"/>
      <c r="FR277" s="309"/>
      <c r="FS277" s="309"/>
      <c r="FT277" s="309"/>
      <c r="FU277" s="309"/>
      <c r="FV277" s="309"/>
      <c r="FW277" s="309"/>
      <c r="FX277" s="309"/>
      <c r="FY277" s="309"/>
      <c r="FZ277" s="309"/>
      <c r="GA277" s="309"/>
      <c r="GB277" s="309"/>
      <c r="GC277" s="309"/>
      <c r="GD277" s="309"/>
      <c r="GE277" s="309"/>
      <c r="GF277" s="309"/>
      <c r="GG277" s="309"/>
      <c r="GH277" s="309"/>
      <c r="GI277" s="309"/>
      <c r="GJ277" s="309"/>
      <c r="GK277" s="309"/>
      <c r="GL277" s="309"/>
      <c r="GM277" s="309"/>
      <c r="GN277" s="309"/>
      <c r="GO277" s="309"/>
      <c r="GP277" s="309"/>
      <c r="GQ277" s="309"/>
      <c r="GR277" s="309"/>
      <c r="GS277" s="309"/>
      <c r="GT277" s="309"/>
      <c r="GU277" s="309"/>
      <c r="GV277" s="309"/>
      <c r="GW277" s="309"/>
      <c r="GX277" s="309"/>
      <c r="GY277" s="309"/>
      <c r="GZ277" s="309"/>
      <c r="HA277" s="309"/>
      <c r="HB277" s="309"/>
      <c r="HC277" s="309"/>
      <c r="HD277" s="309"/>
      <c r="HE277" s="309"/>
      <c r="HF277" s="309"/>
      <c r="HG277" s="309"/>
      <c r="HH277" s="309"/>
      <c r="HI277" s="309"/>
      <c r="HJ277" s="309"/>
      <c r="HK277" s="309"/>
      <c r="HL277" s="309"/>
      <c r="HM277" s="309"/>
      <c r="HN277" s="309"/>
      <c r="HO277" s="309"/>
      <c r="HP277" s="309"/>
      <c r="HQ277" s="309"/>
      <c r="HR277" s="309"/>
      <c r="HS277" s="309"/>
      <c r="HT277" s="309"/>
      <c r="HU277" s="309"/>
      <c r="HV277" s="309"/>
      <c r="HW277" s="309"/>
      <c r="HX277" s="309"/>
      <c r="HY277" s="309"/>
      <c r="HZ277" s="309"/>
      <c r="IA277" s="309"/>
      <c r="IB277" s="309"/>
      <c r="IC277" s="309"/>
      <c r="ID277" s="309"/>
      <c r="IE277" s="309"/>
      <c r="IF277" s="309"/>
      <c r="IG277" s="309"/>
      <c r="IH277" s="309"/>
      <c r="II277" s="309"/>
      <c r="IJ277" s="309"/>
      <c r="IK277" s="309"/>
      <c r="IL277" s="309"/>
      <c r="IM277" s="309"/>
      <c r="IN277" s="309"/>
      <c r="IO277" s="309"/>
      <c r="IP277" s="309"/>
      <c r="IQ277" s="309"/>
      <c r="IR277" s="309"/>
      <c r="IS277" s="309"/>
      <c r="IT277" s="309"/>
      <c r="IU277" s="309"/>
      <c r="IV277" s="309"/>
      <c r="IW277" s="309"/>
      <c r="IX277" s="309"/>
      <c r="IY277" s="309"/>
      <c r="IZ277" s="309"/>
      <c r="JA277" s="309"/>
      <c r="JB277" s="309"/>
      <c r="JC277" s="309"/>
      <c r="JD277" s="309"/>
      <c r="JE277" s="309"/>
      <c r="JF277" s="309"/>
      <c r="JG277" s="309"/>
      <c r="JH277" s="309"/>
      <c r="JI277" s="309"/>
      <c r="JJ277" s="309"/>
      <c r="JK277" s="309"/>
      <c r="JL277" s="309"/>
      <c r="JM277" s="309"/>
      <c r="JN277" s="309"/>
      <c r="JO277" s="309"/>
      <c r="JP277" s="309"/>
      <c r="JQ277" s="309"/>
      <c r="JR277" s="309"/>
      <c r="JS277" s="309"/>
      <c r="JT277" s="309"/>
      <c r="JU277" s="309"/>
      <c r="JV277" s="309"/>
      <c r="JW277" s="309"/>
      <c r="JX277" s="309"/>
      <c r="JY277" s="309"/>
      <c r="JZ277" s="309"/>
      <c r="KA277" s="309"/>
      <c r="KB277" s="309"/>
      <c r="KC277" s="309"/>
      <c r="KD277" s="309"/>
      <c r="KE277" s="309"/>
      <c r="KF277" s="309"/>
      <c r="KG277" s="309"/>
      <c r="KH277" s="309"/>
      <c r="KI277" s="309"/>
      <c r="KJ277" s="309"/>
      <c r="KK277" s="309"/>
      <c r="KL277" s="309"/>
      <c r="KM277" s="309"/>
      <c r="KN277" s="309"/>
      <c r="KO277" s="309"/>
      <c r="KP277" s="309"/>
      <c r="KQ277" s="309"/>
      <c r="KR277" s="309"/>
      <c r="KS277" s="309"/>
      <c r="KT277" s="309"/>
      <c r="KU277" s="309"/>
      <c r="KV277" s="309"/>
      <c r="KW277" s="309"/>
      <c r="KX277" s="309"/>
      <c r="KY277" s="309"/>
      <c r="KZ277" s="309"/>
      <c r="LA277" s="309"/>
      <c r="LB277" s="309"/>
      <c r="LC277" s="309"/>
      <c r="LD277" s="309"/>
      <c r="LE277" s="309"/>
      <c r="LF277" s="309"/>
      <c r="LG277" s="309"/>
      <c r="LH277" s="309"/>
      <c r="LI277" s="309"/>
      <c r="LJ277" s="309"/>
      <c r="LK277" s="309"/>
      <c r="LL277" s="309"/>
      <c r="LM277" s="309"/>
      <c r="LN277" s="309"/>
      <c r="LO277" s="309"/>
      <c r="LP277" s="309"/>
      <c r="LQ277" s="309"/>
      <c r="LR277" s="309"/>
      <c r="LS277" s="309"/>
      <c r="LT277" s="309"/>
      <c r="LU277" s="309"/>
      <c r="LV277" s="309"/>
      <c r="LW277" s="309"/>
      <c r="LX277" s="309"/>
      <c r="LY277" s="309"/>
      <c r="LZ277" s="309"/>
      <c r="MA277" s="309"/>
      <c r="MB277" s="309"/>
      <c r="MC277" s="309"/>
      <c r="MD277" s="309"/>
      <c r="ME277" s="309"/>
      <c r="MF277" s="309"/>
      <c r="MG277" s="309"/>
      <c r="MH277" s="309"/>
      <c r="MI277" s="309"/>
      <c r="MJ277" s="309"/>
      <c r="MK277" s="309"/>
      <c r="ML277" s="309"/>
      <c r="MM277" s="309"/>
      <c r="MN277" s="309"/>
      <c r="MO277" s="309"/>
      <c r="MP277" s="309"/>
      <c r="MQ277" s="309"/>
      <c r="MR277" s="309"/>
      <c r="MS277" s="309"/>
      <c r="MT277" s="309"/>
      <c r="MU277" s="309"/>
      <c r="MV277" s="309"/>
      <c r="MW277" s="309"/>
      <c r="MX277" s="309"/>
      <c r="MY277" s="309"/>
      <c r="MZ277" s="309"/>
      <c r="NA277" s="309"/>
      <c r="NB277" s="309"/>
      <c r="NC277" s="309"/>
      <c r="ND277" s="309"/>
      <c r="NE277" s="309"/>
      <c r="NF277" s="309"/>
      <c r="NG277" s="309"/>
      <c r="NH277" s="309"/>
      <c r="NI277" s="309"/>
      <c r="NJ277" s="309"/>
      <c r="NK277" s="309"/>
      <c r="NL277" s="309"/>
      <c r="NM277" s="309"/>
      <c r="NN277" s="309"/>
      <c r="NO277" s="309"/>
      <c r="NP277" s="309"/>
      <c r="NQ277" s="309"/>
      <c r="NR277" s="309"/>
      <c r="NS277" s="309"/>
      <c r="NT277" s="309"/>
      <c r="NU277" s="309"/>
      <c r="NV277" s="309"/>
      <c r="NW277" s="309"/>
      <c r="NX277" s="309"/>
      <c r="NY277" s="309"/>
      <c r="NZ277" s="309"/>
      <c r="OA277" s="309"/>
      <c r="OB277" s="309"/>
      <c r="OC277" s="309"/>
      <c r="OD277" s="309"/>
      <c r="OE277" s="309"/>
      <c r="OF277" s="309"/>
      <c r="OG277" s="309"/>
      <c r="OH277" s="309"/>
      <c r="OI277" s="309"/>
      <c r="OJ277" s="309"/>
      <c r="OK277" s="309"/>
      <c r="OL277" s="309"/>
      <c r="OM277" s="309"/>
      <c r="ON277" s="309"/>
      <c r="OO277" s="309"/>
      <c r="OP277" s="309"/>
      <c r="OQ277" s="309"/>
      <c r="OR277" s="309"/>
      <c r="OS277" s="309"/>
      <c r="OT277" s="309"/>
      <c r="OU277" s="309"/>
      <c r="OV277" s="309"/>
      <c r="OW277" s="309"/>
      <c r="OX277" s="309"/>
      <c r="OY277" s="309"/>
      <c r="OZ277" s="309"/>
      <c r="PA277" s="309"/>
      <c r="PB277" s="309"/>
      <c r="PC277" s="309"/>
      <c r="PD277" s="309"/>
      <c r="PE277" s="309"/>
      <c r="PF277" s="309"/>
      <c r="PG277" s="309"/>
      <c r="PH277" s="309"/>
      <c r="PI277" s="309"/>
      <c r="PJ277" s="309"/>
      <c r="PK277" s="309"/>
      <c r="PL277" s="309"/>
      <c r="PM277" s="309"/>
      <c r="PN277" s="309"/>
      <c r="PO277" s="309"/>
      <c r="PP277" s="309"/>
      <c r="PQ277" s="309"/>
      <c r="PR277" s="309"/>
      <c r="PS277" s="309"/>
      <c r="PT277" s="309"/>
      <c r="PU277" s="309"/>
      <c r="PV277" s="309"/>
      <c r="PW277" s="309"/>
      <c r="PX277" s="309"/>
      <c r="PY277" s="309"/>
      <c r="PZ277" s="309"/>
      <c r="QA277" s="309"/>
      <c r="QB277" s="309"/>
      <c r="QC277" s="309"/>
      <c r="QD277" s="309"/>
      <c r="QE277" s="309"/>
      <c r="QF277" s="309"/>
      <c r="QG277" s="309"/>
      <c r="QH277" s="309"/>
      <c r="QI277" s="309"/>
      <c r="QJ277" s="309"/>
      <c r="QK277" s="309"/>
      <c r="QL277" s="309"/>
      <c r="QM277" s="309"/>
      <c r="QN277" s="309"/>
      <c r="QO277" s="309"/>
      <c r="QP277" s="309"/>
      <c r="QQ277" s="309"/>
      <c r="QR277" s="309"/>
      <c r="QS277" s="309"/>
      <c r="QT277" s="309"/>
      <c r="QU277" s="309"/>
      <c r="QV277" s="309"/>
      <c r="QW277" s="309"/>
      <c r="QX277" s="309"/>
      <c r="QY277" s="309"/>
      <c r="QZ277" s="309"/>
      <c r="RA277" s="309"/>
      <c r="RB277" s="309"/>
      <c r="RC277" s="309"/>
      <c r="RD277" s="309"/>
      <c r="RE277" s="309"/>
      <c r="RF277" s="309"/>
      <c r="RG277" s="309"/>
      <c r="RH277" s="309"/>
      <c r="RI277" s="309"/>
      <c r="RJ277" s="309"/>
      <c r="RK277" s="309"/>
      <c r="RL277" s="309"/>
      <c r="RM277" s="309"/>
      <c r="RN277" s="309"/>
      <c r="RO277" s="309"/>
      <c r="RP277" s="309"/>
      <c r="RQ277" s="309"/>
      <c r="RR277" s="309"/>
      <c r="RS277" s="309"/>
      <c r="RT277" s="309"/>
      <c r="RU277" s="309"/>
      <c r="RV277" s="309"/>
      <c r="RW277" s="309"/>
      <c r="RX277" s="309"/>
      <c r="RY277" s="309"/>
      <c r="RZ277" s="309"/>
      <c r="SA277" s="309"/>
      <c r="SB277" s="309"/>
      <c r="SC277" s="309"/>
      <c r="SD277" s="309"/>
      <c r="SE277" s="309"/>
      <c r="SF277" s="309"/>
      <c r="SG277" s="309"/>
      <c r="SH277" s="309"/>
      <c r="SI277" s="309"/>
      <c r="SJ277" s="309"/>
      <c r="SK277" s="309"/>
      <c r="SL277" s="309"/>
      <c r="SM277" s="309"/>
      <c r="SN277" s="309"/>
      <c r="SO277" s="309"/>
      <c r="SP277" s="309"/>
      <c r="SQ277" s="309"/>
      <c r="SR277" s="309"/>
      <c r="SS277" s="309"/>
      <c r="ST277" s="309"/>
      <c r="SU277" s="309"/>
      <c r="SV277" s="309"/>
      <c r="SW277" s="309"/>
      <c r="SX277" s="309"/>
      <c r="SY277" s="309"/>
      <c r="SZ277" s="309"/>
      <c r="TA277" s="309"/>
      <c r="TB277" s="309"/>
      <c r="TC277" s="309"/>
      <c r="TD277" s="309"/>
      <c r="TE277" s="309"/>
      <c r="TF277" s="309"/>
      <c r="TG277" s="309"/>
      <c r="TH277" s="309"/>
      <c r="TI277" s="309"/>
      <c r="TJ277" s="309"/>
      <c r="TK277" s="309"/>
      <c r="TL277" s="309"/>
      <c r="TM277" s="309"/>
      <c r="TN277" s="309"/>
      <c r="TO277" s="309"/>
      <c r="TP277" s="309"/>
      <c r="TQ277" s="309"/>
      <c r="TR277" s="309"/>
      <c r="TS277" s="309"/>
      <c r="TT277" s="309"/>
      <c r="TU277" s="309"/>
      <c r="TV277" s="309"/>
      <c r="TW277" s="309"/>
      <c r="TX277" s="309"/>
      <c r="TY277" s="309"/>
      <c r="TZ277" s="309"/>
      <c r="UA277" s="309"/>
      <c r="UB277" s="309"/>
      <c r="UC277" s="309"/>
      <c r="UD277" s="309"/>
      <c r="UE277" s="309"/>
      <c r="UF277" s="309"/>
      <c r="UG277" s="309"/>
      <c r="UH277" s="309"/>
      <c r="UI277" s="309"/>
      <c r="UJ277" s="309"/>
      <c r="UK277" s="309"/>
      <c r="UL277" s="309"/>
      <c r="UM277" s="309"/>
      <c r="UN277" s="309"/>
      <c r="UO277" s="309"/>
      <c r="UP277" s="309"/>
      <c r="UQ277" s="309"/>
      <c r="UR277" s="309"/>
      <c r="US277" s="309"/>
      <c r="UT277" s="309"/>
      <c r="UU277" s="309"/>
      <c r="UV277" s="309"/>
      <c r="UW277" s="309"/>
      <c r="UX277" s="309"/>
      <c r="UY277" s="309"/>
      <c r="UZ277" s="309"/>
      <c r="VA277" s="309"/>
      <c r="VB277" s="309"/>
      <c r="VC277" s="309"/>
      <c r="VD277" s="309"/>
      <c r="VE277" s="309"/>
      <c r="VF277" s="309"/>
      <c r="VG277" s="309"/>
      <c r="VH277" s="309"/>
      <c r="VI277" s="309"/>
      <c r="VJ277" s="309"/>
      <c r="VK277" s="309"/>
      <c r="VL277" s="309"/>
      <c r="VM277" s="309"/>
      <c r="VN277" s="309"/>
      <c r="VO277" s="309"/>
      <c r="VP277" s="309"/>
      <c r="VQ277" s="309"/>
      <c r="VR277" s="309"/>
      <c r="VS277" s="309"/>
      <c r="VT277" s="309"/>
      <c r="VU277" s="309"/>
      <c r="VV277" s="309"/>
      <c r="VW277" s="309"/>
      <c r="VX277" s="309"/>
      <c r="VY277" s="309"/>
      <c r="VZ277" s="309"/>
      <c r="WA277" s="309"/>
      <c r="WB277" s="309"/>
      <c r="WC277" s="309"/>
      <c r="WD277" s="309"/>
      <c r="WE277" s="309"/>
      <c r="WF277" s="309"/>
      <c r="WG277" s="309"/>
      <c r="WH277" s="309"/>
      <c r="WI277" s="309"/>
      <c r="WJ277" s="309"/>
      <c r="WK277" s="309"/>
      <c r="WL277" s="309"/>
      <c r="WM277" s="309"/>
      <c r="WN277" s="309"/>
      <c r="WO277" s="309"/>
      <c r="WP277" s="309"/>
      <c r="WQ277" s="309"/>
      <c r="WR277" s="309"/>
      <c r="WS277" s="309"/>
      <c r="WT277" s="309"/>
      <c r="WU277" s="309"/>
      <c r="WV277" s="309"/>
      <c r="WW277" s="309"/>
      <c r="WX277" s="309"/>
      <c r="WY277" s="309"/>
      <c r="WZ277" s="309"/>
      <c r="XA277" s="309"/>
      <c r="XB277" s="309"/>
      <c r="XC277" s="309"/>
      <c r="XD277" s="309"/>
      <c r="XE277" s="309"/>
      <c r="XF277" s="309"/>
      <c r="XG277" s="309"/>
      <c r="XH277" s="309"/>
      <c r="XI277" s="309"/>
      <c r="XJ277" s="309"/>
      <c r="XK277" s="309"/>
      <c r="XL277" s="309"/>
      <c r="XM277" s="309"/>
      <c r="XN277" s="309"/>
      <c r="XO277" s="309"/>
      <c r="XP277" s="309"/>
      <c r="XQ277" s="309"/>
      <c r="XR277" s="309"/>
      <c r="XS277" s="309"/>
      <c r="XT277" s="309"/>
      <c r="XU277" s="309"/>
      <c r="XV277" s="309"/>
      <c r="XW277" s="309"/>
      <c r="XX277" s="309"/>
      <c r="XY277" s="309"/>
      <c r="XZ277" s="309"/>
      <c r="YA277" s="309"/>
      <c r="YB277" s="309"/>
      <c r="YC277" s="309"/>
      <c r="YD277" s="309"/>
      <c r="YE277" s="309"/>
      <c r="YF277" s="309"/>
      <c r="YG277" s="309"/>
      <c r="YH277" s="309"/>
      <c r="YI277" s="309"/>
      <c r="YJ277" s="309"/>
      <c r="YK277" s="309"/>
      <c r="YL277" s="309"/>
      <c r="YM277" s="309"/>
      <c r="YN277" s="309"/>
      <c r="YO277" s="309"/>
      <c r="YP277" s="309"/>
      <c r="YQ277" s="309"/>
      <c r="YR277" s="309"/>
      <c r="YS277" s="309"/>
      <c r="YT277" s="309"/>
      <c r="YU277" s="309"/>
      <c r="YV277" s="309"/>
      <c r="YW277" s="309"/>
      <c r="YX277" s="309"/>
      <c r="YY277" s="309"/>
      <c r="YZ277" s="309"/>
      <c r="ZA277" s="309"/>
      <c r="ZB277" s="309"/>
      <c r="ZC277" s="309"/>
      <c r="ZD277" s="309"/>
      <c r="ZE277" s="309"/>
      <c r="ZF277" s="309"/>
      <c r="ZG277" s="309"/>
      <c r="ZH277" s="309"/>
      <c r="ZI277" s="309"/>
      <c r="ZJ277" s="309"/>
    </row>
    <row r="278" spans="2:686" s="308" customFormat="1" x14ac:dyDescent="0.3">
      <c r="E278" s="337"/>
      <c r="F278" s="337"/>
      <c r="G278" s="171"/>
      <c r="H278" s="1"/>
      <c r="Y278" s="309"/>
      <c r="Z278" s="309"/>
      <c r="AA278" s="309"/>
      <c r="AB278" s="309"/>
      <c r="AC278" s="309"/>
      <c r="AD278" s="309"/>
      <c r="AE278" s="309"/>
      <c r="AF278" s="309"/>
      <c r="AG278" s="309"/>
      <c r="AH278" s="309"/>
      <c r="AI278" s="309"/>
      <c r="AJ278" s="309"/>
      <c r="AK278" s="309"/>
      <c r="AL278" s="309"/>
      <c r="AM278" s="309"/>
      <c r="AN278" s="309"/>
      <c r="AO278" s="309"/>
      <c r="AP278" s="309"/>
      <c r="AQ278" s="309"/>
      <c r="AR278" s="309"/>
      <c r="AS278" s="309"/>
      <c r="AT278" s="309"/>
      <c r="AU278" s="309"/>
      <c r="AV278" s="309"/>
      <c r="AW278" s="309"/>
      <c r="AX278" s="309"/>
      <c r="AY278" s="309"/>
      <c r="AZ278" s="309"/>
      <c r="BA278" s="309"/>
      <c r="BB278" s="309"/>
      <c r="BC278" s="309"/>
      <c r="BD278" s="309"/>
      <c r="BE278" s="309"/>
      <c r="BF278" s="309"/>
      <c r="BG278" s="309"/>
      <c r="BH278" s="309"/>
      <c r="BI278" s="309"/>
      <c r="BJ278" s="309"/>
      <c r="BK278" s="309"/>
      <c r="BL278" s="309"/>
      <c r="BM278" s="309"/>
      <c r="BN278" s="309"/>
      <c r="BO278" s="309"/>
      <c r="BP278" s="309"/>
      <c r="BQ278" s="309"/>
      <c r="BR278" s="309"/>
      <c r="BS278" s="309"/>
      <c r="BT278" s="309"/>
      <c r="BU278" s="309"/>
      <c r="BV278" s="309"/>
      <c r="BW278" s="309"/>
      <c r="BX278" s="309"/>
      <c r="BY278" s="309"/>
      <c r="BZ278" s="309"/>
      <c r="CA278" s="309"/>
      <c r="CB278" s="309"/>
      <c r="CC278" s="309"/>
      <c r="CD278" s="309"/>
      <c r="CE278" s="309"/>
      <c r="CF278" s="309"/>
      <c r="CG278" s="309"/>
      <c r="CH278" s="309"/>
      <c r="CI278" s="309"/>
      <c r="CJ278" s="309"/>
      <c r="CK278" s="309"/>
      <c r="CL278" s="309"/>
      <c r="CM278" s="309"/>
      <c r="CN278" s="309"/>
      <c r="CO278" s="309"/>
      <c r="CP278" s="309"/>
      <c r="CQ278" s="309"/>
      <c r="CR278" s="309"/>
      <c r="CS278" s="309"/>
      <c r="CT278" s="309"/>
      <c r="CU278" s="309"/>
      <c r="CV278" s="309"/>
      <c r="CW278" s="309"/>
      <c r="CX278" s="309"/>
      <c r="CY278" s="309"/>
      <c r="CZ278" s="309"/>
      <c r="DA278" s="309"/>
      <c r="DB278" s="309"/>
      <c r="DC278" s="309"/>
      <c r="DD278" s="309"/>
      <c r="DE278" s="309"/>
      <c r="DF278" s="309"/>
      <c r="DG278" s="309"/>
      <c r="DH278" s="309"/>
      <c r="DI278" s="309"/>
      <c r="DJ278" s="309"/>
      <c r="DK278" s="309"/>
      <c r="DL278" s="309"/>
      <c r="DM278" s="309"/>
      <c r="DN278" s="309"/>
      <c r="DO278" s="309"/>
      <c r="DP278" s="309"/>
      <c r="DQ278" s="309"/>
      <c r="DR278" s="309"/>
      <c r="DS278" s="309"/>
      <c r="DT278" s="309"/>
      <c r="DU278" s="309"/>
      <c r="DV278" s="309"/>
      <c r="DW278" s="309"/>
      <c r="DX278" s="309"/>
      <c r="DY278" s="309"/>
      <c r="DZ278" s="309"/>
      <c r="EA278" s="309"/>
      <c r="EB278" s="309"/>
      <c r="EC278" s="309"/>
      <c r="ED278" s="309"/>
      <c r="EE278" s="309"/>
      <c r="EF278" s="309"/>
      <c r="EG278" s="309"/>
      <c r="EH278" s="309"/>
      <c r="EI278" s="309"/>
      <c r="EJ278" s="309"/>
      <c r="EK278" s="309"/>
      <c r="EL278" s="309"/>
      <c r="EM278" s="309"/>
      <c r="EN278" s="309"/>
      <c r="EO278" s="309"/>
      <c r="EP278" s="309"/>
      <c r="EQ278" s="309"/>
      <c r="ER278" s="309"/>
      <c r="ES278" s="309"/>
      <c r="ET278" s="309"/>
      <c r="EU278" s="309"/>
      <c r="EV278" s="309"/>
      <c r="EW278" s="309"/>
      <c r="EX278" s="309"/>
      <c r="EY278" s="309"/>
      <c r="EZ278" s="309"/>
      <c r="FA278" s="309"/>
      <c r="FB278" s="309"/>
      <c r="FC278" s="309"/>
      <c r="FD278" s="309"/>
      <c r="FE278" s="309"/>
      <c r="FF278" s="309"/>
      <c r="FG278" s="309"/>
      <c r="FH278" s="309"/>
      <c r="FI278" s="309"/>
      <c r="FJ278" s="309"/>
      <c r="FK278" s="309"/>
      <c r="FL278" s="309"/>
      <c r="FM278" s="309"/>
      <c r="FN278" s="309"/>
      <c r="FO278" s="309"/>
      <c r="FP278" s="309"/>
      <c r="FQ278" s="309"/>
      <c r="FR278" s="309"/>
      <c r="FS278" s="309"/>
      <c r="FT278" s="309"/>
      <c r="FU278" s="309"/>
      <c r="FV278" s="309"/>
      <c r="FW278" s="309"/>
      <c r="FX278" s="309"/>
      <c r="FY278" s="309"/>
      <c r="FZ278" s="309"/>
      <c r="GA278" s="309"/>
      <c r="GB278" s="309"/>
      <c r="GC278" s="309"/>
      <c r="GD278" s="309"/>
      <c r="GE278" s="309"/>
      <c r="GF278" s="309"/>
      <c r="GG278" s="309"/>
      <c r="GH278" s="309"/>
      <c r="GI278" s="309"/>
      <c r="GJ278" s="309"/>
      <c r="GK278" s="309"/>
      <c r="GL278" s="309"/>
      <c r="GM278" s="309"/>
      <c r="GN278" s="309"/>
      <c r="GO278" s="309"/>
      <c r="GP278" s="309"/>
      <c r="GQ278" s="309"/>
      <c r="GR278" s="309"/>
      <c r="GS278" s="309"/>
      <c r="GT278" s="309"/>
      <c r="GU278" s="309"/>
      <c r="GV278" s="309"/>
      <c r="GW278" s="309"/>
      <c r="GX278" s="309"/>
      <c r="GY278" s="309"/>
      <c r="GZ278" s="309"/>
      <c r="HA278" s="309"/>
      <c r="HB278" s="309"/>
      <c r="HC278" s="309"/>
      <c r="HD278" s="309"/>
      <c r="HE278" s="309"/>
      <c r="HF278" s="309"/>
      <c r="HG278" s="309"/>
      <c r="HH278" s="309"/>
      <c r="HI278" s="309"/>
      <c r="HJ278" s="309"/>
      <c r="HK278" s="309"/>
      <c r="HL278" s="309"/>
      <c r="HM278" s="309"/>
      <c r="HN278" s="309"/>
      <c r="HO278" s="309"/>
      <c r="HP278" s="309"/>
      <c r="HQ278" s="309"/>
      <c r="HR278" s="309"/>
      <c r="HS278" s="309"/>
      <c r="HT278" s="309"/>
      <c r="HU278" s="309"/>
      <c r="HV278" s="309"/>
      <c r="HW278" s="309"/>
      <c r="HX278" s="309"/>
      <c r="HY278" s="309"/>
      <c r="HZ278" s="309"/>
      <c r="IA278" s="309"/>
      <c r="IB278" s="309"/>
      <c r="IC278" s="309"/>
      <c r="ID278" s="309"/>
      <c r="IE278" s="309"/>
      <c r="IF278" s="309"/>
      <c r="IG278" s="309"/>
      <c r="IH278" s="309"/>
      <c r="II278" s="309"/>
      <c r="IJ278" s="309"/>
      <c r="IK278" s="309"/>
      <c r="IL278" s="309"/>
      <c r="IM278" s="309"/>
      <c r="IN278" s="309"/>
      <c r="IO278" s="309"/>
      <c r="IP278" s="309"/>
      <c r="IQ278" s="309"/>
      <c r="IR278" s="309"/>
      <c r="IS278" s="309"/>
      <c r="IT278" s="309"/>
      <c r="IU278" s="309"/>
      <c r="IV278" s="309"/>
      <c r="IW278" s="309"/>
      <c r="IX278" s="309"/>
      <c r="IY278" s="309"/>
      <c r="IZ278" s="309"/>
      <c r="JA278" s="309"/>
      <c r="JB278" s="309"/>
      <c r="JC278" s="309"/>
      <c r="JD278" s="309"/>
      <c r="JE278" s="309"/>
      <c r="JF278" s="309"/>
      <c r="JG278" s="309"/>
      <c r="JH278" s="309"/>
      <c r="JI278" s="309"/>
      <c r="JJ278" s="309"/>
      <c r="JK278" s="309"/>
      <c r="JL278" s="309"/>
      <c r="JM278" s="309"/>
      <c r="JN278" s="309"/>
      <c r="JO278" s="309"/>
      <c r="JP278" s="309"/>
      <c r="JQ278" s="309"/>
      <c r="JR278" s="309"/>
      <c r="JS278" s="309"/>
      <c r="JT278" s="309"/>
      <c r="JU278" s="309"/>
      <c r="JV278" s="309"/>
      <c r="JW278" s="309"/>
      <c r="JX278" s="309"/>
      <c r="JY278" s="309"/>
      <c r="JZ278" s="309"/>
      <c r="KA278" s="309"/>
      <c r="KB278" s="309"/>
      <c r="KC278" s="309"/>
      <c r="KD278" s="309"/>
      <c r="KE278" s="309"/>
      <c r="KF278" s="309"/>
      <c r="KG278" s="309"/>
      <c r="KH278" s="309"/>
      <c r="KI278" s="309"/>
      <c r="KJ278" s="309"/>
      <c r="KK278" s="309"/>
      <c r="KL278" s="309"/>
      <c r="KM278" s="309"/>
      <c r="KN278" s="309"/>
      <c r="KO278" s="309"/>
      <c r="KP278" s="309"/>
      <c r="KQ278" s="309"/>
      <c r="KR278" s="309"/>
      <c r="KS278" s="309"/>
      <c r="KT278" s="309"/>
      <c r="KU278" s="309"/>
      <c r="KV278" s="309"/>
      <c r="KW278" s="309"/>
      <c r="KX278" s="309"/>
      <c r="KY278" s="309"/>
      <c r="KZ278" s="309"/>
      <c r="LA278" s="309"/>
      <c r="LB278" s="309"/>
      <c r="LC278" s="309"/>
      <c r="LD278" s="309"/>
      <c r="LE278" s="309"/>
      <c r="LF278" s="309"/>
      <c r="LG278" s="309"/>
      <c r="LH278" s="309"/>
      <c r="LI278" s="309"/>
      <c r="LJ278" s="309"/>
      <c r="LK278" s="309"/>
      <c r="LL278" s="309"/>
      <c r="LM278" s="309"/>
      <c r="LN278" s="309"/>
      <c r="LO278" s="309"/>
      <c r="LP278" s="309"/>
      <c r="LQ278" s="309"/>
      <c r="LR278" s="309"/>
      <c r="LS278" s="309"/>
      <c r="LT278" s="309"/>
      <c r="LU278" s="309"/>
      <c r="LV278" s="309"/>
      <c r="LW278" s="309"/>
      <c r="LX278" s="309"/>
      <c r="LY278" s="309"/>
      <c r="LZ278" s="309"/>
      <c r="MA278" s="309"/>
      <c r="MB278" s="309"/>
      <c r="MC278" s="309"/>
      <c r="MD278" s="309"/>
      <c r="ME278" s="309"/>
      <c r="MF278" s="309"/>
      <c r="MG278" s="309"/>
      <c r="MH278" s="309"/>
      <c r="MI278" s="309"/>
      <c r="MJ278" s="309"/>
      <c r="MK278" s="309"/>
      <c r="ML278" s="309"/>
      <c r="MM278" s="309"/>
      <c r="MN278" s="309"/>
      <c r="MO278" s="309"/>
      <c r="MP278" s="309"/>
      <c r="MQ278" s="309"/>
      <c r="MR278" s="309"/>
      <c r="MS278" s="309"/>
      <c r="MT278" s="309"/>
      <c r="MU278" s="309"/>
      <c r="MV278" s="309"/>
      <c r="MW278" s="309"/>
      <c r="MX278" s="309"/>
      <c r="MY278" s="309"/>
      <c r="MZ278" s="309"/>
      <c r="NA278" s="309"/>
      <c r="NB278" s="309"/>
      <c r="NC278" s="309"/>
      <c r="ND278" s="309"/>
      <c r="NE278" s="309"/>
      <c r="NF278" s="309"/>
      <c r="NG278" s="309"/>
      <c r="NH278" s="309"/>
      <c r="NI278" s="309"/>
      <c r="NJ278" s="309"/>
      <c r="NK278" s="309"/>
      <c r="NL278" s="309"/>
      <c r="NM278" s="309"/>
      <c r="NN278" s="309"/>
      <c r="NO278" s="309"/>
      <c r="NP278" s="309"/>
      <c r="NQ278" s="309"/>
      <c r="NR278" s="309"/>
      <c r="NS278" s="309"/>
      <c r="NT278" s="309"/>
      <c r="NU278" s="309"/>
      <c r="NV278" s="309"/>
      <c r="NW278" s="309"/>
      <c r="NX278" s="309"/>
      <c r="NY278" s="309"/>
      <c r="NZ278" s="309"/>
      <c r="OA278" s="309"/>
      <c r="OB278" s="309"/>
      <c r="OC278" s="309"/>
      <c r="OD278" s="309"/>
      <c r="OE278" s="309"/>
      <c r="OF278" s="309"/>
      <c r="OG278" s="309"/>
      <c r="OH278" s="309"/>
      <c r="OI278" s="309"/>
      <c r="OJ278" s="309"/>
      <c r="OK278" s="309"/>
      <c r="OL278" s="309"/>
      <c r="OM278" s="309"/>
      <c r="ON278" s="309"/>
      <c r="OO278" s="309"/>
      <c r="OP278" s="309"/>
      <c r="OQ278" s="309"/>
      <c r="OR278" s="309"/>
      <c r="OS278" s="309"/>
      <c r="OT278" s="309"/>
      <c r="OU278" s="309"/>
      <c r="OV278" s="309"/>
      <c r="OW278" s="309"/>
      <c r="OX278" s="309"/>
      <c r="OY278" s="309"/>
      <c r="OZ278" s="309"/>
      <c r="PA278" s="309"/>
      <c r="PB278" s="309"/>
      <c r="PC278" s="309"/>
      <c r="PD278" s="309"/>
      <c r="PE278" s="309"/>
      <c r="PF278" s="309"/>
      <c r="PG278" s="309"/>
      <c r="PH278" s="309"/>
      <c r="PI278" s="309"/>
      <c r="PJ278" s="309"/>
      <c r="PK278" s="309"/>
      <c r="PL278" s="309"/>
      <c r="PM278" s="309"/>
      <c r="PN278" s="309"/>
      <c r="PO278" s="309"/>
      <c r="PP278" s="309"/>
      <c r="PQ278" s="309"/>
      <c r="PR278" s="309"/>
      <c r="PS278" s="309"/>
      <c r="PT278" s="309"/>
      <c r="PU278" s="309"/>
      <c r="PV278" s="309"/>
      <c r="PW278" s="309"/>
      <c r="PX278" s="309"/>
      <c r="PY278" s="309"/>
      <c r="PZ278" s="309"/>
      <c r="QA278" s="309"/>
      <c r="QB278" s="309"/>
      <c r="QC278" s="309"/>
      <c r="QD278" s="309"/>
      <c r="QE278" s="309"/>
      <c r="QF278" s="309"/>
      <c r="QG278" s="309"/>
      <c r="QH278" s="309"/>
      <c r="QI278" s="309"/>
      <c r="QJ278" s="309"/>
      <c r="QK278" s="309"/>
      <c r="QL278" s="309"/>
      <c r="QM278" s="309"/>
      <c r="QN278" s="309"/>
      <c r="QO278" s="309"/>
      <c r="QP278" s="309"/>
      <c r="QQ278" s="309"/>
      <c r="QR278" s="309"/>
      <c r="QS278" s="309"/>
      <c r="QT278" s="309"/>
      <c r="QU278" s="309"/>
      <c r="QV278" s="309"/>
      <c r="QW278" s="309"/>
      <c r="QX278" s="309"/>
      <c r="QY278" s="309"/>
      <c r="QZ278" s="309"/>
      <c r="RA278" s="309"/>
      <c r="RB278" s="309"/>
      <c r="RC278" s="309"/>
      <c r="RD278" s="309"/>
      <c r="RE278" s="309"/>
      <c r="RF278" s="309"/>
      <c r="RG278" s="309"/>
      <c r="RH278" s="309"/>
      <c r="RI278" s="309"/>
      <c r="RJ278" s="309"/>
      <c r="RK278" s="309"/>
      <c r="RL278" s="309"/>
      <c r="RM278" s="309"/>
      <c r="RN278" s="309"/>
      <c r="RO278" s="309"/>
      <c r="RP278" s="309"/>
      <c r="RQ278" s="309"/>
      <c r="RR278" s="309"/>
      <c r="RS278" s="309"/>
      <c r="RT278" s="309"/>
      <c r="RU278" s="309"/>
      <c r="RV278" s="309"/>
      <c r="RW278" s="309"/>
      <c r="RX278" s="309"/>
      <c r="RY278" s="309"/>
      <c r="RZ278" s="309"/>
      <c r="SA278" s="309"/>
      <c r="SB278" s="309"/>
      <c r="SC278" s="309"/>
      <c r="SD278" s="309"/>
      <c r="SE278" s="309"/>
      <c r="SF278" s="309"/>
      <c r="SG278" s="309"/>
      <c r="SH278" s="309"/>
      <c r="SI278" s="309"/>
      <c r="SJ278" s="309"/>
      <c r="SK278" s="309"/>
      <c r="SL278" s="309"/>
      <c r="SM278" s="309"/>
      <c r="SN278" s="309"/>
      <c r="SO278" s="309"/>
      <c r="SP278" s="309"/>
      <c r="SQ278" s="309"/>
      <c r="SR278" s="309"/>
      <c r="SS278" s="309"/>
      <c r="ST278" s="309"/>
      <c r="SU278" s="309"/>
      <c r="SV278" s="309"/>
      <c r="SW278" s="309"/>
      <c r="SX278" s="309"/>
      <c r="SY278" s="309"/>
      <c r="SZ278" s="309"/>
      <c r="TA278" s="309"/>
      <c r="TB278" s="309"/>
      <c r="TC278" s="309"/>
      <c r="TD278" s="309"/>
      <c r="TE278" s="309"/>
      <c r="TF278" s="309"/>
      <c r="TG278" s="309"/>
      <c r="TH278" s="309"/>
      <c r="TI278" s="309"/>
      <c r="TJ278" s="309"/>
      <c r="TK278" s="309"/>
      <c r="TL278" s="309"/>
      <c r="TM278" s="309"/>
      <c r="TN278" s="309"/>
      <c r="TO278" s="309"/>
      <c r="TP278" s="309"/>
      <c r="TQ278" s="309"/>
      <c r="TR278" s="309"/>
      <c r="TS278" s="309"/>
      <c r="TT278" s="309"/>
      <c r="TU278" s="309"/>
      <c r="TV278" s="309"/>
      <c r="TW278" s="309"/>
      <c r="TX278" s="309"/>
      <c r="TY278" s="309"/>
      <c r="TZ278" s="309"/>
      <c r="UA278" s="309"/>
      <c r="UB278" s="309"/>
      <c r="UC278" s="309"/>
      <c r="UD278" s="309"/>
      <c r="UE278" s="309"/>
      <c r="UF278" s="309"/>
      <c r="UG278" s="309"/>
      <c r="UH278" s="309"/>
      <c r="UI278" s="309"/>
      <c r="UJ278" s="309"/>
      <c r="UK278" s="309"/>
      <c r="UL278" s="309"/>
      <c r="UM278" s="309"/>
      <c r="UN278" s="309"/>
      <c r="UO278" s="309"/>
      <c r="UP278" s="309"/>
      <c r="UQ278" s="309"/>
      <c r="UR278" s="309"/>
      <c r="US278" s="309"/>
      <c r="UT278" s="309"/>
      <c r="UU278" s="309"/>
      <c r="UV278" s="309"/>
      <c r="UW278" s="309"/>
      <c r="UX278" s="309"/>
      <c r="UY278" s="309"/>
      <c r="UZ278" s="309"/>
      <c r="VA278" s="309"/>
      <c r="VB278" s="309"/>
      <c r="VC278" s="309"/>
      <c r="VD278" s="309"/>
      <c r="VE278" s="309"/>
      <c r="VF278" s="309"/>
      <c r="VG278" s="309"/>
      <c r="VH278" s="309"/>
      <c r="VI278" s="309"/>
      <c r="VJ278" s="309"/>
      <c r="VK278" s="309"/>
      <c r="VL278" s="309"/>
      <c r="VM278" s="309"/>
      <c r="VN278" s="309"/>
      <c r="VO278" s="309"/>
      <c r="VP278" s="309"/>
      <c r="VQ278" s="309"/>
      <c r="VR278" s="309"/>
      <c r="VS278" s="309"/>
      <c r="VT278" s="309"/>
      <c r="VU278" s="309"/>
      <c r="VV278" s="309"/>
      <c r="VW278" s="309"/>
      <c r="VX278" s="309"/>
      <c r="VY278" s="309"/>
      <c r="VZ278" s="309"/>
      <c r="WA278" s="309"/>
      <c r="WB278" s="309"/>
      <c r="WC278" s="309"/>
      <c r="WD278" s="309"/>
      <c r="WE278" s="309"/>
      <c r="WF278" s="309"/>
      <c r="WG278" s="309"/>
      <c r="WH278" s="309"/>
      <c r="WI278" s="309"/>
      <c r="WJ278" s="309"/>
      <c r="WK278" s="309"/>
      <c r="WL278" s="309"/>
      <c r="WM278" s="309"/>
      <c r="WN278" s="309"/>
      <c r="WO278" s="309"/>
      <c r="WP278" s="309"/>
      <c r="WQ278" s="309"/>
      <c r="WR278" s="309"/>
      <c r="WS278" s="309"/>
      <c r="WT278" s="309"/>
      <c r="WU278" s="309"/>
      <c r="WV278" s="309"/>
      <c r="WW278" s="309"/>
      <c r="WX278" s="309"/>
      <c r="WY278" s="309"/>
      <c r="WZ278" s="309"/>
      <c r="XA278" s="309"/>
      <c r="XB278" s="309"/>
      <c r="XC278" s="309"/>
      <c r="XD278" s="309"/>
      <c r="XE278" s="309"/>
      <c r="XF278" s="309"/>
      <c r="XG278" s="309"/>
      <c r="XH278" s="309"/>
      <c r="XI278" s="309"/>
      <c r="XJ278" s="309"/>
      <c r="XK278" s="309"/>
      <c r="XL278" s="309"/>
      <c r="XM278" s="309"/>
      <c r="XN278" s="309"/>
      <c r="XO278" s="309"/>
      <c r="XP278" s="309"/>
      <c r="XQ278" s="309"/>
      <c r="XR278" s="309"/>
      <c r="XS278" s="309"/>
      <c r="XT278" s="309"/>
      <c r="XU278" s="309"/>
      <c r="XV278" s="309"/>
      <c r="XW278" s="309"/>
      <c r="XX278" s="309"/>
      <c r="XY278" s="309"/>
      <c r="XZ278" s="309"/>
      <c r="YA278" s="309"/>
      <c r="YB278" s="309"/>
      <c r="YC278" s="309"/>
      <c r="YD278" s="309"/>
      <c r="YE278" s="309"/>
      <c r="YF278" s="309"/>
      <c r="YG278" s="309"/>
      <c r="YH278" s="309"/>
      <c r="YI278" s="309"/>
      <c r="YJ278" s="309"/>
      <c r="YK278" s="309"/>
      <c r="YL278" s="309"/>
      <c r="YM278" s="309"/>
      <c r="YN278" s="309"/>
      <c r="YO278" s="309"/>
      <c r="YP278" s="309"/>
      <c r="YQ278" s="309"/>
      <c r="YR278" s="309"/>
      <c r="YS278" s="309"/>
      <c r="YT278" s="309"/>
      <c r="YU278" s="309"/>
      <c r="YV278" s="309"/>
      <c r="YW278" s="309"/>
      <c r="YX278" s="309"/>
      <c r="YY278" s="309"/>
      <c r="YZ278" s="309"/>
      <c r="ZA278" s="309"/>
      <c r="ZB278" s="309"/>
      <c r="ZC278" s="309"/>
      <c r="ZD278" s="309"/>
      <c r="ZE278" s="309"/>
      <c r="ZF278" s="309"/>
      <c r="ZG278" s="309"/>
      <c r="ZH278" s="309"/>
      <c r="ZI278" s="309"/>
      <c r="ZJ278" s="309"/>
    </row>
    <row r="279" spans="2:686" s="308" customFormat="1" x14ac:dyDescent="0.3">
      <c r="E279" s="337"/>
      <c r="F279" s="337"/>
      <c r="G279" s="171"/>
      <c r="H279" s="1"/>
      <c r="Y279" s="309"/>
      <c r="Z279" s="309"/>
      <c r="AA279" s="309"/>
      <c r="AB279" s="309"/>
      <c r="AC279" s="309"/>
      <c r="AD279" s="309"/>
      <c r="AE279" s="309"/>
      <c r="AF279" s="309"/>
      <c r="AG279" s="309"/>
      <c r="AH279" s="309"/>
      <c r="AI279" s="309"/>
      <c r="AJ279" s="309"/>
      <c r="AK279" s="309"/>
      <c r="AL279" s="309"/>
      <c r="AM279" s="309"/>
      <c r="AN279" s="309"/>
      <c r="AO279" s="309"/>
      <c r="AP279" s="309"/>
      <c r="AQ279" s="309"/>
      <c r="AR279" s="309"/>
      <c r="AS279" s="309"/>
      <c r="AT279" s="309"/>
      <c r="AU279" s="309"/>
      <c r="AV279" s="309"/>
      <c r="AW279" s="309"/>
      <c r="AX279" s="309"/>
      <c r="AY279" s="309"/>
      <c r="AZ279" s="309"/>
      <c r="BA279" s="309"/>
      <c r="BB279" s="309"/>
      <c r="BC279" s="309"/>
      <c r="BD279" s="309"/>
      <c r="BE279" s="309"/>
      <c r="BF279" s="309"/>
      <c r="BG279" s="309"/>
      <c r="BH279" s="309"/>
      <c r="BI279" s="309"/>
      <c r="BJ279" s="309"/>
      <c r="BK279" s="309"/>
      <c r="BL279" s="309"/>
      <c r="BM279" s="309"/>
      <c r="BN279" s="309"/>
      <c r="BO279" s="309"/>
      <c r="BP279" s="309"/>
      <c r="BQ279" s="309"/>
      <c r="BR279" s="309"/>
      <c r="BS279" s="309"/>
      <c r="BT279" s="309"/>
      <c r="BU279" s="309"/>
      <c r="BV279" s="309"/>
      <c r="BW279" s="309"/>
      <c r="BX279" s="309"/>
      <c r="BY279" s="309"/>
      <c r="BZ279" s="309"/>
      <c r="CA279" s="309"/>
      <c r="CB279" s="309"/>
      <c r="CC279" s="309"/>
      <c r="CD279" s="309"/>
      <c r="CE279" s="309"/>
      <c r="CF279" s="309"/>
      <c r="CG279" s="309"/>
      <c r="CH279" s="309"/>
      <c r="CI279" s="309"/>
      <c r="CJ279" s="309"/>
      <c r="CK279" s="309"/>
      <c r="CL279" s="309"/>
      <c r="CM279" s="309"/>
      <c r="CN279" s="309"/>
      <c r="CO279" s="309"/>
      <c r="CP279" s="309"/>
      <c r="CQ279" s="309"/>
      <c r="CR279" s="309"/>
      <c r="CS279" s="309"/>
      <c r="CT279" s="309"/>
      <c r="CU279" s="309"/>
      <c r="CV279" s="309"/>
      <c r="CW279" s="309"/>
      <c r="CX279" s="309"/>
      <c r="CY279" s="309"/>
      <c r="CZ279" s="309"/>
      <c r="DA279" s="309"/>
      <c r="DB279" s="309"/>
      <c r="DC279" s="309"/>
      <c r="DD279" s="309"/>
      <c r="DE279" s="309"/>
      <c r="DF279" s="309"/>
      <c r="DG279" s="309"/>
      <c r="DH279" s="309"/>
      <c r="DI279" s="309"/>
      <c r="DJ279" s="309"/>
      <c r="DK279" s="309"/>
      <c r="DL279" s="309"/>
      <c r="DM279" s="309"/>
      <c r="DN279" s="309"/>
      <c r="DO279" s="309"/>
      <c r="DP279" s="309"/>
      <c r="DQ279" s="309"/>
      <c r="DR279" s="309"/>
      <c r="DS279" s="309"/>
      <c r="DT279" s="309"/>
      <c r="DU279" s="309"/>
      <c r="DV279" s="309"/>
      <c r="DW279" s="309"/>
      <c r="DX279" s="309"/>
      <c r="DY279" s="309"/>
      <c r="DZ279" s="309"/>
      <c r="EA279" s="309"/>
      <c r="EB279" s="309"/>
      <c r="EC279" s="309"/>
      <c r="ED279" s="309"/>
      <c r="EE279" s="309"/>
      <c r="EF279" s="309"/>
      <c r="EG279" s="309"/>
      <c r="EH279" s="309"/>
      <c r="EI279" s="309"/>
      <c r="EJ279" s="309"/>
      <c r="EK279" s="309"/>
      <c r="EL279" s="309"/>
      <c r="EM279" s="309"/>
      <c r="EN279" s="309"/>
      <c r="EO279" s="309"/>
      <c r="EP279" s="309"/>
      <c r="EQ279" s="309"/>
      <c r="ER279" s="309"/>
      <c r="ES279" s="309"/>
      <c r="ET279" s="309"/>
      <c r="EU279" s="309"/>
      <c r="EV279" s="309"/>
      <c r="EW279" s="309"/>
      <c r="EX279" s="309"/>
      <c r="EY279" s="309"/>
      <c r="EZ279" s="309"/>
      <c r="FA279" s="309"/>
      <c r="FB279" s="309"/>
      <c r="FC279" s="309"/>
      <c r="FD279" s="309"/>
      <c r="FE279" s="309"/>
      <c r="FF279" s="309"/>
      <c r="FG279" s="309"/>
      <c r="FH279" s="309"/>
      <c r="FI279" s="309"/>
      <c r="FJ279" s="309"/>
      <c r="FK279" s="309"/>
      <c r="FL279" s="309"/>
      <c r="FM279" s="309"/>
      <c r="FN279" s="309"/>
      <c r="FO279" s="309"/>
      <c r="FP279" s="309"/>
      <c r="FQ279" s="309"/>
      <c r="FR279" s="309"/>
      <c r="FS279" s="309"/>
      <c r="FT279" s="309"/>
      <c r="FU279" s="309"/>
      <c r="FV279" s="309"/>
      <c r="FW279" s="309"/>
      <c r="FX279" s="309"/>
      <c r="FY279" s="309"/>
      <c r="FZ279" s="309"/>
      <c r="GA279" s="309"/>
      <c r="GB279" s="309"/>
      <c r="GC279" s="309"/>
      <c r="GD279" s="309"/>
      <c r="GE279" s="309"/>
      <c r="GF279" s="309"/>
      <c r="GG279" s="309"/>
      <c r="GH279" s="309"/>
      <c r="GI279" s="309"/>
      <c r="GJ279" s="309"/>
      <c r="GK279" s="309"/>
      <c r="GL279" s="309"/>
      <c r="GM279" s="309"/>
      <c r="GN279" s="309"/>
      <c r="GO279" s="309"/>
      <c r="GP279" s="309"/>
      <c r="GQ279" s="309"/>
      <c r="GR279" s="309"/>
      <c r="GS279" s="309"/>
      <c r="GT279" s="309"/>
      <c r="GU279" s="309"/>
      <c r="GV279" s="309"/>
      <c r="GW279" s="309"/>
      <c r="GX279" s="309"/>
      <c r="GY279" s="309"/>
      <c r="GZ279" s="309"/>
      <c r="HA279" s="309"/>
      <c r="HB279" s="309"/>
      <c r="HC279" s="309"/>
      <c r="HD279" s="309"/>
      <c r="HE279" s="309"/>
      <c r="HF279" s="309"/>
      <c r="HG279" s="309"/>
      <c r="HH279" s="309"/>
      <c r="HI279" s="309"/>
      <c r="HJ279" s="309"/>
      <c r="HK279" s="309"/>
      <c r="HL279" s="309"/>
      <c r="HM279" s="309"/>
      <c r="HN279" s="309"/>
      <c r="HO279" s="309"/>
      <c r="HP279" s="309"/>
      <c r="HQ279" s="309"/>
      <c r="HR279" s="309"/>
      <c r="HS279" s="309"/>
      <c r="HT279" s="309"/>
      <c r="HU279" s="309"/>
      <c r="HV279" s="309"/>
      <c r="HW279" s="309"/>
      <c r="HX279" s="309"/>
      <c r="HY279" s="309"/>
      <c r="HZ279" s="309"/>
      <c r="IA279" s="309"/>
      <c r="IB279" s="309"/>
      <c r="IC279" s="309"/>
      <c r="ID279" s="309"/>
      <c r="IE279" s="309"/>
      <c r="IF279" s="309"/>
      <c r="IG279" s="309"/>
      <c r="IH279" s="309"/>
      <c r="II279" s="309"/>
      <c r="IJ279" s="309"/>
      <c r="IK279" s="309"/>
      <c r="IL279" s="309"/>
      <c r="IM279" s="309"/>
      <c r="IN279" s="309"/>
      <c r="IO279" s="309"/>
      <c r="IP279" s="309"/>
      <c r="IQ279" s="309"/>
      <c r="IR279" s="309"/>
      <c r="IS279" s="309"/>
      <c r="IT279" s="309"/>
      <c r="IU279" s="309"/>
      <c r="IV279" s="309"/>
      <c r="IW279" s="309"/>
      <c r="IX279" s="309"/>
      <c r="IY279" s="309"/>
      <c r="IZ279" s="309"/>
      <c r="JA279" s="309"/>
      <c r="JB279" s="309"/>
      <c r="JC279" s="309"/>
      <c r="JD279" s="309"/>
      <c r="JE279" s="309"/>
      <c r="JF279" s="309"/>
      <c r="JG279" s="309"/>
      <c r="JH279" s="309"/>
      <c r="JI279" s="309"/>
      <c r="JJ279" s="309"/>
      <c r="JK279" s="309"/>
      <c r="JL279" s="309"/>
      <c r="JM279" s="309"/>
      <c r="JN279" s="309"/>
      <c r="JO279" s="309"/>
      <c r="JP279" s="309"/>
      <c r="JQ279" s="309"/>
      <c r="JR279" s="309"/>
      <c r="JS279" s="309"/>
      <c r="JT279" s="309"/>
      <c r="JU279" s="309"/>
      <c r="JV279" s="309"/>
      <c r="JW279" s="309"/>
      <c r="JX279" s="309"/>
      <c r="JY279" s="309"/>
      <c r="JZ279" s="309"/>
      <c r="KA279" s="309"/>
      <c r="KB279" s="309"/>
      <c r="KC279" s="309"/>
      <c r="KD279" s="309"/>
      <c r="KE279" s="309"/>
      <c r="KF279" s="309"/>
      <c r="KG279" s="309"/>
      <c r="KH279" s="309"/>
      <c r="KI279" s="309"/>
      <c r="KJ279" s="309"/>
      <c r="KK279" s="309"/>
      <c r="KL279" s="309"/>
      <c r="KM279" s="309"/>
      <c r="KN279" s="309"/>
      <c r="KO279" s="309"/>
      <c r="KP279" s="309"/>
      <c r="KQ279" s="309"/>
      <c r="KR279" s="309"/>
      <c r="KS279" s="309"/>
      <c r="KT279" s="309"/>
      <c r="KU279" s="309"/>
      <c r="KV279" s="309"/>
      <c r="KW279" s="309"/>
      <c r="KX279" s="309"/>
      <c r="KY279" s="309"/>
      <c r="KZ279" s="309"/>
      <c r="LA279" s="309"/>
      <c r="LB279" s="309"/>
      <c r="LC279" s="309"/>
      <c r="LD279" s="309"/>
      <c r="LE279" s="309"/>
      <c r="LF279" s="309"/>
      <c r="LG279" s="309"/>
      <c r="LH279" s="309"/>
      <c r="LI279" s="309"/>
      <c r="LJ279" s="309"/>
      <c r="LK279" s="309"/>
      <c r="LL279" s="309"/>
      <c r="LM279" s="309"/>
      <c r="LN279" s="309"/>
      <c r="LO279" s="309"/>
      <c r="LP279" s="309"/>
      <c r="LQ279" s="309"/>
      <c r="LR279" s="309"/>
      <c r="LS279" s="309"/>
      <c r="LT279" s="309"/>
      <c r="LU279" s="309"/>
      <c r="LV279" s="309"/>
      <c r="LW279" s="309"/>
      <c r="LX279" s="309"/>
      <c r="LY279" s="309"/>
      <c r="LZ279" s="309"/>
      <c r="MA279" s="309"/>
      <c r="MB279" s="309"/>
      <c r="MC279" s="309"/>
      <c r="MD279" s="309"/>
      <c r="ME279" s="309"/>
      <c r="MF279" s="309"/>
      <c r="MG279" s="309"/>
      <c r="MH279" s="309"/>
      <c r="MI279" s="309"/>
      <c r="MJ279" s="309"/>
      <c r="MK279" s="309"/>
      <c r="ML279" s="309"/>
      <c r="MM279" s="309"/>
      <c r="MN279" s="309"/>
      <c r="MO279" s="309"/>
      <c r="MP279" s="309"/>
      <c r="MQ279" s="309"/>
      <c r="MR279" s="309"/>
      <c r="MS279" s="309"/>
      <c r="MT279" s="309"/>
      <c r="MU279" s="309"/>
      <c r="MV279" s="309"/>
      <c r="MW279" s="309"/>
      <c r="MX279" s="309"/>
      <c r="MY279" s="309"/>
      <c r="MZ279" s="309"/>
      <c r="NA279" s="309"/>
      <c r="NB279" s="309"/>
      <c r="NC279" s="309"/>
      <c r="ND279" s="309"/>
      <c r="NE279" s="309"/>
      <c r="NF279" s="309"/>
      <c r="NG279" s="309"/>
      <c r="NH279" s="309"/>
      <c r="NI279" s="309"/>
      <c r="NJ279" s="309"/>
      <c r="NK279" s="309"/>
      <c r="NL279" s="309"/>
      <c r="NM279" s="309"/>
      <c r="NN279" s="309"/>
      <c r="NO279" s="309"/>
      <c r="NP279" s="309"/>
      <c r="NQ279" s="309"/>
      <c r="NR279" s="309"/>
      <c r="NS279" s="309"/>
      <c r="NT279" s="309"/>
      <c r="NU279" s="309"/>
      <c r="NV279" s="309"/>
      <c r="NW279" s="309"/>
      <c r="NX279" s="309"/>
      <c r="NY279" s="309"/>
      <c r="NZ279" s="309"/>
      <c r="OA279" s="309"/>
      <c r="OB279" s="309"/>
      <c r="OC279" s="309"/>
      <c r="OD279" s="309"/>
      <c r="OE279" s="309"/>
      <c r="OF279" s="309"/>
      <c r="OG279" s="309"/>
      <c r="OH279" s="309"/>
      <c r="OI279" s="309"/>
      <c r="OJ279" s="309"/>
      <c r="OK279" s="309"/>
      <c r="OL279" s="309"/>
      <c r="OM279" s="309"/>
      <c r="ON279" s="309"/>
      <c r="OO279" s="309"/>
      <c r="OP279" s="309"/>
      <c r="OQ279" s="309"/>
      <c r="OR279" s="309"/>
      <c r="OS279" s="309"/>
      <c r="OT279" s="309"/>
      <c r="OU279" s="309"/>
      <c r="OV279" s="309"/>
      <c r="OW279" s="309"/>
      <c r="OX279" s="309"/>
      <c r="OY279" s="309"/>
      <c r="OZ279" s="309"/>
      <c r="PA279" s="309"/>
      <c r="PB279" s="309"/>
      <c r="PC279" s="309"/>
      <c r="PD279" s="309"/>
      <c r="PE279" s="309"/>
      <c r="PF279" s="309"/>
      <c r="PG279" s="309"/>
      <c r="PH279" s="309"/>
      <c r="PI279" s="309"/>
      <c r="PJ279" s="309"/>
      <c r="PK279" s="309"/>
      <c r="PL279" s="309"/>
      <c r="PM279" s="309"/>
      <c r="PN279" s="309"/>
      <c r="PO279" s="309"/>
      <c r="PP279" s="309"/>
      <c r="PQ279" s="309"/>
      <c r="PR279" s="309"/>
      <c r="PS279" s="309"/>
      <c r="PT279" s="309"/>
      <c r="PU279" s="309"/>
      <c r="PV279" s="309"/>
      <c r="PW279" s="309"/>
      <c r="PX279" s="309"/>
      <c r="PY279" s="309"/>
      <c r="PZ279" s="309"/>
      <c r="QA279" s="309"/>
      <c r="QB279" s="309"/>
      <c r="QC279" s="309"/>
      <c r="QD279" s="309"/>
      <c r="QE279" s="309"/>
      <c r="QF279" s="309"/>
      <c r="QG279" s="309"/>
      <c r="QH279" s="309"/>
      <c r="QI279" s="309"/>
      <c r="QJ279" s="309"/>
      <c r="QK279" s="309"/>
      <c r="QL279" s="309"/>
      <c r="QM279" s="309"/>
      <c r="QN279" s="309"/>
      <c r="QO279" s="309"/>
      <c r="QP279" s="309"/>
      <c r="QQ279" s="309"/>
      <c r="QR279" s="309"/>
      <c r="QS279" s="309"/>
      <c r="QT279" s="309"/>
      <c r="QU279" s="309"/>
      <c r="QV279" s="309"/>
      <c r="QW279" s="309"/>
      <c r="QX279" s="309"/>
      <c r="QY279" s="309"/>
      <c r="QZ279" s="309"/>
      <c r="RA279" s="309"/>
      <c r="RB279" s="309"/>
      <c r="RC279" s="309"/>
      <c r="RD279" s="309"/>
      <c r="RE279" s="309"/>
      <c r="RF279" s="309"/>
      <c r="RG279" s="309"/>
      <c r="RH279" s="309"/>
      <c r="RI279" s="309"/>
      <c r="RJ279" s="309"/>
      <c r="RK279" s="309"/>
      <c r="RL279" s="309"/>
      <c r="RM279" s="309"/>
      <c r="RN279" s="309"/>
      <c r="RO279" s="309"/>
      <c r="RP279" s="309"/>
      <c r="RQ279" s="309"/>
      <c r="RR279" s="309"/>
      <c r="RS279" s="309"/>
      <c r="RT279" s="309"/>
      <c r="RU279" s="309"/>
      <c r="RV279" s="309"/>
      <c r="RW279" s="309"/>
      <c r="RX279" s="309"/>
      <c r="RY279" s="309"/>
      <c r="RZ279" s="309"/>
      <c r="SA279" s="309"/>
      <c r="SB279" s="309"/>
      <c r="SC279" s="309"/>
      <c r="SD279" s="309"/>
      <c r="SE279" s="309"/>
      <c r="SF279" s="309"/>
      <c r="SG279" s="309"/>
      <c r="SH279" s="309"/>
      <c r="SI279" s="309"/>
      <c r="SJ279" s="309"/>
      <c r="SK279" s="309"/>
      <c r="SL279" s="309"/>
      <c r="SM279" s="309"/>
      <c r="SN279" s="309"/>
      <c r="SO279" s="309"/>
      <c r="SP279" s="309"/>
      <c r="SQ279" s="309"/>
      <c r="SR279" s="309"/>
      <c r="SS279" s="309"/>
      <c r="ST279" s="309"/>
      <c r="SU279" s="309"/>
      <c r="SV279" s="309"/>
      <c r="SW279" s="309"/>
      <c r="SX279" s="309"/>
      <c r="SY279" s="309"/>
      <c r="SZ279" s="309"/>
      <c r="TA279" s="309"/>
      <c r="TB279" s="309"/>
      <c r="TC279" s="309"/>
      <c r="TD279" s="309"/>
      <c r="TE279" s="309"/>
      <c r="TF279" s="309"/>
      <c r="TG279" s="309"/>
      <c r="TH279" s="309"/>
      <c r="TI279" s="309"/>
      <c r="TJ279" s="309"/>
      <c r="TK279" s="309"/>
      <c r="TL279" s="309"/>
      <c r="TM279" s="309"/>
      <c r="TN279" s="309"/>
      <c r="TO279" s="309"/>
      <c r="TP279" s="309"/>
      <c r="TQ279" s="309"/>
      <c r="TR279" s="309"/>
      <c r="TS279" s="309"/>
      <c r="TT279" s="309"/>
      <c r="TU279" s="309"/>
      <c r="TV279" s="309"/>
      <c r="TW279" s="309"/>
      <c r="TX279" s="309"/>
      <c r="TY279" s="309"/>
      <c r="TZ279" s="309"/>
      <c r="UA279" s="309"/>
      <c r="UB279" s="309"/>
      <c r="UC279" s="309"/>
      <c r="UD279" s="309"/>
      <c r="UE279" s="309"/>
      <c r="UF279" s="309"/>
      <c r="UG279" s="309"/>
      <c r="UH279" s="309"/>
      <c r="UI279" s="309"/>
      <c r="UJ279" s="309"/>
      <c r="UK279" s="309"/>
      <c r="UL279" s="309"/>
      <c r="UM279" s="309"/>
      <c r="UN279" s="309"/>
      <c r="UO279" s="309"/>
      <c r="UP279" s="309"/>
      <c r="UQ279" s="309"/>
      <c r="UR279" s="309"/>
      <c r="US279" s="309"/>
      <c r="UT279" s="309"/>
      <c r="UU279" s="309"/>
      <c r="UV279" s="309"/>
      <c r="UW279" s="309"/>
      <c r="UX279" s="309"/>
      <c r="UY279" s="309"/>
      <c r="UZ279" s="309"/>
      <c r="VA279" s="309"/>
      <c r="VB279" s="309"/>
      <c r="VC279" s="309"/>
      <c r="VD279" s="309"/>
      <c r="VE279" s="309"/>
      <c r="VF279" s="309"/>
      <c r="VG279" s="309"/>
      <c r="VH279" s="309"/>
      <c r="VI279" s="309"/>
      <c r="VJ279" s="309"/>
      <c r="VK279" s="309"/>
      <c r="VL279" s="309"/>
      <c r="VM279" s="309"/>
      <c r="VN279" s="309"/>
      <c r="VO279" s="309"/>
      <c r="VP279" s="309"/>
      <c r="VQ279" s="309"/>
      <c r="VR279" s="309"/>
      <c r="VS279" s="309"/>
      <c r="VT279" s="309"/>
      <c r="VU279" s="309"/>
      <c r="VV279" s="309"/>
      <c r="VW279" s="309"/>
      <c r="VX279" s="309"/>
      <c r="VY279" s="309"/>
      <c r="VZ279" s="309"/>
      <c r="WA279" s="309"/>
      <c r="WB279" s="309"/>
      <c r="WC279" s="309"/>
      <c r="WD279" s="309"/>
      <c r="WE279" s="309"/>
      <c r="WF279" s="309"/>
      <c r="WG279" s="309"/>
      <c r="WH279" s="309"/>
      <c r="WI279" s="309"/>
      <c r="WJ279" s="309"/>
      <c r="WK279" s="309"/>
      <c r="WL279" s="309"/>
      <c r="WM279" s="309"/>
      <c r="WN279" s="309"/>
      <c r="WO279" s="309"/>
      <c r="WP279" s="309"/>
      <c r="WQ279" s="309"/>
      <c r="WR279" s="309"/>
      <c r="WS279" s="309"/>
      <c r="WT279" s="309"/>
      <c r="WU279" s="309"/>
      <c r="WV279" s="309"/>
      <c r="WW279" s="309"/>
      <c r="WX279" s="309"/>
      <c r="WY279" s="309"/>
      <c r="WZ279" s="309"/>
      <c r="XA279" s="309"/>
      <c r="XB279" s="309"/>
      <c r="XC279" s="309"/>
      <c r="XD279" s="309"/>
      <c r="XE279" s="309"/>
      <c r="XF279" s="309"/>
      <c r="XG279" s="309"/>
      <c r="XH279" s="309"/>
      <c r="XI279" s="309"/>
      <c r="XJ279" s="309"/>
      <c r="XK279" s="309"/>
      <c r="XL279" s="309"/>
      <c r="XM279" s="309"/>
      <c r="XN279" s="309"/>
      <c r="XO279" s="309"/>
      <c r="XP279" s="309"/>
      <c r="XQ279" s="309"/>
      <c r="XR279" s="309"/>
      <c r="XS279" s="309"/>
      <c r="XT279" s="309"/>
      <c r="XU279" s="309"/>
      <c r="XV279" s="309"/>
      <c r="XW279" s="309"/>
      <c r="XX279" s="309"/>
      <c r="XY279" s="309"/>
      <c r="XZ279" s="309"/>
      <c r="YA279" s="309"/>
      <c r="YB279" s="309"/>
      <c r="YC279" s="309"/>
      <c r="YD279" s="309"/>
      <c r="YE279" s="309"/>
      <c r="YF279" s="309"/>
      <c r="YG279" s="309"/>
      <c r="YH279" s="309"/>
      <c r="YI279" s="309"/>
      <c r="YJ279" s="309"/>
      <c r="YK279" s="309"/>
      <c r="YL279" s="309"/>
      <c r="YM279" s="309"/>
      <c r="YN279" s="309"/>
      <c r="YO279" s="309"/>
      <c r="YP279" s="309"/>
      <c r="YQ279" s="309"/>
      <c r="YR279" s="309"/>
      <c r="YS279" s="309"/>
      <c r="YT279" s="309"/>
      <c r="YU279" s="309"/>
      <c r="YV279" s="309"/>
      <c r="YW279" s="309"/>
      <c r="YX279" s="309"/>
      <c r="YY279" s="309"/>
      <c r="YZ279" s="309"/>
      <c r="ZA279" s="309"/>
      <c r="ZB279" s="309"/>
      <c r="ZC279" s="309"/>
      <c r="ZD279" s="309"/>
      <c r="ZE279" s="309"/>
      <c r="ZF279" s="309"/>
      <c r="ZG279" s="309"/>
      <c r="ZH279" s="309"/>
      <c r="ZI279" s="309"/>
      <c r="ZJ279" s="309"/>
    </row>
    <row r="280" spans="2:686" s="308" customFormat="1" x14ac:dyDescent="0.3">
      <c r="E280" s="337"/>
      <c r="F280" s="337"/>
      <c r="G280" s="171"/>
      <c r="H280" s="1"/>
      <c r="Y280" s="309"/>
      <c r="Z280" s="309"/>
      <c r="AA280" s="309"/>
      <c r="AB280" s="309"/>
      <c r="AC280" s="309"/>
      <c r="AD280" s="309"/>
      <c r="AE280" s="309"/>
      <c r="AF280" s="309"/>
      <c r="AG280" s="309"/>
      <c r="AH280" s="309"/>
      <c r="AI280" s="309"/>
      <c r="AJ280" s="309"/>
      <c r="AK280" s="309"/>
      <c r="AL280" s="309"/>
      <c r="AM280" s="309"/>
      <c r="AN280" s="309"/>
      <c r="AO280" s="309"/>
      <c r="AP280" s="309"/>
      <c r="AQ280" s="309"/>
      <c r="AR280" s="309"/>
      <c r="AS280" s="309"/>
      <c r="AT280" s="309"/>
      <c r="AU280" s="309"/>
      <c r="AV280" s="309"/>
      <c r="AW280" s="309"/>
      <c r="AX280" s="309"/>
      <c r="AY280" s="309"/>
      <c r="AZ280" s="309"/>
      <c r="BA280" s="309"/>
      <c r="BB280" s="309"/>
      <c r="BC280" s="309"/>
      <c r="BD280" s="309"/>
      <c r="BE280" s="309"/>
      <c r="BF280" s="309"/>
      <c r="BG280" s="309"/>
      <c r="BH280" s="309"/>
      <c r="BI280" s="309"/>
      <c r="BJ280" s="309"/>
      <c r="BK280" s="309"/>
      <c r="BL280" s="309"/>
      <c r="BM280" s="309"/>
      <c r="BN280" s="309"/>
      <c r="BO280" s="309"/>
      <c r="BP280" s="309"/>
      <c r="BQ280" s="309"/>
      <c r="BR280" s="309"/>
      <c r="BS280" s="309"/>
      <c r="BT280" s="309"/>
      <c r="BU280" s="309"/>
      <c r="BV280" s="309"/>
      <c r="BW280" s="309"/>
      <c r="BX280" s="309"/>
      <c r="BY280" s="309"/>
      <c r="BZ280" s="309"/>
      <c r="CA280" s="309"/>
      <c r="CB280" s="309"/>
      <c r="CC280" s="309"/>
      <c r="CD280" s="309"/>
      <c r="CE280" s="309"/>
      <c r="CF280" s="309"/>
      <c r="CG280" s="309"/>
      <c r="CH280" s="309"/>
      <c r="CI280" s="309"/>
      <c r="CJ280" s="309"/>
      <c r="CK280" s="309"/>
      <c r="CL280" s="309"/>
      <c r="CM280" s="309"/>
      <c r="CN280" s="309"/>
      <c r="CO280" s="309"/>
      <c r="CP280" s="309"/>
      <c r="CQ280" s="309"/>
      <c r="CR280" s="309"/>
      <c r="CS280" s="309"/>
      <c r="CT280" s="309"/>
      <c r="CU280" s="309"/>
      <c r="CV280" s="309"/>
      <c r="CW280" s="309"/>
      <c r="CX280" s="309"/>
      <c r="CY280" s="309"/>
      <c r="CZ280" s="309"/>
      <c r="DA280" s="309"/>
      <c r="DB280" s="309"/>
      <c r="DC280" s="309"/>
      <c r="DD280" s="309"/>
      <c r="DE280" s="309"/>
      <c r="DF280" s="309"/>
      <c r="DG280" s="309"/>
      <c r="DH280" s="309"/>
      <c r="DI280" s="309"/>
      <c r="DJ280" s="309"/>
      <c r="DK280" s="309"/>
      <c r="DL280" s="309"/>
      <c r="DM280" s="309"/>
      <c r="DN280" s="309"/>
      <c r="DO280" s="309"/>
      <c r="DP280" s="309"/>
      <c r="DQ280" s="309"/>
      <c r="DR280" s="309"/>
      <c r="DS280" s="309"/>
      <c r="DT280" s="309"/>
      <c r="DU280" s="309"/>
      <c r="DV280" s="309"/>
      <c r="DW280" s="309"/>
      <c r="DX280" s="309"/>
      <c r="DY280" s="309"/>
      <c r="DZ280" s="309"/>
      <c r="EA280" s="309"/>
      <c r="EB280" s="309"/>
      <c r="EC280" s="309"/>
      <c r="ED280" s="309"/>
      <c r="EE280" s="309"/>
      <c r="EF280" s="309"/>
      <c r="EG280" s="309"/>
      <c r="EH280" s="309"/>
      <c r="EI280" s="309"/>
      <c r="EJ280" s="309"/>
      <c r="EK280" s="309"/>
      <c r="EL280" s="309"/>
      <c r="EM280" s="309"/>
      <c r="EN280" s="309"/>
      <c r="EO280" s="309"/>
      <c r="EP280" s="309"/>
      <c r="EQ280" s="309"/>
      <c r="ER280" s="309"/>
      <c r="ES280" s="309"/>
      <c r="ET280" s="309"/>
      <c r="EU280" s="309"/>
      <c r="EV280" s="309"/>
      <c r="EW280" s="309"/>
      <c r="EX280" s="309"/>
      <c r="EY280" s="309"/>
      <c r="EZ280" s="309"/>
      <c r="FA280" s="309"/>
      <c r="FB280" s="309"/>
      <c r="FC280" s="309"/>
      <c r="FD280" s="309"/>
      <c r="FE280" s="309"/>
      <c r="FF280" s="309"/>
      <c r="FG280" s="309"/>
      <c r="FH280" s="309"/>
      <c r="FI280" s="309"/>
      <c r="FJ280" s="309"/>
      <c r="FK280" s="309"/>
      <c r="FL280" s="309"/>
      <c r="FM280" s="309"/>
      <c r="FN280" s="309"/>
      <c r="FO280" s="309"/>
      <c r="FP280" s="309"/>
      <c r="FQ280" s="309"/>
      <c r="FR280" s="309"/>
      <c r="FS280" s="309"/>
      <c r="FT280" s="309"/>
      <c r="FU280" s="309"/>
      <c r="FV280" s="309"/>
      <c r="FW280" s="309"/>
      <c r="FX280" s="309"/>
      <c r="FY280" s="309"/>
      <c r="FZ280" s="309"/>
      <c r="GA280" s="309"/>
      <c r="GB280" s="309"/>
      <c r="GC280" s="309"/>
      <c r="GD280" s="309"/>
      <c r="GE280" s="309"/>
      <c r="GF280" s="309"/>
      <c r="GG280" s="309"/>
      <c r="GH280" s="309"/>
      <c r="GI280" s="309"/>
      <c r="GJ280" s="309"/>
      <c r="GK280" s="309"/>
      <c r="GL280" s="309"/>
      <c r="GM280" s="309"/>
      <c r="GN280" s="309"/>
      <c r="GO280" s="309"/>
      <c r="GP280" s="309"/>
      <c r="GQ280" s="309"/>
      <c r="GR280" s="309"/>
      <c r="GS280" s="309"/>
      <c r="GT280" s="309"/>
      <c r="GU280" s="309"/>
      <c r="GV280" s="309"/>
      <c r="GW280" s="309"/>
      <c r="GX280" s="309"/>
      <c r="GY280" s="309"/>
      <c r="GZ280" s="309"/>
      <c r="HA280" s="309"/>
      <c r="HB280" s="309"/>
      <c r="HC280" s="309"/>
      <c r="HD280" s="309"/>
      <c r="HE280" s="309"/>
      <c r="HF280" s="309"/>
      <c r="HG280" s="309"/>
      <c r="HH280" s="309"/>
      <c r="HI280" s="309"/>
      <c r="HJ280" s="309"/>
      <c r="HK280" s="309"/>
      <c r="HL280" s="309"/>
      <c r="HM280" s="309"/>
      <c r="HN280" s="309"/>
      <c r="HO280" s="309"/>
      <c r="HP280" s="309"/>
      <c r="HQ280" s="309"/>
      <c r="HR280" s="309"/>
      <c r="HS280" s="309"/>
      <c r="HT280" s="309"/>
      <c r="HU280" s="309"/>
      <c r="HV280" s="309"/>
      <c r="HW280" s="309"/>
      <c r="HX280" s="309"/>
      <c r="HY280" s="309"/>
      <c r="HZ280" s="309"/>
      <c r="IA280" s="309"/>
      <c r="IB280" s="309"/>
      <c r="IC280" s="309"/>
      <c r="ID280" s="309"/>
      <c r="IE280" s="309"/>
      <c r="IF280" s="309"/>
      <c r="IG280" s="309"/>
      <c r="IH280" s="309"/>
      <c r="II280" s="309"/>
      <c r="IJ280" s="309"/>
      <c r="IK280" s="309"/>
      <c r="IL280" s="309"/>
      <c r="IM280" s="309"/>
      <c r="IN280" s="309"/>
      <c r="IO280" s="309"/>
      <c r="IP280" s="309"/>
      <c r="IQ280" s="309"/>
      <c r="IR280" s="309"/>
      <c r="IS280" s="309"/>
      <c r="IT280" s="309"/>
      <c r="IU280" s="309"/>
      <c r="IV280" s="309"/>
      <c r="IW280" s="309"/>
      <c r="IX280" s="309"/>
      <c r="IY280" s="309"/>
      <c r="IZ280" s="309"/>
      <c r="JA280" s="309"/>
      <c r="JB280" s="309"/>
      <c r="JC280" s="309"/>
      <c r="JD280" s="309"/>
      <c r="JE280" s="309"/>
      <c r="JF280" s="309"/>
      <c r="JG280" s="309"/>
      <c r="JH280" s="309"/>
      <c r="JI280" s="309"/>
      <c r="JJ280" s="309"/>
      <c r="JK280" s="309"/>
      <c r="JL280" s="309"/>
      <c r="JM280" s="309"/>
      <c r="JN280" s="309"/>
      <c r="JO280" s="309"/>
      <c r="JP280" s="309"/>
      <c r="JQ280" s="309"/>
      <c r="JR280" s="309"/>
      <c r="JS280" s="309"/>
      <c r="JT280" s="309"/>
      <c r="JU280" s="309"/>
      <c r="JV280" s="309"/>
      <c r="JW280" s="309"/>
      <c r="JX280" s="309"/>
      <c r="JY280" s="309"/>
      <c r="JZ280" s="309"/>
      <c r="KA280" s="309"/>
      <c r="KB280" s="309"/>
      <c r="KC280" s="309"/>
      <c r="KD280" s="309"/>
      <c r="KE280" s="309"/>
      <c r="KF280" s="309"/>
      <c r="KG280" s="309"/>
      <c r="KH280" s="309"/>
      <c r="KI280" s="309"/>
      <c r="KJ280" s="309"/>
      <c r="KK280" s="309"/>
      <c r="KL280" s="309"/>
      <c r="KM280" s="309"/>
      <c r="KN280" s="309"/>
      <c r="KO280" s="309"/>
      <c r="KP280" s="309"/>
      <c r="KQ280" s="309"/>
      <c r="KR280" s="309"/>
      <c r="KS280" s="309"/>
      <c r="KT280" s="309"/>
      <c r="KU280" s="309"/>
      <c r="KV280" s="309"/>
      <c r="KW280" s="309"/>
      <c r="KX280" s="309"/>
      <c r="KY280" s="309"/>
      <c r="KZ280" s="309"/>
      <c r="LA280" s="309"/>
      <c r="LB280" s="309"/>
      <c r="LC280" s="309"/>
      <c r="LD280" s="309"/>
      <c r="LE280" s="309"/>
      <c r="LF280" s="309"/>
      <c r="LG280" s="309"/>
      <c r="LH280" s="309"/>
      <c r="LI280" s="309"/>
      <c r="LJ280" s="309"/>
      <c r="LK280" s="309"/>
      <c r="LL280" s="309"/>
      <c r="LM280" s="309"/>
      <c r="LN280" s="309"/>
      <c r="LO280" s="309"/>
      <c r="LP280" s="309"/>
      <c r="LQ280" s="309"/>
      <c r="LR280" s="309"/>
      <c r="LS280" s="309"/>
      <c r="LT280" s="309"/>
      <c r="LU280" s="309"/>
      <c r="LV280" s="309"/>
      <c r="LW280" s="309"/>
      <c r="LX280" s="309"/>
      <c r="LY280" s="309"/>
      <c r="LZ280" s="309"/>
      <c r="MA280" s="309"/>
      <c r="MB280" s="309"/>
      <c r="MC280" s="309"/>
      <c r="MD280" s="309"/>
      <c r="ME280" s="309"/>
      <c r="MF280" s="309"/>
      <c r="MG280" s="309"/>
      <c r="MH280" s="309"/>
      <c r="MI280" s="309"/>
      <c r="MJ280" s="309"/>
      <c r="MK280" s="309"/>
      <c r="ML280" s="309"/>
      <c r="MM280" s="309"/>
      <c r="MN280" s="309"/>
      <c r="MO280" s="309"/>
      <c r="MP280" s="309"/>
      <c r="MQ280" s="309"/>
      <c r="MR280" s="309"/>
      <c r="MS280" s="309"/>
      <c r="MT280" s="309"/>
      <c r="MU280" s="309"/>
      <c r="MV280" s="309"/>
      <c r="MW280" s="309"/>
      <c r="MX280" s="309"/>
      <c r="MY280" s="309"/>
      <c r="MZ280" s="309"/>
      <c r="NA280" s="309"/>
      <c r="NB280" s="309"/>
      <c r="NC280" s="309"/>
      <c r="ND280" s="309"/>
      <c r="NE280" s="309"/>
      <c r="NF280" s="309"/>
      <c r="NG280" s="309"/>
      <c r="NH280" s="309"/>
      <c r="NI280" s="309"/>
      <c r="NJ280" s="309"/>
      <c r="NK280" s="309"/>
      <c r="NL280" s="309"/>
      <c r="NM280" s="309"/>
      <c r="NN280" s="309"/>
      <c r="NO280" s="309"/>
      <c r="NP280" s="309"/>
      <c r="NQ280" s="309"/>
      <c r="NR280" s="309"/>
      <c r="NS280" s="309"/>
      <c r="NT280" s="309"/>
      <c r="NU280" s="309"/>
      <c r="NV280" s="309"/>
      <c r="NW280" s="309"/>
      <c r="NX280" s="309"/>
      <c r="NY280" s="309"/>
      <c r="NZ280" s="309"/>
      <c r="OA280" s="309"/>
      <c r="OB280" s="309"/>
      <c r="OC280" s="309"/>
      <c r="OD280" s="309"/>
      <c r="OE280" s="309"/>
      <c r="OF280" s="309"/>
      <c r="OG280" s="309"/>
      <c r="OH280" s="309"/>
      <c r="OI280" s="309"/>
      <c r="OJ280" s="309"/>
      <c r="OK280" s="309"/>
      <c r="OL280" s="309"/>
      <c r="OM280" s="309"/>
      <c r="ON280" s="309"/>
      <c r="OO280" s="309"/>
      <c r="OP280" s="309"/>
      <c r="OQ280" s="309"/>
      <c r="OR280" s="309"/>
      <c r="OS280" s="309"/>
      <c r="OT280" s="309"/>
      <c r="OU280" s="309"/>
      <c r="OV280" s="309"/>
      <c r="OW280" s="309"/>
      <c r="OX280" s="309"/>
      <c r="OY280" s="309"/>
      <c r="OZ280" s="309"/>
      <c r="PA280" s="309"/>
      <c r="PB280" s="309"/>
      <c r="PC280" s="309"/>
      <c r="PD280" s="309"/>
      <c r="PE280" s="309"/>
      <c r="PF280" s="309"/>
      <c r="PG280" s="309"/>
      <c r="PH280" s="309"/>
      <c r="PI280" s="309"/>
      <c r="PJ280" s="309"/>
      <c r="PK280" s="309"/>
      <c r="PL280" s="309"/>
      <c r="PM280" s="309"/>
      <c r="PN280" s="309"/>
      <c r="PO280" s="309"/>
      <c r="PP280" s="309"/>
      <c r="PQ280" s="309"/>
      <c r="PR280" s="309"/>
      <c r="PS280" s="309"/>
      <c r="PT280" s="309"/>
      <c r="PU280" s="309"/>
      <c r="PV280" s="309"/>
      <c r="PW280" s="309"/>
      <c r="PX280" s="309"/>
      <c r="PY280" s="309"/>
      <c r="PZ280" s="309"/>
      <c r="QA280" s="309"/>
      <c r="QB280" s="309"/>
      <c r="QC280" s="309"/>
      <c r="QD280" s="309"/>
      <c r="QE280" s="309"/>
      <c r="QF280" s="309"/>
      <c r="QG280" s="309"/>
      <c r="QH280" s="309"/>
      <c r="QI280" s="309"/>
      <c r="QJ280" s="309"/>
      <c r="QK280" s="309"/>
      <c r="QL280" s="309"/>
      <c r="QM280" s="309"/>
      <c r="QN280" s="309"/>
      <c r="QO280" s="309"/>
      <c r="QP280" s="309"/>
      <c r="QQ280" s="309"/>
      <c r="QR280" s="309"/>
      <c r="QS280" s="309"/>
      <c r="QT280" s="309"/>
      <c r="QU280" s="309"/>
      <c r="QV280" s="309"/>
      <c r="QW280" s="309"/>
      <c r="QX280" s="309"/>
      <c r="QY280" s="309"/>
      <c r="QZ280" s="309"/>
      <c r="RA280" s="309"/>
      <c r="RB280" s="309"/>
      <c r="RC280" s="309"/>
      <c r="RD280" s="309"/>
      <c r="RE280" s="309"/>
      <c r="RF280" s="309"/>
      <c r="RG280" s="309"/>
      <c r="RH280" s="309"/>
      <c r="RI280" s="309"/>
      <c r="RJ280" s="309"/>
      <c r="RK280" s="309"/>
      <c r="RL280" s="309"/>
      <c r="RM280" s="309"/>
      <c r="RN280" s="309"/>
      <c r="RO280" s="309"/>
      <c r="RP280" s="309"/>
      <c r="RQ280" s="309"/>
      <c r="RR280" s="309"/>
      <c r="RS280" s="309"/>
      <c r="RT280" s="309"/>
      <c r="RU280" s="309"/>
      <c r="RV280" s="309"/>
      <c r="RW280" s="309"/>
      <c r="RX280" s="309"/>
      <c r="RY280" s="309"/>
      <c r="RZ280" s="309"/>
      <c r="SA280" s="309"/>
      <c r="SB280" s="309"/>
      <c r="SC280" s="309"/>
      <c r="SD280" s="309"/>
      <c r="SE280" s="309"/>
      <c r="SF280" s="309"/>
      <c r="SG280" s="309"/>
      <c r="SH280" s="309"/>
      <c r="SI280" s="309"/>
      <c r="SJ280" s="309"/>
      <c r="SK280" s="309"/>
      <c r="SL280" s="309"/>
      <c r="SM280" s="309"/>
      <c r="SN280" s="309"/>
      <c r="SO280" s="309"/>
      <c r="SP280" s="309"/>
      <c r="SQ280" s="309"/>
      <c r="SR280" s="309"/>
      <c r="SS280" s="309"/>
      <c r="ST280" s="309"/>
      <c r="SU280" s="309"/>
      <c r="SV280" s="309"/>
      <c r="SW280" s="309"/>
      <c r="SX280" s="309"/>
      <c r="SY280" s="309"/>
      <c r="SZ280" s="309"/>
      <c r="TA280" s="309"/>
      <c r="TB280" s="309"/>
      <c r="TC280" s="309"/>
      <c r="TD280" s="309"/>
      <c r="TE280" s="309"/>
      <c r="TF280" s="309"/>
      <c r="TG280" s="309"/>
      <c r="TH280" s="309"/>
      <c r="TI280" s="309"/>
      <c r="TJ280" s="309"/>
      <c r="TK280" s="309"/>
      <c r="TL280" s="309"/>
      <c r="TM280" s="309"/>
      <c r="TN280" s="309"/>
      <c r="TO280" s="309"/>
      <c r="TP280" s="309"/>
      <c r="TQ280" s="309"/>
      <c r="TR280" s="309"/>
      <c r="TS280" s="309"/>
      <c r="TT280" s="309"/>
      <c r="TU280" s="309"/>
      <c r="TV280" s="309"/>
      <c r="TW280" s="309"/>
      <c r="TX280" s="309"/>
      <c r="TY280" s="309"/>
      <c r="TZ280" s="309"/>
      <c r="UA280" s="309"/>
      <c r="UB280" s="309"/>
      <c r="UC280" s="309"/>
      <c r="UD280" s="309"/>
      <c r="UE280" s="309"/>
      <c r="UF280" s="309"/>
      <c r="UG280" s="309"/>
      <c r="UH280" s="309"/>
      <c r="UI280" s="309"/>
      <c r="UJ280" s="309"/>
      <c r="UK280" s="309"/>
      <c r="UL280" s="309"/>
      <c r="UM280" s="309"/>
      <c r="UN280" s="309"/>
      <c r="UO280" s="309"/>
      <c r="UP280" s="309"/>
      <c r="UQ280" s="309"/>
      <c r="UR280" s="309"/>
      <c r="US280" s="309"/>
      <c r="UT280" s="309"/>
      <c r="UU280" s="309"/>
      <c r="UV280" s="309"/>
      <c r="UW280" s="309"/>
      <c r="UX280" s="309"/>
      <c r="UY280" s="309"/>
      <c r="UZ280" s="309"/>
      <c r="VA280" s="309"/>
      <c r="VB280" s="309"/>
      <c r="VC280" s="309"/>
      <c r="VD280" s="309"/>
      <c r="VE280" s="309"/>
      <c r="VF280" s="309"/>
      <c r="VG280" s="309"/>
      <c r="VH280" s="309"/>
      <c r="VI280" s="309"/>
      <c r="VJ280" s="309"/>
      <c r="VK280" s="309"/>
      <c r="VL280" s="309"/>
      <c r="VM280" s="309"/>
      <c r="VN280" s="309"/>
      <c r="VO280" s="309"/>
      <c r="VP280" s="309"/>
      <c r="VQ280" s="309"/>
      <c r="VR280" s="309"/>
      <c r="VS280" s="309"/>
      <c r="VT280" s="309"/>
      <c r="VU280" s="309"/>
      <c r="VV280" s="309"/>
      <c r="VW280" s="309"/>
      <c r="VX280" s="309"/>
      <c r="VY280" s="309"/>
      <c r="VZ280" s="309"/>
      <c r="WA280" s="309"/>
      <c r="WB280" s="309"/>
      <c r="WC280" s="309"/>
      <c r="WD280" s="309"/>
      <c r="WE280" s="309"/>
      <c r="WF280" s="309"/>
      <c r="WG280" s="309"/>
      <c r="WH280" s="309"/>
      <c r="WI280" s="309"/>
      <c r="WJ280" s="309"/>
      <c r="WK280" s="309"/>
      <c r="WL280" s="309"/>
      <c r="WM280" s="309"/>
      <c r="WN280" s="309"/>
      <c r="WO280" s="309"/>
      <c r="WP280" s="309"/>
      <c r="WQ280" s="309"/>
      <c r="WR280" s="309"/>
      <c r="WS280" s="309"/>
      <c r="WT280" s="309"/>
      <c r="WU280" s="309"/>
      <c r="WV280" s="309"/>
      <c r="WW280" s="309"/>
      <c r="WX280" s="309"/>
      <c r="WY280" s="309"/>
      <c r="WZ280" s="309"/>
      <c r="XA280" s="309"/>
      <c r="XB280" s="309"/>
      <c r="XC280" s="309"/>
      <c r="XD280" s="309"/>
      <c r="XE280" s="309"/>
      <c r="XF280" s="309"/>
      <c r="XG280" s="309"/>
      <c r="XH280" s="309"/>
      <c r="XI280" s="309"/>
      <c r="XJ280" s="309"/>
      <c r="XK280" s="309"/>
      <c r="XL280" s="309"/>
      <c r="XM280" s="309"/>
      <c r="XN280" s="309"/>
      <c r="XO280" s="309"/>
      <c r="XP280" s="309"/>
      <c r="XQ280" s="309"/>
      <c r="XR280" s="309"/>
      <c r="XS280" s="309"/>
      <c r="XT280" s="309"/>
      <c r="XU280" s="309"/>
      <c r="XV280" s="309"/>
      <c r="XW280" s="309"/>
      <c r="XX280" s="309"/>
      <c r="XY280" s="309"/>
      <c r="XZ280" s="309"/>
      <c r="YA280" s="309"/>
      <c r="YB280" s="309"/>
      <c r="YC280" s="309"/>
      <c r="YD280" s="309"/>
      <c r="YE280" s="309"/>
      <c r="YF280" s="309"/>
      <c r="YG280" s="309"/>
      <c r="YH280" s="309"/>
      <c r="YI280" s="309"/>
      <c r="YJ280" s="309"/>
      <c r="YK280" s="309"/>
      <c r="YL280" s="309"/>
      <c r="YM280" s="309"/>
      <c r="YN280" s="309"/>
      <c r="YO280" s="309"/>
      <c r="YP280" s="309"/>
      <c r="YQ280" s="309"/>
      <c r="YR280" s="309"/>
      <c r="YS280" s="309"/>
      <c r="YT280" s="309"/>
      <c r="YU280" s="309"/>
      <c r="YV280" s="309"/>
      <c r="YW280" s="309"/>
      <c r="YX280" s="309"/>
      <c r="YY280" s="309"/>
      <c r="YZ280" s="309"/>
      <c r="ZA280" s="309"/>
      <c r="ZB280" s="309"/>
      <c r="ZC280" s="309"/>
      <c r="ZD280" s="309"/>
      <c r="ZE280" s="309"/>
      <c r="ZF280" s="309"/>
      <c r="ZG280" s="309"/>
      <c r="ZH280" s="309"/>
      <c r="ZI280" s="309"/>
      <c r="ZJ280" s="309"/>
    </row>
    <row r="281" spans="2:686" s="308" customFormat="1" x14ac:dyDescent="0.3">
      <c r="B281" s="309"/>
      <c r="C281" s="309"/>
      <c r="E281" s="340"/>
      <c r="F281" s="340"/>
      <c r="G281" s="171"/>
      <c r="H281" s="1"/>
      <c r="Y281" s="309"/>
      <c r="Z281" s="309"/>
      <c r="AA281" s="309"/>
      <c r="AB281" s="309"/>
      <c r="AC281" s="309"/>
      <c r="AD281" s="309"/>
      <c r="AE281" s="309"/>
      <c r="AF281" s="309"/>
      <c r="AG281" s="309"/>
      <c r="AH281" s="309"/>
      <c r="AI281" s="309"/>
      <c r="AJ281" s="309"/>
      <c r="AK281" s="309"/>
      <c r="AL281" s="309"/>
      <c r="AM281" s="309"/>
      <c r="AN281" s="309"/>
      <c r="AO281" s="309"/>
      <c r="AP281" s="309"/>
      <c r="AQ281" s="309"/>
      <c r="AR281" s="309"/>
      <c r="AS281" s="309"/>
      <c r="AT281" s="309"/>
      <c r="AU281" s="309"/>
      <c r="AV281" s="309"/>
      <c r="AW281" s="309"/>
      <c r="AX281" s="309"/>
      <c r="AY281" s="309"/>
      <c r="AZ281" s="309"/>
      <c r="BA281" s="309"/>
      <c r="BB281" s="309"/>
      <c r="BC281" s="309"/>
      <c r="BD281" s="309"/>
      <c r="BE281" s="309"/>
      <c r="BF281" s="309"/>
      <c r="BG281" s="309"/>
      <c r="BH281" s="309"/>
      <c r="BI281" s="309"/>
      <c r="BJ281" s="309"/>
      <c r="BK281" s="309"/>
      <c r="BL281" s="309"/>
      <c r="BM281" s="309"/>
      <c r="BN281" s="309"/>
      <c r="BO281" s="309"/>
      <c r="BP281" s="309"/>
      <c r="BQ281" s="309"/>
      <c r="BR281" s="309"/>
      <c r="BS281" s="309"/>
      <c r="BT281" s="309"/>
      <c r="BU281" s="309"/>
      <c r="BV281" s="309"/>
      <c r="BW281" s="309"/>
      <c r="BX281" s="309"/>
      <c r="BY281" s="309"/>
      <c r="BZ281" s="309"/>
      <c r="CA281" s="309"/>
      <c r="CB281" s="309"/>
      <c r="CC281" s="309"/>
      <c r="CD281" s="309"/>
      <c r="CE281" s="309"/>
      <c r="CF281" s="309"/>
      <c r="CG281" s="309"/>
      <c r="CH281" s="309"/>
      <c r="CI281" s="309"/>
      <c r="CJ281" s="309"/>
      <c r="CK281" s="309"/>
      <c r="CL281" s="309"/>
      <c r="CM281" s="309"/>
      <c r="CN281" s="309"/>
      <c r="CO281" s="309"/>
      <c r="CP281" s="309"/>
      <c r="CQ281" s="309"/>
      <c r="CR281" s="309"/>
      <c r="CS281" s="309"/>
      <c r="CT281" s="309"/>
      <c r="CU281" s="309"/>
      <c r="CV281" s="309"/>
      <c r="CW281" s="309"/>
      <c r="CX281" s="309"/>
      <c r="CY281" s="309"/>
      <c r="CZ281" s="309"/>
      <c r="DA281" s="309"/>
      <c r="DB281" s="309"/>
      <c r="DC281" s="309"/>
      <c r="DD281" s="309"/>
      <c r="DE281" s="309"/>
      <c r="DF281" s="309"/>
      <c r="DG281" s="309"/>
      <c r="DH281" s="309"/>
      <c r="DI281" s="309"/>
      <c r="DJ281" s="309"/>
      <c r="DK281" s="309"/>
      <c r="DL281" s="309"/>
      <c r="DM281" s="309"/>
      <c r="DN281" s="309"/>
      <c r="DO281" s="309"/>
      <c r="DP281" s="309"/>
      <c r="DQ281" s="309"/>
      <c r="DR281" s="309"/>
      <c r="DS281" s="309"/>
      <c r="DT281" s="309"/>
      <c r="DU281" s="309"/>
      <c r="DV281" s="309"/>
      <c r="DW281" s="309"/>
      <c r="DX281" s="309"/>
      <c r="DY281" s="309"/>
      <c r="DZ281" s="309"/>
      <c r="EA281" s="309"/>
      <c r="EB281" s="309"/>
      <c r="EC281" s="309"/>
      <c r="ED281" s="309"/>
      <c r="EE281" s="309"/>
      <c r="EF281" s="309"/>
      <c r="EG281" s="309"/>
      <c r="EH281" s="309"/>
      <c r="EI281" s="309"/>
      <c r="EJ281" s="309"/>
      <c r="EK281" s="309"/>
      <c r="EL281" s="309"/>
      <c r="EM281" s="309"/>
      <c r="EN281" s="309"/>
      <c r="EO281" s="309"/>
      <c r="EP281" s="309"/>
      <c r="EQ281" s="309"/>
      <c r="ER281" s="309"/>
      <c r="ES281" s="309"/>
      <c r="ET281" s="309"/>
      <c r="EU281" s="309"/>
      <c r="EV281" s="309"/>
      <c r="EW281" s="309"/>
      <c r="EX281" s="309"/>
      <c r="EY281" s="309"/>
      <c r="EZ281" s="309"/>
      <c r="FA281" s="309"/>
      <c r="FB281" s="309"/>
      <c r="FC281" s="309"/>
      <c r="FD281" s="309"/>
      <c r="FE281" s="309"/>
      <c r="FF281" s="309"/>
      <c r="FG281" s="309"/>
      <c r="FH281" s="309"/>
      <c r="FI281" s="309"/>
      <c r="FJ281" s="309"/>
      <c r="FK281" s="309"/>
      <c r="FL281" s="309"/>
      <c r="FM281" s="309"/>
      <c r="FN281" s="309"/>
      <c r="FO281" s="309"/>
      <c r="FP281" s="309"/>
      <c r="FQ281" s="309"/>
      <c r="FR281" s="309"/>
      <c r="FS281" s="309"/>
      <c r="FT281" s="309"/>
      <c r="FU281" s="309"/>
      <c r="FV281" s="309"/>
      <c r="FW281" s="309"/>
      <c r="FX281" s="309"/>
      <c r="FY281" s="309"/>
      <c r="FZ281" s="309"/>
      <c r="GA281" s="309"/>
      <c r="GB281" s="309"/>
      <c r="GC281" s="309"/>
      <c r="GD281" s="309"/>
      <c r="GE281" s="309"/>
      <c r="GF281" s="309"/>
      <c r="GG281" s="309"/>
      <c r="GH281" s="309"/>
      <c r="GI281" s="309"/>
      <c r="GJ281" s="309"/>
      <c r="GK281" s="309"/>
      <c r="GL281" s="309"/>
      <c r="GM281" s="309"/>
      <c r="GN281" s="309"/>
      <c r="GO281" s="309"/>
      <c r="GP281" s="309"/>
      <c r="GQ281" s="309"/>
      <c r="GR281" s="309"/>
      <c r="GS281" s="309"/>
      <c r="GT281" s="309"/>
      <c r="GU281" s="309"/>
      <c r="GV281" s="309"/>
      <c r="GW281" s="309"/>
      <c r="GX281" s="309"/>
      <c r="GY281" s="309"/>
      <c r="GZ281" s="309"/>
      <c r="HA281" s="309"/>
      <c r="HB281" s="309"/>
      <c r="HC281" s="309"/>
      <c r="HD281" s="309"/>
      <c r="HE281" s="309"/>
      <c r="HF281" s="309"/>
      <c r="HG281" s="309"/>
      <c r="HH281" s="309"/>
      <c r="HI281" s="309"/>
      <c r="HJ281" s="309"/>
      <c r="HK281" s="309"/>
      <c r="HL281" s="309"/>
      <c r="HM281" s="309"/>
      <c r="HN281" s="309"/>
      <c r="HO281" s="309"/>
      <c r="HP281" s="309"/>
      <c r="HQ281" s="309"/>
      <c r="HR281" s="309"/>
      <c r="HS281" s="309"/>
      <c r="HT281" s="309"/>
      <c r="HU281" s="309"/>
      <c r="HV281" s="309"/>
      <c r="HW281" s="309"/>
      <c r="HX281" s="309"/>
      <c r="HY281" s="309"/>
      <c r="HZ281" s="309"/>
      <c r="IA281" s="309"/>
      <c r="IB281" s="309"/>
      <c r="IC281" s="309"/>
      <c r="ID281" s="309"/>
      <c r="IE281" s="309"/>
      <c r="IF281" s="309"/>
      <c r="IG281" s="309"/>
      <c r="IH281" s="309"/>
      <c r="II281" s="309"/>
      <c r="IJ281" s="309"/>
      <c r="IK281" s="309"/>
      <c r="IL281" s="309"/>
      <c r="IM281" s="309"/>
      <c r="IN281" s="309"/>
      <c r="IO281" s="309"/>
      <c r="IP281" s="309"/>
      <c r="IQ281" s="309"/>
      <c r="IR281" s="309"/>
      <c r="IS281" s="309"/>
      <c r="IT281" s="309"/>
      <c r="IU281" s="309"/>
      <c r="IV281" s="309"/>
      <c r="IW281" s="309"/>
      <c r="IX281" s="309"/>
      <c r="IY281" s="309"/>
      <c r="IZ281" s="309"/>
      <c r="JA281" s="309"/>
      <c r="JB281" s="309"/>
      <c r="JC281" s="309"/>
      <c r="JD281" s="309"/>
      <c r="JE281" s="309"/>
      <c r="JF281" s="309"/>
      <c r="JG281" s="309"/>
      <c r="JH281" s="309"/>
      <c r="JI281" s="309"/>
      <c r="JJ281" s="309"/>
      <c r="JK281" s="309"/>
      <c r="JL281" s="309"/>
      <c r="JM281" s="309"/>
      <c r="JN281" s="309"/>
      <c r="JO281" s="309"/>
      <c r="JP281" s="309"/>
      <c r="JQ281" s="309"/>
      <c r="JR281" s="309"/>
      <c r="JS281" s="309"/>
      <c r="JT281" s="309"/>
      <c r="JU281" s="309"/>
      <c r="JV281" s="309"/>
      <c r="JW281" s="309"/>
      <c r="JX281" s="309"/>
      <c r="JY281" s="309"/>
      <c r="JZ281" s="309"/>
      <c r="KA281" s="309"/>
      <c r="KB281" s="309"/>
      <c r="KC281" s="309"/>
      <c r="KD281" s="309"/>
      <c r="KE281" s="309"/>
      <c r="KF281" s="309"/>
      <c r="KG281" s="309"/>
      <c r="KH281" s="309"/>
      <c r="KI281" s="309"/>
      <c r="KJ281" s="309"/>
      <c r="KK281" s="309"/>
      <c r="KL281" s="309"/>
      <c r="KM281" s="309"/>
      <c r="KN281" s="309"/>
      <c r="KO281" s="309"/>
      <c r="KP281" s="309"/>
      <c r="KQ281" s="309"/>
      <c r="KR281" s="309"/>
      <c r="KS281" s="309"/>
      <c r="KT281" s="309"/>
      <c r="KU281" s="309"/>
      <c r="KV281" s="309"/>
      <c r="KW281" s="309"/>
      <c r="KX281" s="309"/>
      <c r="KY281" s="309"/>
      <c r="KZ281" s="309"/>
      <c r="LA281" s="309"/>
      <c r="LB281" s="309"/>
      <c r="LC281" s="309"/>
      <c r="LD281" s="309"/>
      <c r="LE281" s="309"/>
      <c r="LF281" s="309"/>
      <c r="LG281" s="309"/>
      <c r="LH281" s="309"/>
      <c r="LI281" s="309"/>
      <c r="LJ281" s="309"/>
      <c r="LK281" s="309"/>
      <c r="LL281" s="309"/>
      <c r="LM281" s="309"/>
      <c r="LN281" s="309"/>
      <c r="LO281" s="309"/>
      <c r="LP281" s="309"/>
      <c r="LQ281" s="309"/>
      <c r="LR281" s="309"/>
      <c r="LS281" s="309"/>
      <c r="LT281" s="309"/>
      <c r="LU281" s="309"/>
      <c r="LV281" s="309"/>
      <c r="LW281" s="309"/>
      <c r="LX281" s="309"/>
      <c r="LY281" s="309"/>
      <c r="LZ281" s="309"/>
      <c r="MA281" s="309"/>
      <c r="MB281" s="309"/>
      <c r="MC281" s="309"/>
      <c r="MD281" s="309"/>
      <c r="ME281" s="309"/>
      <c r="MF281" s="309"/>
      <c r="MG281" s="309"/>
      <c r="MH281" s="309"/>
      <c r="MI281" s="309"/>
      <c r="MJ281" s="309"/>
      <c r="MK281" s="309"/>
      <c r="ML281" s="309"/>
      <c r="MM281" s="309"/>
      <c r="MN281" s="309"/>
      <c r="MO281" s="309"/>
      <c r="MP281" s="309"/>
      <c r="MQ281" s="309"/>
      <c r="MR281" s="309"/>
      <c r="MS281" s="309"/>
      <c r="MT281" s="309"/>
      <c r="MU281" s="309"/>
      <c r="MV281" s="309"/>
      <c r="MW281" s="309"/>
      <c r="MX281" s="309"/>
      <c r="MY281" s="309"/>
      <c r="MZ281" s="309"/>
      <c r="NA281" s="309"/>
      <c r="NB281" s="309"/>
      <c r="NC281" s="309"/>
      <c r="ND281" s="309"/>
      <c r="NE281" s="309"/>
      <c r="NF281" s="309"/>
      <c r="NG281" s="309"/>
      <c r="NH281" s="309"/>
      <c r="NI281" s="309"/>
      <c r="NJ281" s="309"/>
      <c r="NK281" s="309"/>
      <c r="NL281" s="309"/>
      <c r="NM281" s="309"/>
      <c r="NN281" s="309"/>
      <c r="NO281" s="309"/>
      <c r="NP281" s="309"/>
      <c r="NQ281" s="309"/>
      <c r="NR281" s="309"/>
      <c r="NS281" s="309"/>
      <c r="NT281" s="309"/>
      <c r="NU281" s="309"/>
      <c r="NV281" s="309"/>
      <c r="NW281" s="309"/>
      <c r="NX281" s="309"/>
      <c r="NY281" s="309"/>
      <c r="NZ281" s="309"/>
      <c r="OA281" s="309"/>
      <c r="OB281" s="309"/>
      <c r="OC281" s="309"/>
      <c r="OD281" s="309"/>
      <c r="OE281" s="309"/>
      <c r="OF281" s="309"/>
      <c r="OG281" s="309"/>
      <c r="OH281" s="309"/>
      <c r="OI281" s="309"/>
      <c r="OJ281" s="309"/>
      <c r="OK281" s="309"/>
      <c r="OL281" s="309"/>
      <c r="OM281" s="309"/>
      <c r="ON281" s="309"/>
      <c r="OO281" s="309"/>
      <c r="OP281" s="309"/>
      <c r="OQ281" s="309"/>
      <c r="OR281" s="309"/>
      <c r="OS281" s="309"/>
      <c r="OT281" s="309"/>
      <c r="OU281" s="309"/>
      <c r="OV281" s="309"/>
      <c r="OW281" s="309"/>
      <c r="OX281" s="309"/>
      <c r="OY281" s="309"/>
      <c r="OZ281" s="309"/>
      <c r="PA281" s="309"/>
      <c r="PB281" s="309"/>
      <c r="PC281" s="309"/>
      <c r="PD281" s="309"/>
      <c r="PE281" s="309"/>
      <c r="PF281" s="309"/>
      <c r="PG281" s="309"/>
      <c r="PH281" s="309"/>
      <c r="PI281" s="309"/>
      <c r="PJ281" s="309"/>
      <c r="PK281" s="309"/>
      <c r="PL281" s="309"/>
      <c r="PM281" s="309"/>
      <c r="PN281" s="309"/>
      <c r="PO281" s="309"/>
      <c r="PP281" s="309"/>
      <c r="PQ281" s="309"/>
      <c r="PR281" s="309"/>
      <c r="PS281" s="309"/>
      <c r="PT281" s="309"/>
      <c r="PU281" s="309"/>
      <c r="PV281" s="309"/>
      <c r="PW281" s="309"/>
      <c r="PX281" s="309"/>
      <c r="PY281" s="309"/>
      <c r="PZ281" s="309"/>
      <c r="QA281" s="309"/>
      <c r="QB281" s="309"/>
      <c r="QC281" s="309"/>
      <c r="QD281" s="309"/>
      <c r="QE281" s="309"/>
      <c r="QF281" s="309"/>
      <c r="QG281" s="309"/>
      <c r="QH281" s="309"/>
      <c r="QI281" s="309"/>
      <c r="QJ281" s="309"/>
      <c r="QK281" s="309"/>
      <c r="QL281" s="309"/>
      <c r="QM281" s="309"/>
      <c r="QN281" s="309"/>
      <c r="QO281" s="309"/>
      <c r="QP281" s="309"/>
      <c r="QQ281" s="309"/>
      <c r="QR281" s="309"/>
      <c r="QS281" s="309"/>
      <c r="QT281" s="309"/>
      <c r="QU281" s="309"/>
      <c r="QV281" s="309"/>
      <c r="QW281" s="309"/>
      <c r="QX281" s="309"/>
      <c r="QY281" s="309"/>
      <c r="QZ281" s="309"/>
      <c r="RA281" s="309"/>
      <c r="RB281" s="309"/>
      <c r="RC281" s="309"/>
      <c r="RD281" s="309"/>
      <c r="RE281" s="309"/>
      <c r="RF281" s="309"/>
      <c r="RG281" s="309"/>
      <c r="RH281" s="309"/>
      <c r="RI281" s="309"/>
      <c r="RJ281" s="309"/>
      <c r="RK281" s="309"/>
      <c r="RL281" s="309"/>
      <c r="RM281" s="309"/>
      <c r="RN281" s="309"/>
      <c r="RO281" s="309"/>
      <c r="RP281" s="309"/>
      <c r="RQ281" s="309"/>
      <c r="RR281" s="309"/>
      <c r="RS281" s="309"/>
      <c r="RT281" s="309"/>
      <c r="RU281" s="309"/>
      <c r="RV281" s="309"/>
      <c r="RW281" s="309"/>
      <c r="RX281" s="309"/>
      <c r="RY281" s="309"/>
      <c r="RZ281" s="309"/>
      <c r="SA281" s="309"/>
      <c r="SB281" s="309"/>
      <c r="SC281" s="309"/>
      <c r="SD281" s="309"/>
      <c r="SE281" s="309"/>
      <c r="SF281" s="309"/>
      <c r="SG281" s="309"/>
      <c r="SH281" s="309"/>
      <c r="SI281" s="309"/>
      <c r="SJ281" s="309"/>
      <c r="SK281" s="309"/>
      <c r="SL281" s="309"/>
      <c r="SM281" s="309"/>
      <c r="SN281" s="309"/>
      <c r="SO281" s="309"/>
      <c r="SP281" s="309"/>
      <c r="SQ281" s="309"/>
      <c r="SR281" s="309"/>
      <c r="SS281" s="309"/>
      <c r="ST281" s="309"/>
      <c r="SU281" s="309"/>
      <c r="SV281" s="309"/>
      <c r="SW281" s="309"/>
      <c r="SX281" s="309"/>
      <c r="SY281" s="309"/>
      <c r="SZ281" s="309"/>
      <c r="TA281" s="309"/>
      <c r="TB281" s="309"/>
      <c r="TC281" s="309"/>
      <c r="TD281" s="309"/>
      <c r="TE281" s="309"/>
      <c r="TF281" s="309"/>
      <c r="TG281" s="309"/>
      <c r="TH281" s="309"/>
      <c r="TI281" s="309"/>
      <c r="TJ281" s="309"/>
      <c r="TK281" s="309"/>
      <c r="TL281" s="309"/>
      <c r="TM281" s="309"/>
      <c r="TN281" s="309"/>
      <c r="TO281" s="309"/>
      <c r="TP281" s="309"/>
      <c r="TQ281" s="309"/>
      <c r="TR281" s="309"/>
      <c r="TS281" s="309"/>
      <c r="TT281" s="309"/>
      <c r="TU281" s="309"/>
      <c r="TV281" s="309"/>
      <c r="TW281" s="309"/>
      <c r="TX281" s="309"/>
      <c r="TY281" s="309"/>
      <c r="TZ281" s="309"/>
      <c r="UA281" s="309"/>
      <c r="UB281" s="309"/>
      <c r="UC281" s="309"/>
      <c r="UD281" s="309"/>
      <c r="UE281" s="309"/>
      <c r="UF281" s="309"/>
      <c r="UG281" s="309"/>
      <c r="UH281" s="309"/>
      <c r="UI281" s="309"/>
      <c r="UJ281" s="309"/>
      <c r="UK281" s="309"/>
      <c r="UL281" s="309"/>
      <c r="UM281" s="309"/>
      <c r="UN281" s="309"/>
      <c r="UO281" s="309"/>
      <c r="UP281" s="309"/>
      <c r="UQ281" s="309"/>
      <c r="UR281" s="309"/>
      <c r="US281" s="309"/>
      <c r="UT281" s="309"/>
      <c r="UU281" s="309"/>
      <c r="UV281" s="309"/>
      <c r="UW281" s="309"/>
      <c r="UX281" s="309"/>
      <c r="UY281" s="309"/>
      <c r="UZ281" s="309"/>
      <c r="VA281" s="309"/>
      <c r="VB281" s="309"/>
      <c r="VC281" s="309"/>
      <c r="VD281" s="309"/>
      <c r="VE281" s="309"/>
      <c r="VF281" s="309"/>
      <c r="VG281" s="309"/>
      <c r="VH281" s="309"/>
      <c r="VI281" s="309"/>
      <c r="VJ281" s="309"/>
      <c r="VK281" s="309"/>
      <c r="VL281" s="309"/>
      <c r="VM281" s="309"/>
      <c r="VN281" s="309"/>
      <c r="VO281" s="309"/>
      <c r="VP281" s="309"/>
      <c r="VQ281" s="309"/>
      <c r="VR281" s="309"/>
      <c r="VS281" s="309"/>
      <c r="VT281" s="309"/>
      <c r="VU281" s="309"/>
      <c r="VV281" s="309"/>
      <c r="VW281" s="309"/>
      <c r="VX281" s="309"/>
      <c r="VY281" s="309"/>
      <c r="VZ281" s="309"/>
      <c r="WA281" s="309"/>
      <c r="WB281" s="309"/>
      <c r="WC281" s="309"/>
      <c r="WD281" s="309"/>
      <c r="WE281" s="309"/>
      <c r="WF281" s="309"/>
      <c r="WG281" s="309"/>
      <c r="WH281" s="309"/>
      <c r="WI281" s="309"/>
      <c r="WJ281" s="309"/>
      <c r="WK281" s="309"/>
      <c r="WL281" s="309"/>
      <c r="WM281" s="309"/>
      <c r="WN281" s="309"/>
      <c r="WO281" s="309"/>
      <c r="WP281" s="309"/>
      <c r="WQ281" s="309"/>
      <c r="WR281" s="309"/>
      <c r="WS281" s="309"/>
      <c r="WT281" s="309"/>
      <c r="WU281" s="309"/>
      <c r="WV281" s="309"/>
      <c r="WW281" s="309"/>
      <c r="WX281" s="309"/>
      <c r="WY281" s="309"/>
      <c r="WZ281" s="309"/>
      <c r="XA281" s="309"/>
      <c r="XB281" s="309"/>
      <c r="XC281" s="309"/>
      <c r="XD281" s="309"/>
      <c r="XE281" s="309"/>
      <c r="XF281" s="309"/>
      <c r="XG281" s="309"/>
      <c r="XH281" s="309"/>
      <c r="XI281" s="309"/>
      <c r="XJ281" s="309"/>
      <c r="XK281" s="309"/>
      <c r="XL281" s="309"/>
      <c r="XM281" s="309"/>
      <c r="XN281" s="309"/>
      <c r="XO281" s="309"/>
      <c r="XP281" s="309"/>
      <c r="XQ281" s="309"/>
      <c r="XR281" s="309"/>
      <c r="XS281" s="309"/>
      <c r="XT281" s="309"/>
      <c r="XU281" s="309"/>
      <c r="XV281" s="309"/>
      <c r="XW281" s="309"/>
      <c r="XX281" s="309"/>
      <c r="XY281" s="309"/>
      <c r="XZ281" s="309"/>
      <c r="YA281" s="309"/>
      <c r="YB281" s="309"/>
      <c r="YC281" s="309"/>
      <c r="YD281" s="309"/>
      <c r="YE281" s="309"/>
      <c r="YF281" s="309"/>
      <c r="YG281" s="309"/>
      <c r="YH281" s="309"/>
      <c r="YI281" s="309"/>
      <c r="YJ281" s="309"/>
      <c r="YK281" s="309"/>
      <c r="YL281" s="309"/>
      <c r="YM281" s="309"/>
      <c r="YN281" s="309"/>
      <c r="YO281" s="309"/>
      <c r="YP281" s="309"/>
      <c r="YQ281" s="309"/>
      <c r="YR281" s="309"/>
      <c r="YS281" s="309"/>
      <c r="YT281" s="309"/>
      <c r="YU281" s="309"/>
      <c r="YV281" s="309"/>
      <c r="YW281" s="309"/>
      <c r="YX281" s="309"/>
      <c r="YY281" s="309"/>
      <c r="YZ281" s="309"/>
      <c r="ZA281" s="309"/>
      <c r="ZB281" s="309"/>
      <c r="ZC281" s="309"/>
      <c r="ZD281" s="309"/>
      <c r="ZE281" s="309"/>
      <c r="ZF281" s="309"/>
      <c r="ZG281" s="309"/>
      <c r="ZH281" s="309"/>
      <c r="ZI281" s="309"/>
      <c r="ZJ281" s="309"/>
    </row>
    <row r="282" spans="2:686" s="308" customFormat="1" x14ac:dyDescent="0.3">
      <c r="B282" s="309"/>
      <c r="C282" s="309"/>
      <c r="E282" s="340"/>
      <c r="F282" s="340"/>
      <c r="G282" s="171"/>
      <c r="H282" s="1"/>
      <c r="Y282" s="309"/>
      <c r="Z282" s="309"/>
      <c r="AA282" s="309"/>
      <c r="AB282" s="309"/>
      <c r="AC282" s="309"/>
      <c r="AD282" s="309"/>
      <c r="AE282" s="309"/>
      <c r="AF282" s="309"/>
      <c r="AG282" s="309"/>
      <c r="AH282" s="309"/>
      <c r="AI282" s="309"/>
      <c r="AJ282" s="309"/>
      <c r="AK282" s="309"/>
      <c r="AL282" s="309"/>
      <c r="AM282" s="309"/>
      <c r="AN282" s="309"/>
      <c r="AO282" s="309"/>
      <c r="AP282" s="309"/>
      <c r="AQ282" s="309"/>
      <c r="AR282" s="309"/>
      <c r="AS282" s="309"/>
      <c r="AT282" s="309"/>
      <c r="AU282" s="309"/>
      <c r="AV282" s="309"/>
      <c r="AW282" s="309"/>
      <c r="AX282" s="309"/>
      <c r="AY282" s="309"/>
      <c r="AZ282" s="309"/>
      <c r="BA282" s="309"/>
      <c r="BB282" s="309"/>
      <c r="BC282" s="309"/>
      <c r="BD282" s="309"/>
      <c r="BE282" s="309"/>
      <c r="BF282" s="309"/>
      <c r="BG282" s="309"/>
      <c r="BH282" s="309"/>
      <c r="BI282" s="309"/>
      <c r="BJ282" s="309"/>
      <c r="BK282" s="309"/>
      <c r="BL282" s="309"/>
      <c r="BM282" s="309"/>
      <c r="BN282" s="309"/>
      <c r="BO282" s="309"/>
      <c r="BP282" s="309"/>
      <c r="BQ282" s="309"/>
      <c r="BR282" s="309"/>
      <c r="BS282" s="309"/>
      <c r="BT282" s="309"/>
      <c r="BU282" s="309"/>
      <c r="BV282" s="309"/>
      <c r="BW282" s="309"/>
      <c r="BX282" s="309"/>
      <c r="BY282" s="309"/>
      <c r="BZ282" s="309"/>
      <c r="CA282" s="309"/>
      <c r="CB282" s="309"/>
      <c r="CC282" s="309"/>
      <c r="CD282" s="309"/>
      <c r="CE282" s="309"/>
      <c r="CF282" s="309"/>
      <c r="CG282" s="309"/>
      <c r="CH282" s="309"/>
      <c r="CI282" s="309"/>
      <c r="CJ282" s="309"/>
      <c r="CK282" s="309"/>
      <c r="CL282" s="309"/>
      <c r="CM282" s="309"/>
      <c r="CN282" s="309"/>
      <c r="CO282" s="309"/>
      <c r="CP282" s="309"/>
      <c r="CQ282" s="309"/>
      <c r="CR282" s="309"/>
      <c r="CS282" s="309"/>
      <c r="CT282" s="309"/>
      <c r="CU282" s="309"/>
      <c r="CV282" s="309"/>
      <c r="CW282" s="309"/>
      <c r="CX282" s="309"/>
      <c r="CY282" s="309"/>
      <c r="CZ282" s="309"/>
      <c r="DA282" s="309"/>
      <c r="DB282" s="309"/>
      <c r="DC282" s="309"/>
      <c r="DD282" s="309"/>
      <c r="DE282" s="309"/>
      <c r="DF282" s="309"/>
      <c r="DG282" s="309"/>
      <c r="DH282" s="309"/>
      <c r="DI282" s="309"/>
      <c r="DJ282" s="309"/>
      <c r="DK282" s="309"/>
      <c r="DL282" s="309"/>
      <c r="DM282" s="309"/>
      <c r="DN282" s="309"/>
      <c r="DO282" s="309"/>
      <c r="DP282" s="309"/>
      <c r="DQ282" s="309"/>
      <c r="DR282" s="309"/>
      <c r="DS282" s="309"/>
      <c r="DT282" s="309"/>
      <c r="DU282" s="309"/>
      <c r="DV282" s="309"/>
      <c r="DW282" s="309"/>
      <c r="DX282" s="309"/>
      <c r="DY282" s="309"/>
      <c r="DZ282" s="309"/>
      <c r="EA282" s="309"/>
      <c r="EB282" s="309"/>
      <c r="EC282" s="309"/>
      <c r="ED282" s="309"/>
      <c r="EE282" s="309"/>
      <c r="EF282" s="309"/>
      <c r="EG282" s="309"/>
      <c r="EH282" s="309"/>
      <c r="EI282" s="309"/>
      <c r="EJ282" s="309"/>
      <c r="EK282" s="309"/>
      <c r="EL282" s="309"/>
      <c r="EM282" s="309"/>
      <c r="EN282" s="309"/>
      <c r="EO282" s="309"/>
      <c r="EP282" s="309"/>
      <c r="EQ282" s="309"/>
      <c r="ER282" s="309"/>
      <c r="ES282" s="309"/>
      <c r="ET282" s="309"/>
      <c r="EU282" s="309"/>
      <c r="EV282" s="309"/>
      <c r="EW282" s="309"/>
      <c r="EX282" s="309"/>
      <c r="EY282" s="309"/>
      <c r="EZ282" s="309"/>
      <c r="FA282" s="309"/>
      <c r="FB282" s="309"/>
      <c r="FC282" s="309"/>
      <c r="FD282" s="309"/>
      <c r="FE282" s="309"/>
      <c r="FF282" s="309"/>
      <c r="FG282" s="309"/>
      <c r="FH282" s="309"/>
      <c r="FI282" s="309"/>
      <c r="FJ282" s="309"/>
      <c r="FK282" s="309"/>
      <c r="FL282" s="309"/>
      <c r="FM282" s="309"/>
      <c r="FN282" s="309"/>
      <c r="FO282" s="309"/>
      <c r="FP282" s="309"/>
      <c r="FQ282" s="309"/>
      <c r="FR282" s="309"/>
      <c r="FS282" s="309"/>
      <c r="FT282" s="309"/>
      <c r="FU282" s="309"/>
      <c r="FV282" s="309"/>
      <c r="FW282" s="309"/>
      <c r="FX282" s="309"/>
      <c r="FY282" s="309"/>
      <c r="FZ282" s="309"/>
      <c r="GA282" s="309"/>
      <c r="GB282" s="309"/>
      <c r="GC282" s="309"/>
      <c r="GD282" s="309"/>
      <c r="GE282" s="309"/>
      <c r="GF282" s="309"/>
      <c r="GG282" s="309"/>
      <c r="GH282" s="309"/>
      <c r="GI282" s="309"/>
      <c r="GJ282" s="309"/>
      <c r="GK282" s="309"/>
      <c r="GL282" s="309"/>
      <c r="GM282" s="309"/>
      <c r="GN282" s="309"/>
      <c r="GO282" s="309"/>
      <c r="GP282" s="309"/>
      <c r="GQ282" s="309"/>
      <c r="GR282" s="309"/>
      <c r="GS282" s="309"/>
      <c r="GT282" s="309"/>
      <c r="GU282" s="309"/>
      <c r="GV282" s="309"/>
      <c r="GW282" s="309"/>
      <c r="GX282" s="309"/>
      <c r="GY282" s="309"/>
      <c r="GZ282" s="309"/>
      <c r="HA282" s="309"/>
      <c r="HB282" s="309"/>
      <c r="HC282" s="309"/>
      <c r="HD282" s="309"/>
      <c r="HE282" s="309"/>
      <c r="HF282" s="309"/>
      <c r="HG282" s="309"/>
      <c r="HH282" s="309"/>
      <c r="HI282" s="309"/>
      <c r="HJ282" s="309"/>
      <c r="HK282" s="309"/>
      <c r="HL282" s="309"/>
      <c r="HM282" s="309"/>
      <c r="HN282" s="309"/>
      <c r="HO282" s="309"/>
      <c r="HP282" s="309"/>
      <c r="HQ282" s="309"/>
      <c r="HR282" s="309"/>
      <c r="HS282" s="309"/>
      <c r="HT282" s="309"/>
      <c r="HU282" s="309"/>
      <c r="HV282" s="309"/>
      <c r="HW282" s="309"/>
      <c r="HX282" s="309"/>
      <c r="HY282" s="309"/>
      <c r="HZ282" s="309"/>
      <c r="IA282" s="309"/>
      <c r="IB282" s="309"/>
      <c r="IC282" s="309"/>
      <c r="ID282" s="309"/>
      <c r="IE282" s="309"/>
      <c r="IF282" s="309"/>
      <c r="IG282" s="309"/>
      <c r="IH282" s="309"/>
      <c r="II282" s="309"/>
      <c r="IJ282" s="309"/>
      <c r="IK282" s="309"/>
      <c r="IL282" s="309"/>
      <c r="IM282" s="309"/>
      <c r="IN282" s="309"/>
      <c r="IO282" s="309"/>
      <c r="IP282" s="309"/>
      <c r="IQ282" s="309"/>
      <c r="IR282" s="309"/>
      <c r="IS282" s="309"/>
      <c r="IT282" s="309"/>
      <c r="IU282" s="309"/>
      <c r="IV282" s="309"/>
      <c r="IW282" s="309"/>
      <c r="IX282" s="309"/>
      <c r="IY282" s="309"/>
      <c r="IZ282" s="309"/>
      <c r="JA282" s="309"/>
      <c r="JB282" s="309"/>
      <c r="JC282" s="309"/>
      <c r="JD282" s="309"/>
      <c r="JE282" s="309"/>
      <c r="JF282" s="309"/>
      <c r="JG282" s="309"/>
      <c r="JH282" s="309"/>
      <c r="JI282" s="309"/>
      <c r="JJ282" s="309"/>
      <c r="JK282" s="309"/>
      <c r="JL282" s="309"/>
      <c r="JM282" s="309"/>
      <c r="JN282" s="309"/>
      <c r="JO282" s="309"/>
      <c r="JP282" s="309"/>
      <c r="JQ282" s="309"/>
      <c r="JR282" s="309"/>
      <c r="JS282" s="309"/>
      <c r="JT282" s="309"/>
      <c r="JU282" s="309"/>
      <c r="JV282" s="309"/>
      <c r="JW282" s="309"/>
      <c r="JX282" s="309"/>
      <c r="JY282" s="309"/>
      <c r="JZ282" s="309"/>
      <c r="KA282" s="309"/>
      <c r="KB282" s="309"/>
      <c r="KC282" s="309"/>
      <c r="KD282" s="309"/>
      <c r="KE282" s="309"/>
      <c r="KF282" s="309"/>
      <c r="KG282" s="309"/>
      <c r="KH282" s="309"/>
      <c r="KI282" s="309"/>
      <c r="KJ282" s="309"/>
      <c r="KK282" s="309"/>
      <c r="KL282" s="309"/>
      <c r="KM282" s="309"/>
      <c r="KN282" s="309"/>
      <c r="KO282" s="309"/>
      <c r="KP282" s="309"/>
      <c r="KQ282" s="309"/>
      <c r="KR282" s="309"/>
      <c r="KS282" s="309"/>
      <c r="KT282" s="309"/>
      <c r="KU282" s="309"/>
      <c r="KV282" s="309"/>
      <c r="KW282" s="309"/>
      <c r="KX282" s="309"/>
      <c r="KY282" s="309"/>
      <c r="KZ282" s="309"/>
      <c r="LA282" s="309"/>
      <c r="LB282" s="309"/>
      <c r="LC282" s="309"/>
      <c r="LD282" s="309"/>
      <c r="LE282" s="309"/>
      <c r="LF282" s="309"/>
      <c r="LG282" s="309"/>
      <c r="LH282" s="309"/>
      <c r="LI282" s="309"/>
      <c r="LJ282" s="309"/>
      <c r="LK282" s="309"/>
      <c r="LL282" s="309"/>
      <c r="LM282" s="309"/>
      <c r="LN282" s="309"/>
      <c r="LO282" s="309"/>
      <c r="LP282" s="309"/>
      <c r="LQ282" s="309"/>
      <c r="LR282" s="309"/>
      <c r="LS282" s="309"/>
      <c r="LT282" s="309"/>
      <c r="LU282" s="309"/>
      <c r="LV282" s="309"/>
      <c r="LW282" s="309"/>
      <c r="LX282" s="309"/>
      <c r="LY282" s="309"/>
      <c r="LZ282" s="309"/>
      <c r="MA282" s="309"/>
      <c r="MB282" s="309"/>
      <c r="MC282" s="309"/>
      <c r="MD282" s="309"/>
      <c r="ME282" s="309"/>
      <c r="MF282" s="309"/>
      <c r="MG282" s="309"/>
      <c r="MH282" s="309"/>
      <c r="MI282" s="309"/>
      <c r="MJ282" s="309"/>
      <c r="MK282" s="309"/>
      <c r="ML282" s="309"/>
      <c r="MM282" s="309"/>
      <c r="MN282" s="309"/>
      <c r="MO282" s="309"/>
      <c r="MP282" s="309"/>
      <c r="MQ282" s="309"/>
      <c r="MR282" s="309"/>
      <c r="MS282" s="309"/>
      <c r="MT282" s="309"/>
      <c r="MU282" s="309"/>
      <c r="MV282" s="309"/>
      <c r="MW282" s="309"/>
      <c r="MX282" s="309"/>
      <c r="MY282" s="309"/>
      <c r="MZ282" s="309"/>
      <c r="NA282" s="309"/>
      <c r="NB282" s="309"/>
      <c r="NC282" s="309"/>
      <c r="ND282" s="309"/>
      <c r="NE282" s="309"/>
      <c r="NF282" s="309"/>
      <c r="NG282" s="309"/>
      <c r="NH282" s="309"/>
      <c r="NI282" s="309"/>
      <c r="NJ282" s="309"/>
      <c r="NK282" s="309"/>
      <c r="NL282" s="309"/>
      <c r="NM282" s="309"/>
      <c r="NN282" s="309"/>
      <c r="NO282" s="309"/>
      <c r="NP282" s="309"/>
      <c r="NQ282" s="309"/>
      <c r="NR282" s="309"/>
      <c r="NS282" s="309"/>
      <c r="NT282" s="309"/>
      <c r="NU282" s="309"/>
      <c r="NV282" s="309"/>
      <c r="NW282" s="309"/>
      <c r="NX282" s="309"/>
      <c r="NY282" s="309"/>
      <c r="NZ282" s="309"/>
      <c r="OA282" s="309"/>
      <c r="OB282" s="309"/>
      <c r="OC282" s="309"/>
      <c r="OD282" s="309"/>
      <c r="OE282" s="309"/>
      <c r="OF282" s="309"/>
      <c r="OG282" s="309"/>
      <c r="OH282" s="309"/>
      <c r="OI282" s="309"/>
      <c r="OJ282" s="309"/>
      <c r="OK282" s="309"/>
      <c r="OL282" s="309"/>
      <c r="OM282" s="309"/>
      <c r="ON282" s="309"/>
      <c r="OO282" s="309"/>
      <c r="OP282" s="309"/>
      <c r="OQ282" s="309"/>
      <c r="OR282" s="309"/>
      <c r="OS282" s="309"/>
      <c r="OT282" s="309"/>
      <c r="OU282" s="309"/>
      <c r="OV282" s="309"/>
      <c r="OW282" s="309"/>
      <c r="OX282" s="309"/>
      <c r="OY282" s="309"/>
      <c r="OZ282" s="309"/>
      <c r="PA282" s="309"/>
      <c r="PB282" s="309"/>
      <c r="PC282" s="309"/>
      <c r="PD282" s="309"/>
      <c r="PE282" s="309"/>
      <c r="PF282" s="309"/>
      <c r="PG282" s="309"/>
      <c r="PH282" s="309"/>
      <c r="PI282" s="309"/>
      <c r="PJ282" s="309"/>
      <c r="PK282" s="309"/>
      <c r="PL282" s="309"/>
      <c r="PM282" s="309"/>
      <c r="PN282" s="309"/>
      <c r="PO282" s="309"/>
      <c r="PP282" s="309"/>
      <c r="PQ282" s="309"/>
      <c r="PR282" s="309"/>
      <c r="PS282" s="309"/>
      <c r="PT282" s="309"/>
      <c r="PU282" s="309"/>
      <c r="PV282" s="309"/>
      <c r="PW282" s="309"/>
      <c r="PX282" s="309"/>
      <c r="PY282" s="309"/>
      <c r="PZ282" s="309"/>
      <c r="QA282" s="309"/>
      <c r="QB282" s="309"/>
      <c r="QC282" s="309"/>
      <c r="QD282" s="309"/>
      <c r="QE282" s="309"/>
      <c r="QF282" s="309"/>
      <c r="QG282" s="309"/>
      <c r="QH282" s="309"/>
      <c r="QI282" s="309"/>
      <c r="QJ282" s="309"/>
      <c r="QK282" s="309"/>
      <c r="QL282" s="309"/>
      <c r="QM282" s="309"/>
      <c r="QN282" s="309"/>
      <c r="QO282" s="309"/>
      <c r="QP282" s="309"/>
      <c r="QQ282" s="309"/>
      <c r="QR282" s="309"/>
      <c r="QS282" s="309"/>
      <c r="QT282" s="309"/>
      <c r="QU282" s="309"/>
      <c r="QV282" s="309"/>
      <c r="QW282" s="309"/>
      <c r="QX282" s="309"/>
      <c r="QY282" s="309"/>
      <c r="QZ282" s="309"/>
      <c r="RA282" s="309"/>
      <c r="RB282" s="309"/>
      <c r="RC282" s="309"/>
      <c r="RD282" s="309"/>
      <c r="RE282" s="309"/>
      <c r="RF282" s="309"/>
      <c r="RG282" s="309"/>
      <c r="RH282" s="309"/>
      <c r="RI282" s="309"/>
      <c r="RJ282" s="309"/>
      <c r="RK282" s="309"/>
      <c r="RL282" s="309"/>
      <c r="RM282" s="309"/>
      <c r="RN282" s="309"/>
      <c r="RO282" s="309"/>
      <c r="RP282" s="309"/>
      <c r="RQ282" s="309"/>
      <c r="RR282" s="309"/>
      <c r="RS282" s="309"/>
      <c r="RT282" s="309"/>
      <c r="RU282" s="309"/>
      <c r="RV282" s="309"/>
      <c r="RW282" s="309"/>
      <c r="RX282" s="309"/>
      <c r="RY282" s="309"/>
      <c r="RZ282" s="309"/>
      <c r="SA282" s="309"/>
      <c r="SB282" s="309"/>
      <c r="SC282" s="309"/>
      <c r="SD282" s="309"/>
      <c r="SE282" s="309"/>
      <c r="SF282" s="309"/>
      <c r="SG282" s="309"/>
      <c r="SH282" s="309"/>
      <c r="SI282" s="309"/>
      <c r="SJ282" s="309"/>
      <c r="SK282" s="309"/>
      <c r="SL282" s="309"/>
      <c r="SM282" s="309"/>
      <c r="SN282" s="309"/>
      <c r="SO282" s="309"/>
      <c r="SP282" s="309"/>
      <c r="SQ282" s="309"/>
      <c r="SR282" s="309"/>
      <c r="SS282" s="309"/>
      <c r="ST282" s="309"/>
      <c r="SU282" s="309"/>
      <c r="SV282" s="309"/>
      <c r="SW282" s="309"/>
      <c r="SX282" s="309"/>
      <c r="SY282" s="309"/>
      <c r="SZ282" s="309"/>
      <c r="TA282" s="309"/>
      <c r="TB282" s="309"/>
      <c r="TC282" s="309"/>
      <c r="TD282" s="309"/>
      <c r="TE282" s="309"/>
      <c r="TF282" s="309"/>
      <c r="TG282" s="309"/>
      <c r="TH282" s="309"/>
      <c r="TI282" s="309"/>
      <c r="TJ282" s="309"/>
      <c r="TK282" s="309"/>
      <c r="TL282" s="309"/>
      <c r="TM282" s="309"/>
      <c r="TN282" s="309"/>
      <c r="TO282" s="309"/>
      <c r="TP282" s="309"/>
      <c r="TQ282" s="309"/>
      <c r="TR282" s="309"/>
      <c r="TS282" s="309"/>
      <c r="TT282" s="309"/>
      <c r="TU282" s="309"/>
      <c r="TV282" s="309"/>
      <c r="TW282" s="309"/>
      <c r="TX282" s="309"/>
      <c r="TY282" s="309"/>
      <c r="TZ282" s="309"/>
      <c r="UA282" s="309"/>
      <c r="UB282" s="309"/>
      <c r="UC282" s="309"/>
      <c r="UD282" s="309"/>
      <c r="UE282" s="309"/>
      <c r="UF282" s="309"/>
      <c r="UG282" s="309"/>
      <c r="UH282" s="309"/>
      <c r="UI282" s="309"/>
      <c r="UJ282" s="309"/>
      <c r="UK282" s="309"/>
      <c r="UL282" s="309"/>
      <c r="UM282" s="309"/>
      <c r="UN282" s="309"/>
      <c r="UO282" s="309"/>
      <c r="UP282" s="309"/>
      <c r="UQ282" s="309"/>
      <c r="UR282" s="309"/>
      <c r="US282" s="309"/>
      <c r="UT282" s="309"/>
      <c r="UU282" s="309"/>
      <c r="UV282" s="309"/>
      <c r="UW282" s="309"/>
      <c r="UX282" s="309"/>
      <c r="UY282" s="309"/>
      <c r="UZ282" s="309"/>
      <c r="VA282" s="309"/>
      <c r="VB282" s="309"/>
      <c r="VC282" s="309"/>
      <c r="VD282" s="309"/>
      <c r="VE282" s="309"/>
      <c r="VF282" s="309"/>
      <c r="VG282" s="309"/>
      <c r="VH282" s="309"/>
      <c r="VI282" s="309"/>
      <c r="VJ282" s="309"/>
      <c r="VK282" s="309"/>
      <c r="VL282" s="309"/>
      <c r="VM282" s="309"/>
      <c r="VN282" s="309"/>
      <c r="VO282" s="309"/>
      <c r="VP282" s="309"/>
      <c r="VQ282" s="309"/>
      <c r="VR282" s="309"/>
      <c r="VS282" s="309"/>
      <c r="VT282" s="309"/>
      <c r="VU282" s="309"/>
      <c r="VV282" s="309"/>
      <c r="VW282" s="309"/>
      <c r="VX282" s="309"/>
      <c r="VY282" s="309"/>
      <c r="VZ282" s="309"/>
      <c r="WA282" s="309"/>
      <c r="WB282" s="309"/>
      <c r="WC282" s="309"/>
      <c r="WD282" s="309"/>
      <c r="WE282" s="309"/>
      <c r="WF282" s="309"/>
      <c r="WG282" s="309"/>
      <c r="WH282" s="309"/>
      <c r="WI282" s="309"/>
      <c r="WJ282" s="309"/>
      <c r="WK282" s="309"/>
      <c r="WL282" s="309"/>
      <c r="WM282" s="309"/>
      <c r="WN282" s="309"/>
      <c r="WO282" s="309"/>
      <c r="WP282" s="309"/>
      <c r="WQ282" s="309"/>
      <c r="WR282" s="309"/>
      <c r="WS282" s="309"/>
      <c r="WT282" s="309"/>
      <c r="WU282" s="309"/>
      <c r="WV282" s="309"/>
      <c r="WW282" s="309"/>
      <c r="WX282" s="309"/>
      <c r="WY282" s="309"/>
      <c r="WZ282" s="309"/>
      <c r="XA282" s="309"/>
      <c r="XB282" s="309"/>
      <c r="XC282" s="309"/>
      <c r="XD282" s="309"/>
      <c r="XE282" s="309"/>
      <c r="XF282" s="309"/>
      <c r="XG282" s="309"/>
      <c r="XH282" s="309"/>
      <c r="XI282" s="309"/>
      <c r="XJ282" s="309"/>
      <c r="XK282" s="309"/>
      <c r="XL282" s="309"/>
      <c r="XM282" s="309"/>
      <c r="XN282" s="309"/>
      <c r="XO282" s="309"/>
      <c r="XP282" s="309"/>
      <c r="XQ282" s="309"/>
      <c r="XR282" s="309"/>
      <c r="XS282" s="309"/>
      <c r="XT282" s="309"/>
      <c r="XU282" s="309"/>
      <c r="XV282" s="309"/>
      <c r="XW282" s="309"/>
      <c r="XX282" s="309"/>
      <c r="XY282" s="309"/>
      <c r="XZ282" s="309"/>
      <c r="YA282" s="309"/>
      <c r="YB282" s="309"/>
      <c r="YC282" s="309"/>
      <c r="YD282" s="309"/>
      <c r="YE282" s="309"/>
      <c r="YF282" s="309"/>
      <c r="YG282" s="309"/>
      <c r="YH282" s="309"/>
      <c r="YI282" s="309"/>
      <c r="YJ282" s="309"/>
      <c r="YK282" s="309"/>
      <c r="YL282" s="309"/>
      <c r="YM282" s="309"/>
      <c r="YN282" s="309"/>
      <c r="YO282" s="309"/>
      <c r="YP282" s="309"/>
      <c r="YQ282" s="309"/>
      <c r="YR282" s="309"/>
      <c r="YS282" s="309"/>
      <c r="YT282" s="309"/>
      <c r="YU282" s="309"/>
      <c r="YV282" s="309"/>
      <c r="YW282" s="309"/>
      <c r="YX282" s="309"/>
      <c r="YY282" s="309"/>
      <c r="YZ282" s="309"/>
      <c r="ZA282" s="309"/>
      <c r="ZB282" s="309"/>
      <c r="ZC282" s="309"/>
      <c r="ZD282" s="309"/>
      <c r="ZE282" s="309"/>
      <c r="ZF282" s="309"/>
      <c r="ZG282" s="309"/>
      <c r="ZH282" s="309"/>
      <c r="ZI282" s="309"/>
      <c r="ZJ282" s="309"/>
    </row>
    <row r="283" spans="2:686" s="308" customFormat="1" x14ac:dyDescent="0.3">
      <c r="B283" s="309"/>
      <c r="C283" s="309"/>
      <c r="E283" s="340"/>
      <c r="F283" s="340"/>
      <c r="G283" s="171"/>
      <c r="H283" s="1"/>
      <c r="Y283" s="309"/>
      <c r="Z283" s="309"/>
      <c r="AA283" s="309"/>
      <c r="AB283" s="309"/>
      <c r="AC283" s="309"/>
      <c r="AD283" s="309"/>
      <c r="AE283" s="309"/>
      <c r="AF283" s="309"/>
      <c r="AG283" s="309"/>
      <c r="AH283" s="309"/>
      <c r="AI283" s="309"/>
      <c r="AJ283" s="309"/>
      <c r="AK283" s="309"/>
      <c r="AL283" s="309"/>
      <c r="AM283" s="309"/>
      <c r="AN283" s="309"/>
      <c r="AO283" s="309"/>
      <c r="AP283" s="309"/>
      <c r="AQ283" s="309"/>
      <c r="AR283" s="309"/>
      <c r="AS283" s="309"/>
      <c r="AT283" s="309"/>
      <c r="AU283" s="309"/>
      <c r="AV283" s="309"/>
      <c r="AW283" s="309"/>
      <c r="AX283" s="309"/>
      <c r="AY283" s="309"/>
      <c r="AZ283" s="309"/>
      <c r="BA283" s="309"/>
      <c r="BB283" s="309"/>
      <c r="BC283" s="309"/>
      <c r="BD283" s="309"/>
      <c r="BE283" s="309"/>
      <c r="BF283" s="309"/>
      <c r="BG283" s="309"/>
      <c r="BH283" s="309"/>
      <c r="BI283" s="309"/>
      <c r="BJ283" s="309"/>
      <c r="BK283" s="309"/>
      <c r="BL283" s="309"/>
      <c r="BM283" s="309"/>
      <c r="BN283" s="309"/>
      <c r="BO283" s="309"/>
      <c r="BP283" s="309"/>
      <c r="BQ283" s="309"/>
      <c r="BR283" s="309"/>
      <c r="BS283" s="309"/>
      <c r="BT283" s="309"/>
      <c r="BU283" s="309"/>
      <c r="BV283" s="309"/>
      <c r="BW283" s="309"/>
      <c r="BX283" s="309"/>
      <c r="BY283" s="309"/>
      <c r="BZ283" s="309"/>
      <c r="CA283" s="309"/>
      <c r="CB283" s="309"/>
      <c r="CC283" s="309"/>
      <c r="CD283" s="309"/>
      <c r="CE283" s="309"/>
      <c r="CF283" s="309"/>
      <c r="CG283" s="309"/>
      <c r="CH283" s="309"/>
      <c r="CI283" s="309"/>
      <c r="CJ283" s="309"/>
      <c r="CK283" s="309"/>
      <c r="CL283" s="309"/>
      <c r="CM283" s="309"/>
      <c r="CN283" s="309"/>
      <c r="CO283" s="309"/>
      <c r="CP283" s="309"/>
      <c r="CQ283" s="309"/>
      <c r="CR283" s="309"/>
      <c r="CS283" s="309"/>
      <c r="CT283" s="309"/>
      <c r="CU283" s="309"/>
      <c r="CV283" s="309"/>
      <c r="CW283" s="309"/>
      <c r="CX283" s="309"/>
      <c r="CY283" s="309"/>
      <c r="CZ283" s="309"/>
      <c r="DA283" s="309"/>
      <c r="DB283" s="309"/>
      <c r="DC283" s="309"/>
      <c r="DD283" s="309"/>
      <c r="DE283" s="309"/>
      <c r="DF283" s="309"/>
      <c r="DG283" s="309"/>
      <c r="DH283" s="309"/>
      <c r="DI283" s="309"/>
      <c r="DJ283" s="309"/>
      <c r="DK283" s="309"/>
      <c r="DL283" s="309"/>
      <c r="DM283" s="309"/>
      <c r="DN283" s="309"/>
      <c r="DO283" s="309"/>
      <c r="DP283" s="309"/>
      <c r="DQ283" s="309"/>
      <c r="DR283" s="309"/>
      <c r="DS283" s="309"/>
      <c r="DT283" s="309"/>
      <c r="DU283" s="309"/>
      <c r="DV283" s="309"/>
      <c r="DW283" s="309"/>
      <c r="DX283" s="309"/>
      <c r="DY283" s="309"/>
      <c r="DZ283" s="309"/>
      <c r="EA283" s="309"/>
      <c r="EB283" s="309"/>
      <c r="EC283" s="309"/>
      <c r="ED283" s="309"/>
      <c r="EE283" s="309"/>
      <c r="EF283" s="309"/>
      <c r="EG283" s="309"/>
      <c r="EH283" s="309"/>
      <c r="EI283" s="309"/>
      <c r="EJ283" s="309"/>
      <c r="EK283" s="309"/>
      <c r="EL283" s="309"/>
      <c r="EM283" s="309"/>
      <c r="EN283" s="309"/>
      <c r="EO283" s="309"/>
      <c r="EP283" s="309"/>
      <c r="EQ283" s="309"/>
      <c r="ER283" s="309"/>
      <c r="ES283" s="309"/>
      <c r="ET283" s="309"/>
      <c r="EU283" s="309"/>
      <c r="EV283" s="309"/>
      <c r="EW283" s="309"/>
      <c r="EX283" s="309"/>
      <c r="EY283" s="309"/>
      <c r="EZ283" s="309"/>
      <c r="FA283" s="309"/>
      <c r="FB283" s="309"/>
      <c r="FC283" s="309"/>
      <c r="FD283" s="309"/>
      <c r="FE283" s="309"/>
      <c r="FF283" s="309"/>
      <c r="FG283" s="309"/>
      <c r="FH283" s="309"/>
      <c r="FI283" s="309"/>
      <c r="FJ283" s="309"/>
      <c r="FK283" s="309"/>
      <c r="FL283" s="309"/>
      <c r="FM283" s="309"/>
      <c r="FN283" s="309"/>
      <c r="FO283" s="309"/>
      <c r="FP283" s="309"/>
      <c r="FQ283" s="309"/>
      <c r="FR283" s="309"/>
      <c r="FS283" s="309"/>
      <c r="FT283" s="309"/>
      <c r="FU283" s="309"/>
      <c r="FV283" s="309"/>
      <c r="FW283" s="309"/>
      <c r="FX283" s="309"/>
      <c r="FY283" s="309"/>
      <c r="FZ283" s="309"/>
      <c r="GA283" s="309"/>
      <c r="GB283" s="309"/>
      <c r="GC283" s="309"/>
      <c r="GD283" s="309"/>
      <c r="GE283" s="309"/>
      <c r="GF283" s="309"/>
      <c r="GG283" s="309"/>
      <c r="GH283" s="309"/>
      <c r="GI283" s="309"/>
      <c r="GJ283" s="309"/>
      <c r="GK283" s="309"/>
      <c r="GL283" s="309"/>
      <c r="GM283" s="309"/>
      <c r="GN283" s="309"/>
      <c r="GO283" s="309"/>
      <c r="GP283" s="309"/>
      <c r="GQ283" s="309"/>
      <c r="GR283" s="309"/>
      <c r="GS283" s="309"/>
      <c r="GT283" s="309"/>
      <c r="GU283" s="309"/>
      <c r="GV283" s="309"/>
      <c r="GW283" s="309"/>
      <c r="GX283" s="309"/>
      <c r="GY283" s="309"/>
      <c r="GZ283" s="309"/>
      <c r="HA283" s="309"/>
      <c r="HB283" s="309"/>
      <c r="HC283" s="309"/>
      <c r="HD283" s="309"/>
      <c r="HE283" s="309"/>
      <c r="HF283" s="309"/>
      <c r="HG283" s="309"/>
      <c r="HH283" s="309"/>
      <c r="HI283" s="309"/>
      <c r="HJ283" s="309"/>
      <c r="HK283" s="309"/>
      <c r="HL283" s="309"/>
      <c r="HM283" s="309"/>
      <c r="HN283" s="309"/>
      <c r="HO283" s="309"/>
      <c r="HP283" s="309"/>
      <c r="HQ283" s="309"/>
      <c r="HR283" s="309"/>
      <c r="HS283" s="309"/>
      <c r="HT283" s="309"/>
      <c r="HU283" s="309"/>
      <c r="HV283" s="309"/>
      <c r="HW283" s="309"/>
      <c r="HX283" s="309"/>
      <c r="HY283" s="309"/>
      <c r="HZ283" s="309"/>
      <c r="IA283" s="309"/>
      <c r="IB283" s="309"/>
      <c r="IC283" s="309"/>
      <c r="ID283" s="309"/>
      <c r="IE283" s="309"/>
      <c r="IF283" s="309"/>
      <c r="IG283" s="309"/>
      <c r="IH283" s="309"/>
      <c r="II283" s="309"/>
      <c r="IJ283" s="309"/>
      <c r="IK283" s="309"/>
      <c r="IL283" s="309"/>
      <c r="IM283" s="309"/>
      <c r="IN283" s="309"/>
      <c r="IO283" s="309"/>
      <c r="IP283" s="309"/>
      <c r="IQ283" s="309"/>
      <c r="IR283" s="309"/>
      <c r="IS283" s="309"/>
      <c r="IT283" s="309"/>
      <c r="IU283" s="309"/>
      <c r="IV283" s="309"/>
      <c r="IW283" s="309"/>
      <c r="IX283" s="309"/>
      <c r="IY283" s="309"/>
      <c r="IZ283" s="309"/>
      <c r="JA283" s="309"/>
      <c r="JB283" s="309"/>
      <c r="JC283" s="309"/>
      <c r="JD283" s="309"/>
      <c r="JE283" s="309"/>
      <c r="JF283" s="309"/>
      <c r="JG283" s="309"/>
      <c r="JH283" s="309"/>
      <c r="JI283" s="309"/>
      <c r="JJ283" s="309"/>
      <c r="JK283" s="309"/>
      <c r="JL283" s="309"/>
      <c r="JM283" s="309"/>
      <c r="JN283" s="309"/>
      <c r="JO283" s="309"/>
      <c r="JP283" s="309"/>
      <c r="JQ283" s="309"/>
      <c r="JR283" s="309"/>
      <c r="JS283" s="309"/>
      <c r="JT283" s="309"/>
      <c r="JU283" s="309"/>
      <c r="JV283" s="309"/>
      <c r="JW283" s="309"/>
      <c r="JX283" s="309"/>
      <c r="JY283" s="309"/>
      <c r="JZ283" s="309"/>
      <c r="KA283" s="309"/>
      <c r="KB283" s="309"/>
      <c r="KC283" s="309"/>
      <c r="KD283" s="309"/>
      <c r="KE283" s="309"/>
      <c r="KF283" s="309"/>
      <c r="KG283" s="309"/>
      <c r="KH283" s="309"/>
      <c r="KI283" s="309"/>
      <c r="KJ283" s="309"/>
      <c r="KK283" s="309"/>
      <c r="KL283" s="309"/>
      <c r="KM283" s="309"/>
      <c r="KN283" s="309"/>
      <c r="KO283" s="309"/>
      <c r="KP283" s="309"/>
      <c r="KQ283" s="309"/>
      <c r="KR283" s="309"/>
      <c r="KS283" s="309"/>
      <c r="KT283" s="309"/>
      <c r="KU283" s="309"/>
      <c r="KV283" s="309"/>
      <c r="KW283" s="309"/>
      <c r="KX283" s="309"/>
      <c r="KY283" s="309"/>
      <c r="KZ283" s="309"/>
      <c r="LA283" s="309"/>
      <c r="LB283" s="309"/>
      <c r="LC283" s="309"/>
      <c r="LD283" s="309"/>
      <c r="LE283" s="309"/>
      <c r="LF283" s="309"/>
      <c r="LG283" s="309"/>
      <c r="LH283" s="309"/>
      <c r="LI283" s="309"/>
      <c r="LJ283" s="309"/>
      <c r="LK283" s="309"/>
      <c r="LL283" s="309"/>
      <c r="LM283" s="309"/>
      <c r="LN283" s="309"/>
      <c r="LO283" s="309"/>
      <c r="LP283" s="309"/>
      <c r="LQ283" s="309"/>
      <c r="LR283" s="309"/>
      <c r="LS283" s="309"/>
      <c r="LT283" s="309"/>
      <c r="LU283" s="309"/>
      <c r="LV283" s="309"/>
      <c r="LW283" s="309"/>
      <c r="LX283" s="309"/>
      <c r="LY283" s="309"/>
      <c r="LZ283" s="309"/>
      <c r="MA283" s="309"/>
      <c r="MB283" s="309"/>
      <c r="MC283" s="309"/>
      <c r="MD283" s="309"/>
      <c r="ME283" s="309"/>
      <c r="MF283" s="309"/>
      <c r="MG283" s="309"/>
      <c r="MH283" s="309"/>
      <c r="MI283" s="309"/>
      <c r="MJ283" s="309"/>
      <c r="MK283" s="309"/>
      <c r="ML283" s="309"/>
      <c r="MM283" s="309"/>
      <c r="MN283" s="309"/>
      <c r="MO283" s="309"/>
      <c r="MP283" s="309"/>
      <c r="MQ283" s="309"/>
      <c r="MR283" s="309"/>
      <c r="MS283" s="309"/>
      <c r="MT283" s="309"/>
      <c r="MU283" s="309"/>
      <c r="MV283" s="309"/>
      <c r="MW283" s="309"/>
      <c r="MX283" s="309"/>
      <c r="MY283" s="309"/>
      <c r="MZ283" s="309"/>
      <c r="NA283" s="309"/>
      <c r="NB283" s="309"/>
      <c r="NC283" s="309"/>
      <c r="ND283" s="309"/>
      <c r="NE283" s="309"/>
      <c r="NF283" s="309"/>
      <c r="NG283" s="309"/>
      <c r="NH283" s="309"/>
      <c r="NI283" s="309"/>
      <c r="NJ283" s="309"/>
      <c r="NK283" s="309"/>
      <c r="NL283" s="309"/>
      <c r="NM283" s="309"/>
      <c r="NN283" s="309"/>
      <c r="NO283" s="309"/>
      <c r="NP283" s="309"/>
      <c r="NQ283" s="309"/>
      <c r="NR283" s="309"/>
      <c r="NS283" s="309"/>
      <c r="NT283" s="309"/>
      <c r="NU283" s="309"/>
      <c r="NV283" s="309"/>
      <c r="NW283" s="309"/>
      <c r="NX283" s="309"/>
      <c r="NY283" s="309"/>
      <c r="NZ283" s="309"/>
      <c r="OA283" s="309"/>
      <c r="OB283" s="309"/>
      <c r="OC283" s="309"/>
      <c r="OD283" s="309"/>
      <c r="OE283" s="309"/>
      <c r="OF283" s="309"/>
      <c r="OG283" s="309"/>
      <c r="OH283" s="309"/>
      <c r="OI283" s="309"/>
      <c r="OJ283" s="309"/>
      <c r="OK283" s="309"/>
      <c r="OL283" s="309"/>
      <c r="OM283" s="309"/>
      <c r="ON283" s="309"/>
      <c r="OO283" s="309"/>
      <c r="OP283" s="309"/>
      <c r="OQ283" s="309"/>
      <c r="OR283" s="309"/>
      <c r="OS283" s="309"/>
      <c r="OT283" s="309"/>
      <c r="OU283" s="309"/>
      <c r="OV283" s="309"/>
      <c r="OW283" s="309"/>
      <c r="OX283" s="309"/>
      <c r="OY283" s="309"/>
      <c r="OZ283" s="309"/>
      <c r="PA283" s="309"/>
      <c r="PB283" s="309"/>
      <c r="PC283" s="309"/>
      <c r="PD283" s="309"/>
      <c r="PE283" s="309"/>
      <c r="PF283" s="309"/>
      <c r="PG283" s="309"/>
      <c r="PH283" s="309"/>
      <c r="PI283" s="309"/>
      <c r="PJ283" s="309"/>
      <c r="PK283" s="309"/>
      <c r="PL283" s="309"/>
      <c r="PM283" s="309"/>
      <c r="PN283" s="309"/>
      <c r="PO283" s="309"/>
      <c r="PP283" s="309"/>
      <c r="PQ283" s="309"/>
      <c r="PR283" s="309"/>
      <c r="PS283" s="309"/>
      <c r="PT283" s="309"/>
      <c r="PU283" s="309"/>
      <c r="PV283" s="309"/>
      <c r="PW283" s="309"/>
      <c r="PX283" s="309"/>
      <c r="PY283" s="309"/>
      <c r="PZ283" s="309"/>
      <c r="QA283" s="309"/>
      <c r="QB283" s="309"/>
      <c r="QC283" s="309"/>
      <c r="QD283" s="309"/>
      <c r="QE283" s="309"/>
      <c r="QF283" s="309"/>
      <c r="QG283" s="309"/>
      <c r="QH283" s="309"/>
      <c r="QI283" s="309"/>
      <c r="QJ283" s="309"/>
      <c r="QK283" s="309"/>
      <c r="QL283" s="309"/>
      <c r="QM283" s="309"/>
      <c r="QN283" s="309"/>
      <c r="QO283" s="309"/>
      <c r="QP283" s="309"/>
      <c r="QQ283" s="309"/>
      <c r="QR283" s="309"/>
      <c r="QS283" s="309"/>
      <c r="QT283" s="309"/>
      <c r="QU283" s="309"/>
      <c r="QV283" s="309"/>
      <c r="QW283" s="309"/>
      <c r="QX283" s="309"/>
      <c r="QY283" s="309"/>
      <c r="QZ283" s="309"/>
      <c r="RA283" s="309"/>
      <c r="RB283" s="309"/>
      <c r="RC283" s="309"/>
      <c r="RD283" s="309"/>
      <c r="RE283" s="309"/>
      <c r="RF283" s="309"/>
      <c r="RG283" s="309"/>
      <c r="RH283" s="309"/>
      <c r="RI283" s="309"/>
      <c r="RJ283" s="309"/>
      <c r="RK283" s="309"/>
      <c r="RL283" s="309"/>
      <c r="RM283" s="309"/>
      <c r="RN283" s="309"/>
      <c r="RO283" s="309"/>
      <c r="RP283" s="309"/>
      <c r="RQ283" s="309"/>
      <c r="RR283" s="309"/>
      <c r="RS283" s="309"/>
      <c r="RT283" s="309"/>
      <c r="RU283" s="309"/>
      <c r="RV283" s="309"/>
      <c r="RW283" s="309"/>
      <c r="RX283" s="309"/>
      <c r="RY283" s="309"/>
      <c r="RZ283" s="309"/>
      <c r="SA283" s="309"/>
      <c r="SB283" s="309"/>
      <c r="SC283" s="309"/>
      <c r="SD283" s="309"/>
      <c r="SE283" s="309"/>
      <c r="SF283" s="309"/>
      <c r="SG283" s="309"/>
      <c r="SH283" s="309"/>
      <c r="SI283" s="309"/>
      <c r="SJ283" s="309"/>
      <c r="SK283" s="309"/>
      <c r="SL283" s="309"/>
      <c r="SM283" s="309"/>
      <c r="SN283" s="309"/>
      <c r="SO283" s="309"/>
      <c r="SP283" s="309"/>
      <c r="SQ283" s="309"/>
      <c r="SR283" s="309"/>
      <c r="SS283" s="309"/>
      <c r="ST283" s="309"/>
      <c r="SU283" s="309"/>
      <c r="SV283" s="309"/>
      <c r="SW283" s="309"/>
      <c r="SX283" s="309"/>
      <c r="SY283" s="309"/>
      <c r="SZ283" s="309"/>
      <c r="TA283" s="309"/>
      <c r="TB283" s="309"/>
      <c r="TC283" s="309"/>
      <c r="TD283" s="309"/>
      <c r="TE283" s="309"/>
      <c r="TF283" s="309"/>
      <c r="TG283" s="309"/>
      <c r="TH283" s="309"/>
      <c r="TI283" s="309"/>
      <c r="TJ283" s="309"/>
      <c r="TK283" s="309"/>
      <c r="TL283" s="309"/>
      <c r="TM283" s="309"/>
      <c r="TN283" s="309"/>
      <c r="TO283" s="309"/>
      <c r="TP283" s="309"/>
      <c r="TQ283" s="309"/>
      <c r="TR283" s="309"/>
      <c r="TS283" s="309"/>
      <c r="TT283" s="309"/>
      <c r="TU283" s="309"/>
      <c r="TV283" s="309"/>
      <c r="TW283" s="309"/>
      <c r="TX283" s="309"/>
      <c r="TY283" s="309"/>
      <c r="TZ283" s="309"/>
      <c r="UA283" s="309"/>
      <c r="UB283" s="309"/>
      <c r="UC283" s="309"/>
      <c r="UD283" s="309"/>
      <c r="UE283" s="309"/>
      <c r="UF283" s="309"/>
      <c r="UG283" s="309"/>
      <c r="UH283" s="309"/>
      <c r="UI283" s="309"/>
      <c r="UJ283" s="309"/>
      <c r="UK283" s="309"/>
      <c r="UL283" s="309"/>
      <c r="UM283" s="309"/>
      <c r="UN283" s="309"/>
      <c r="UO283" s="309"/>
      <c r="UP283" s="309"/>
      <c r="UQ283" s="309"/>
      <c r="UR283" s="309"/>
      <c r="US283" s="309"/>
      <c r="UT283" s="309"/>
      <c r="UU283" s="309"/>
      <c r="UV283" s="309"/>
      <c r="UW283" s="309"/>
      <c r="UX283" s="309"/>
      <c r="UY283" s="309"/>
      <c r="UZ283" s="309"/>
      <c r="VA283" s="309"/>
      <c r="VB283" s="309"/>
      <c r="VC283" s="309"/>
      <c r="VD283" s="309"/>
      <c r="VE283" s="309"/>
      <c r="VF283" s="309"/>
      <c r="VG283" s="309"/>
      <c r="VH283" s="309"/>
      <c r="VI283" s="309"/>
      <c r="VJ283" s="309"/>
      <c r="VK283" s="309"/>
      <c r="VL283" s="309"/>
      <c r="VM283" s="309"/>
      <c r="VN283" s="309"/>
      <c r="VO283" s="309"/>
      <c r="VP283" s="309"/>
      <c r="VQ283" s="309"/>
      <c r="VR283" s="309"/>
      <c r="VS283" s="309"/>
      <c r="VT283" s="309"/>
      <c r="VU283" s="309"/>
      <c r="VV283" s="309"/>
      <c r="VW283" s="309"/>
      <c r="VX283" s="309"/>
      <c r="VY283" s="309"/>
      <c r="VZ283" s="309"/>
      <c r="WA283" s="309"/>
      <c r="WB283" s="309"/>
      <c r="WC283" s="309"/>
      <c r="WD283" s="309"/>
      <c r="WE283" s="309"/>
      <c r="WF283" s="309"/>
      <c r="WG283" s="309"/>
      <c r="WH283" s="309"/>
      <c r="WI283" s="309"/>
      <c r="WJ283" s="309"/>
      <c r="WK283" s="309"/>
      <c r="WL283" s="309"/>
      <c r="WM283" s="309"/>
      <c r="WN283" s="309"/>
      <c r="WO283" s="309"/>
      <c r="WP283" s="309"/>
      <c r="WQ283" s="309"/>
      <c r="WR283" s="309"/>
      <c r="WS283" s="309"/>
      <c r="WT283" s="309"/>
      <c r="WU283" s="309"/>
      <c r="WV283" s="309"/>
      <c r="WW283" s="309"/>
      <c r="WX283" s="309"/>
      <c r="WY283" s="309"/>
      <c r="WZ283" s="309"/>
      <c r="XA283" s="309"/>
      <c r="XB283" s="309"/>
      <c r="XC283" s="309"/>
      <c r="XD283" s="309"/>
      <c r="XE283" s="309"/>
      <c r="XF283" s="309"/>
      <c r="XG283" s="309"/>
      <c r="XH283" s="309"/>
      <c r="XI283" s="309"/>
      <c r="XJ283" s="309"/>
      <c r="XK283" s="309"/>
      <c r="XL283" s="309"/>
      <c r="XM283" s="309"/>
      <c r="XN283" s="309"/>
      <c r="XO283" s="309"/>
      <c r="XP283" s="309"/>
      <c r="XQ283" s="309"/>
      <c r="XR283" s="309"/>
      <c r="XS283" s="309"/>
      <c r="XT283" s="309"/>
      <c r="XU283" s="309"/>
      <c r="XV283" s="309"/>
      <c r="XW283" s="309"/>
      <c r="XX283" s="309"/>
      <c r="XY283" s="309"/>
      <c r="XZ283" s="309"/>
      <c r="YA283" s="309"/>
      <c r="YB283" s="309"/>
      <c r="YC283" s="309"/>
      <c r="YD283" s="309"/>
      <c r="YE283" s="309"/>
      <c r="YF283" s="309"/>
      <c r="YG283" s="309"/>
      <c r="YH283" s="309"/>
      <c r="YI283" s="309"/>
      <c r="YJ283" s="309"/>
      <c r="YK283" s="309"/>
      <c r="YL283" s="309"/>
      <c r="YM283" s="309"/>
      <c r="YN283" s="309"/>
      <c r="YO283" s="309"/>
      <c r="YP283" s="309"/>
      <c r="YQ283" s="309"/>
      <c r="YR283" s="309"/>
      <c r="YS283" s="309"/>
      <c r="YT283" s="309"/>
      <c r="YU283" s="309"/>
      <c r="YV283" s="309"/>
      <c r="YW283" s="309"/>
      <c r="YX283" s="309"/>
      <c r="YY283" s="309"/>
      <c r="YZ283" s="309"/>
      <c r="ZA283" s="309"/>
      <c r="ZB283" s="309"/>
      <c r="ZC283" s="309"/>
      <c r="ZD283" s="309"/>
      <c r="ZE283" s="309"/>
      <c r="ZF283" s="309"/>
      <c r="ZG283" s="309"/>
      <c r="ZH283" s="309"/>
      <c r="ZI283" s="309"/>
      <c r="ZJ283" s="309"/>
    </row>
    <row r="284" spans="2:686" s="308" customFormat="1" x14ac:dyDescent="0.3">
      <c r="B284" s="309"/>
      <c r="C284" s="309"/>
      <c r="E284" s="340"/>
      <c r="F284" s="340"/>
      <c r="G284" s="171"/>
      <c r="H284" s="1"/>
      <c r="Y284" s="309"/>
      <c r="Z284" s="309"/>
      <c r="AA284" s="309"/>
      <c r="AB284" s="309"/>
      <c r="AC284" s="309"/>
      <c r="AD284" s="309"/>
      <c r="AE284" s="309"/>
      <c r="AF284" s="309"/>
      <c r="AG284" s="309"/>
      <c r="AH284" s="309"/>
      <c r="AI284" s="309"/>
      <c r="AJ284" s="309"/>
      <c r="AK284" s="309"/>
      <c r="AL284" s="309"/>
      <c r="AM284" s="309"/>
      <c r="AN284" s="309"/>
      <c r="AO284" s="309"/>
      <c r="AP284" s="309"/>
      <c r="AQ284" s="309"/>
      <c r="AR284" s="309"/>
      <c r="AS284" s="309"/>
      <c r="AT284" s="309"/>
      <c r="AU284" s="309"/>
      <c r="AV284" s="309"/>
      <c r="AW284" s="309"/>
      <c r="AX284" s="309"/>
      <c r="AY284" s="309"/>
      <c r="AZ284" s="309"/>
      <c r="BA284" s="309"/>
      <c r="BB284" s="309"/>
      <c r="BC284" s="309"/>
      <c r="BD284" s="309"/>
      <c r="BE284" s="309"/>
      <c r="BF284" s="309"/>
      <c r="BG284" s="309"/>
      <c r="BH284" s="309"/>
      <c r="BI284" s="309"/>
      <c r="BJ284" s="309"/>
      <c r="BK284" s="309"/>
      <c r="BL284" s="309"/>
      <c r="BM284" s="309"/>
      <c r="BN284" s="309"/>
      <c r="BO284" s="309"/>
      <c r="BP284" s="309"/>
      <c r="BQ284" s="309"/>
      <c r="BR284" s="309"/>
      <c r="BS284" s="309"/>
      <c r="BT284" s="309"/>
      <c r="BU284" s="309"/>
      <c r="BV284" s="309"/>
      <c r="BW284" s="309"/>
      <c r="BX284" s="309"/>
      <c r="BY284" s="309"/>
      <c r="BZ284" s="309"/>
      <c r="CA284" s="309"/>
      <c r="CB284" s="309"/>
      <c r="CC284" s="309"/>
      <c r="CD284" s="309"/>
      <c r="CE284" s="309"/>
      <c r="CF284" s="309"/>
      <c r="CG284" s="309"/>
      <c r="CH284" s="309"/>
      <c r="CI284" s="309"/>
      <c r="CJ284" s="309"/>
      <c r="CK284" s="309"/>
      <c r="CL284" s="309"/>
      <c r="CM284" s="309"/>
      <c r="CN284" s="309"/>
      <c r="CO284" s="309"/>
      <c r="CP284" s="309"/>
      <c r="CQ284" s="309"/>
      <c r="CR284" s="309"/>
      <c r="CS284" s="309"/>
      <c r="CT284" s="309"/>
      <c r="CU284" s="309"/>
      <c r="CV284" s="309"/>
      <c r="CW284" s="309"/>
      <c r="CX284" s="309"/>
      <c r="CY284" s="309"/>
      <c r="CZ284" s="309"/>
      <c r="DA284" s="309"/>
      <c r="DB284" s="309"/>
      <c r="DC284" s="309"/>
      <c r="DD284" s="309"/>
      <c r="DE284" s="309"/>
      <c r="DF284" s="309"/>
      <c r="DG284" s="309"/>
      <c r="DH284" s="309"/>
      <c r="DI284" s="309"/>
      <c r="DJ284" s="309"/>
      <c r="DK284" s="309"/>
      <c r="DL284" s="309"/>
      <c r="DM284" s="309"/>
      <c r="DN284" s="309"/>
      <c r="DO284" s="309"/>
      <c r="DP284" s="309"/>
      <c r="DQ284" s="309"/>
      <c r="DR284" s="309"/>
      <c r="DS284" s="309"/>
      <c r="DT284" s="309"/>
      <c r="DU284" s="309"/>
      <c r="DV284" s="309"/>
      <c r="DW284" s="309"/>
      <c r="DX284" s="309"/>
      <c r="DY284" s="309"/>
      <c r="DZ284" s="309"/>
      <c r="EA284" s="309"/>
      <c r="EB284" s="309"/>
      <c r="EC284" s="309"/>
      <c r="ED284" s="309"/>
      <c r="EE284" s="309"/>
      <c r="EF284" s="309"/>
      <c r="EG284" s="309"/>
      <c r="EH284" s="309"/>
      <c r="EI284" s="309"/>
      <c r="EJ284" s="309"/>
      <c r="EK284" s="309"/>
      <c r="EL284" s="309"/>
      <c r="EM284" s="309"/>
      <c r="EN284" s="309"/>
      <c r="EO284" s="309"/>
      <c r="EP284" s="309"/>
      <c r="EQ284" s="309"/>
      <c r="ER284" s="309"/>
      <c r="ES284" s="309"/>
      <c r="ET284" s="309"/>
      <c r="EU284" s="309"/>
      <c r="EV284" s="309"/>
      <c r="EW284" s="309"/>
      <c r="EX284" s="309"/>
      <c r="EY284" s="309"/>
      <c r="EZ284" s="309"/>
      <c r="FA284" s="309"/>
      <c r="FB284" s="309"/>
      <c r="FC284" s="309"/>
      <c r="FD284" s="309"/>
      <c r="FE284" s="309"/>
      <c r="FF284" s="309"/>
      <c r="FG284" s="309"/>
      <c r="FH284" s="309"/>
      <c r="FI284" s="309"/>
      <c r="FJ284" s="309"/>
      <c r="FK284" s="309"/>
      <c r="FL284" s="309"/>
      <c r="FM284" s="309"/>
      <c r="FN284" s="309"/>
      <c r="FO284" s="309"/>
      <c r="FP284" s="309"/>
      <c r="FQ284" s="309"/>
      <c r="FR284" s="309"/>
      <c r="FS284" s="309"/>
      <c r="FT284" s="309"/>
      <c r="FU284" s="309"/>
      <c r="FV284" s="309"/>
      <c r="FW284" s="309"/>
      <c r="FX284" s="309"/>
      <c r="FY284" s="309"/>
      <c r="FZ284" s="309"/>
      <c r="GA284" s="309"/>
      <c r="GB284" s="309"/>
      <c r="GC284" s="309"/>
      <c r="GD284" s="309"/>
      <c r="GE284" s="309"/>
      <c r="GF284" s="309"/>
      <c r="GG284" s="309"/>
      <c r="GH284" s="309"/>
      <c r="GI284" s="309"/>
      <c r="GJ284" s="309"/>
      <c r="GK284" s="309"/>
      <c r="GL284" s="309"/>
      <c r="GM284" s="309"/>
      <c r="GN284" s="309"/>
      <c r="GO284" s="309"/>
      <c r="GP284" s="309"/>
      <c r="GQ284" s="309"/>
      <c r="GR284" s="309"/>
      <c r="GS284" s="309"/>
      <c r="GT284" s="309"/>
      <c r="GU284" s="309"/>
      <c r="GV284" s="309"/>
      <c r="GW284" s="309"/>
      <c r="GX284" s="309"/>
      <c r="GY284" s="309"/>
      <c r="GZ284" s="309"/>
      <c r="HA284" s="309"/>
      <c r="HB284" s="309"/>
      <c r="HC284" s="309"/>
      <c r="HD284" s="309"/>
      <c r="HE284" s="309"/>
      <c r="HF284" s="309"/>
      <c r="HG284" s="309"/>
      <c r="HH284" s="309"/>
      <c r="HI284" s="309"/>
      <c r="HJ284" s="309"/>
      <c r="HK284" s="309"/>
      <c r="HL284" s="309"/>
      <c r="HM284" s="309"/>
      <c r="HN284" s="309"/>
      <c r="HO284" s="309"/>
      <c r="HP284" s="309"/>
      <c r="HQ284" s="309"/>
      <c r="HR284" s="309"/>
      <c r="HS284" s="309"/>
      <c r="HT284" s="309"/>
      <c r="HU284" s="309"/>
      <c r="HV284" s="309"/>
      <c r="HW284" s="309"/>
      <c r="HX284" s="309"/>
      <c r="HY284" s="309"/>
      <c r="HZ284" s="309"/>
      <c r="IA284" s="309"/>
      <c r="IB284" s="309"/>
      <c r="IC284" s="309"/>
      <c r="ID284" s="309"/>
      <c r="IE284" s="309"/>
      <c r="IF284" s="309"/>
      <c r="IG284" s="309"/>
      <c r="IH284" s="309"/>
      <c r="II284" s="309"/>
      <c r="IJ284" s="309"/>
      <c r="IK284" s="309"/>
      <c r="IL284" s="309"/>
      <c r="IM284" s="309"/>
      <c r="IN284" s="309"/>
      <c r="IO284" s="309"/>
      <c r="IP284" s="309"/>
      <c r="IQ284" s="309"/>
      <c r="IR284" s="309"/>
      <c r="IS284" s="309"/>
      <c r="IT284" s="309"/>
      <c r="IU284" s="309"/>
      <c r="IV284" s="309"/>
      <c r="IW284" s="309"/>
      <c r="IX284" s="309"/>
      <c r="IY284" s="309"/>
      <c r="IZ284" s="309"/>
      <c r="JA284" s="309"/>
      <c r="JB284" s="309"/>
      <c r="JC284" s="309"/>
      <c r="JD284" s="309"/>
      <c r="JE284" s="309"/>
      <c r="JF284" s="309"/>
      <c r="JG284" s="309"/>
      <c r="JH284" s="309"/>
      <c r="JI284" s="309"/>
      <c r="JJ284" s="309"/>
      <c r="JK284" s="309"/>
      <c r="JL284" s="309"/>
      <c r="JM284" s="309"/>
      <c r="JN284" s="309"/>
      <c r="JO284" s="309"/>
      <c r="JP284" s="309"/>
      <c r="JQ284" s="309"/>
      <c r="JR284" s="309"/>
      <c r="JS284" s="309"/>
      <c r="JT284" s="309"/>
      <c r="JU284" s="309"/>
      <c r="JV284" s="309"/>
      <c r="JW284" s="309"/>
      <c r="JX284" s="309"/>
      <c r="JY284" s="309"/>
      <c r="JZ284" s="309"/>
      <c r="KA284" s="309"/>
      <c r="KB284" s="309"/>
      <c r="KC284" s="309"/>
      <c r="KD284" s="309"/>
      <c r="KE284" s="309"/>
      <c r="KF284" s="309"/>
      <c r="KG284" s="309"/>
      <c r="KH284" s="309"/>
      <c r="KI284" s="309"/>
      <c r="KJ284" s="309"/>
      <c r="KK284" s="309"/>
      <c r="KL284" s="309"/>
      <c r="KM284" s="309"/>
      <c r="KN284" s="309"/>
      <c r="KO284" s="309"/>
      <c r="KP284" s="309"/>
      <c r="KQ284" s="309"/>
      <c r="KR284" s="309"/>
      <c r="KS284" s="309"/>
      <c r="KT284" s="309"/>
      <c r="KU284" s="309"/>
      <c r="KV284" s="309"/>
      <c r="KW284" s="309"/>
      <c r="KX284" s="309"/>
      <c r="KY284" s="309"/>
      <c r="KZ284" s="309"/>
      <c r="LA284" s="309"/>
      <c r="LB284" s="309"/>
      <c r="LC284" s="309"/>
      <c r="LD284" s="309"/>
      <c r="LE284" s="309"/>
      <c r="LF284" s="309"/>
      <c r="LG284" s="309"/>
      <c r="LH284" s="309"/>
      <c r="LI284" s="309"/>
      <c r="LJ284" s="309"/>
      <c r="LK284" s="309"/>
      <c r="LL284" s="309"/>
      <c r="LM284" s="309"/>
      <c r="LN284" s="309"/>
      <c r="LO284" s="309"/>
      <c r="LP284" s="309"/>
      <c r="LQ284" s="309"/>
      <c r="LR284" s="309"/>
      <c r="LS284" s="309"/>
      <c r="LT284" s="309"/>
      <c r="LU284" s="309"/>
      <c r="LV284" s="309"/>
      <c r="LW284" s="309"/>
      <c r="LX284" s="309"/>
      <c r="LY284" s="309"/>
      <c r="LZ284" s="309"/>
      <c r="MA284" s="309"/>
      <c r="MB284" s="309"/>
      <c r="MC284" s="309"/>
      <c r="MD284" s="309"/>
      <c r="ME284" s="309"/>
      <c r="MF284" s="309"/>
      <c r="MG284" s="309"/>
      <c r="MH284" s="309"/>
      <c r="MI284" s="309"/>
      <c r="MJ284" s="309"/>
      <c r="MK284" s="309"/>
      <c r="ML284" s="309"/>
      <c r="MM284" s="309"/>
      <c r="MN284" s="309"/>
      <c r="MO284" s="309"/>
      <c r="MP284" s="309"/>
      <c r="MQ284" s="309"/>
      <c r="MR284" s="309"/>
      <c r="MS284" s="309"/>
      <c r="MT284" s="309"/>
      <c r="MU284" s="309"/>
      <c r="MV284" s="309"/>
      <c r="MW284" s="309"/>
      <c r="MX284" s="309"/>
      <c r="MY284" s="309"/>
      <c r="MZ284" s="309"/>
      <c r="NA284" s="309"/>
      <c r="NB284" s="309"/>
      <c r="NC284" s="309"/>
      <c r="ND284" s="309"/>
      <c r="NE284" s="309"/>
      <c r="NF284" s="309"/>
      <c r="NG284" s="309"/>
      <c r="NH284" s="309"/>
      <c r="NI284" s="309"/>
      <c r="NJ284" s="309"/>
      <c r="NK284" s="309"/>
      <c r="NL284" s="309"/>
      <c r="NM284" s="309"/>
      <c r="NN284" s="309"/>
      <c r="NO284" s="309"/>
      <c r="NP284" s="309"/>
      <c r="NQ284" s="309"/>
      <c r="NR284" s="309"/>
      <c r="NS284" s="309"/>
      <c r="NT284" s="309"/>
      <c r="NU284" s="309"/>
      <c r="NV284" s="309"/>
      <c r="NW284" s="309"/>
      <c r="NX284" s="309"/>
      <c r="NY284" s="309"/>
      <c r="NZ284" s="309"/>
      <c r="OA284" s="309"/>
      <c r="OB284" s="309"/>
      <c r="OC284" s="309"/>
      <c r="OD284" s="309"/>
      <c r="OE284" s="309"/>
      <c r="OF284" s="309"/>
      <c r="OG284" s="309"/>
      <c r="OH284" s="309"/>
      <c r="OI284" s="309"/>
      <c r="OJ284" s="309"/>
      <c r="OK284" s="309"/>
      <c r="OL284" s="309"/>
      <c r="OM284" s="309"/>
      <c r="ON284" s="309"/>
      <c r="OO284" s="309"/>
      <c r="OP284" s="309"/>
      <c r="OQ284" s="309"/>
      <c r="OR284" s="309"/>
      <c r="OS284" s="309"/>
      <c r="OT284" s="309"/>
      <c r="OU284" s="309"/>
      <c r="OV284" s="309"/>
      <c r="OW284" s="309"/>
      <c r="OX284" s="309"/>
      <c r="OY284" s="309"/>
      <c r="OZ284" s="309"/>
      <c r="PA284" s="309"/>
      <c r="PB284" s="309"/>
      <c r="PC284" s="309"/>
      <c r="PD284" s="309"/>
      <c r="PE284" s="309"/>
      <c r="PF284" s="309"/>
      <c r="PG284" s="309"/>
      <c r="PH284" s="309"/>
      <c r="PI284" s="309"/>
      <c r="PJ284" s="309"/>
      <c r="PK284" s="309"/>
      <c r="PL284" s="309"/>
      <c r="PM284" s="309"/>
      <c r="PN284" s="309"/>
      <c r="PO284" s="309"/>
      <c r="PP284" s="309"/>
      <c r="PQ284" s="309"/>
      <c r="PR284" s="309"/>
      <c r="PS284" s="309"/>
      <c r="PT284" s="309"/>
      <c r="PU284" s="309"/>
      <c r="PV284" s="309"/>
      <c r="PW284" s="309"/>
      <c r="PX284" s="309"/>
      <c r="PY284" s="309"/>
      <c r="PZ284" s="309"/>
      <c r="QA284" s="309"/>
      <c r="QB284" s="309"/>
      <c r="QC284" s="309"/>
      <c r="QD284" s="309"/>
      <c r="QE284" s="309"/>
      <c r="QF284" s="309"/>
      <c r="QG284" s="309"/>
      <c r="QH284" s="309"/>
      <c r="QI284" s="309"/>
      <c r="QJ284" s="309"/>
      <c r="QK284" s="309"/>
      <c r="QL284" s="309"/>
      <c r="QM284" s="309"/>
      <c r="QN284" s="309"/>
      <c r="QO284" s="309"/>
      <c r="QP284" s="309"/>
      <c r="QQ284" s="309"/>
      <c r="QR284" s="309"/>
      <c r="QS284" s="309"/>
      <c r="QT284" s="309"/>
      <c r="QU284" s="309"/>
      <c r="QV284" s="309"/>
      <c r="QW284" s="309"/>
      <c r="QX284" s="309"/>
      <c r="QY284" s="309"/>
      <c r="QZ284" s="309"/>
      <c r="RA284" s="309"/>
      <c r="RB284" s="309"/>
      <c r="RC284" s="309"/>
      <c r="RD284" s="309"/>
      <c r="RE284" s="309"/>
      <c r="RF284" s="309"/>
      <c r="RG284" s="309"/>
      <c r="RH284" s="309"/>
      <c r="RI284" s="309"/>
      <c r="RJ284" s="309"/>
      <c r="RK284" s="309"/>
      <c r="RL284" s="309"/>
      <c r="RM284" s="309"/>
      <c r="RN284" s="309"/>
      <c r="RO284" s="309"/>
      <c r="RP284" s="309"/>
      <c r="RQ284" s="309"/>
      <c r="RR284" s="309"/>
      <c r="RS284" s="309"/>
      <c r="RT284" s="309"/>
      <c r="RU284" s="309"/>
      <c r="RV284" s="309"/>
      <c r="RW284" s="309"/>
      <c r="RX284" s="309"/>
      <c r="RY284" s="309"/>
      <c r="RZ284" s="309"/>
      <c r="SA284" s="309"/>
      <c r="SB284" s="309"/>
      <c r="SC284" s="309"/>
      <c r="SD284" s="309"/>
      <c r="SE284" s="309"/>
      <c r="SF284" s="309"/>
      <c r="SG284" s="309"/>
      <c r="SH284" s="309"/>
      <c r="SI284" s="309"/>
      <c r="SJ284" s="309"/>
      <c r="SK284" s="309"/>
      <c r="SL284" s="309"/>
      <c r="SM284" s="309"/>
      <c r="SN284" s="309"/>
      <c r="SO284" s="309"/>
      <c r="SP284" s="309"/>
      <c r="SQ284" s="309"/>
      <c r="SR284" s="309"/>
      <c r="SS284" s="309"/>
      <c r="ST284" s="309"/>
      <c r="SU284" s="309"/>
      <c r="SV284" s="309"/>
      <c r="SW284" s="309"/>
      <c r="SX284" s="309"/>
      <c r="SY284" s="309"/>
      <c r="SZ284" s="309"/>
      <c r="TA284" s="309"/>
      <c r="TB284" s="309"/>
      <c r="TC284" s="309"/>
      <c r="TD284" s="309"/>
      <c r="TE284" s="309"/>
      <c r="TF284" s="309"/>
      <c r="TG284" s="309"/>
      <c r="TH284" s="309"/>
      <c r="TI284" s="309"/>
      <c r="TJ284" s="309"/>
      <c r="TK284" s="309"/>
      <c r="TL284" s="309"/>
      <c r="TM284" s="309"/>
      <c r="TN284" s="309"/>
      <c r="TO284" s="309"/>
      <c r="TP284" s="309"/>
      <c r="TQ284" s="309"/>
      <c r="TR284" s="309"/>
      <c r="TS284" s="309"/>
      <c r="TT284" s="309"/>
      <c r="TU284" s="309"/>
      <c r="TV284" s="309"/>
      <c r="TW284" s="309"/>
      <c r="TX284" s="309"/>
      <c r="TY284" s="309"/>
      <c r="TZ284" s="309"/>
      <c r="UA284" s="309"/>
      <c r="UB284" s="309"/>
      <c r="UC284" s="309"/>
      <c r="UD284" s="309"/>
      <c r="UE284" s="309"/>
      <c r="UF284" s="309"/>
      <c r="UG284" s="309"/>
      <c r="UH284" s="309"/>
      <c r="UI284" s="309"/>
      <c r="UJ284" s="309"/>
      <c r="UK284" s="309"/>
      <c r="UL284" s="309"/>
      <c r="UM284" s="309"/>
      <c r="UN284" s="309"/>
      <c r="UO284" s="309"/>
      <c r="UP284" s="309"/>
      <c r="UQ284" s="309"/>
      <c r="UR284" s="309"/>
      <c r="US284" s="309"/>
      <c r="UT284" s="309"/>
      <c r="UU284" s="309"/>
      <c r="UV284" s="309"/>
      <c r="UW284" s="309"/>
      <c r="UX284" s="309"/>
      <c r="UY284" s="309"/>
      <c r="UZ284" s="309"/>
      <c r="VA284" s="309"/>
      <c r="VB284" s="309"/>
      <c r="VC284" s="309"/>
      <c r="VD284" s="309"/>
      <c r="VE284" s="309"/>
      <c r="VF284" s="309"/>
      <c r="VG284" s="309"/>
      <c r="VH284" s="309"/>
      <c r="VI284" s="309"/>
      <c r="VJ284" s="309"/>
      <c r="VK284" s="309"/>
      <c r="VL284" s="309"/>
      <c r="VM284" s="309"/>
      <c r="VN284" s="309"/>
      <c r="VO284" s="309"/>
      <c r="VP284" s="309"/>
      <c r="VQ284" s="309"/>
      <c r="VR284" s="309"/>
      <c r="VS284" s="309"/>
      <c r="VT284" s="309"/>
      <c r="VU284" s="309"/>
      <c r="VV284" s="309"/>
      <c r="VW284" s="309"/>
      <c r="VX284" s="309"/>
      <c r="VY284" s="309"/>
      <c r="VZ284" s="309"/>
      <c r="WA284" s="309"/>
      <c r="WB284" s="309"/>
      <c r="WC284" s="309"/>
      <c r="WD284" s="309"/>
      <c r="WE284" s="309"/>
      <c r="WF284" s="309"/>
      <c r="WG284" s="309"/>
      <c r="WH284" s="309"/>
      <c r="WI284" s="309"/>
      <c r="WJ284" s="309"/>
      <c r="WK284" s="309"/>
      <c r="WL284" s="309"/>
      <c r="WM284" s="309"/>
      <c r="WN284" s="309"/>
      <c r="WO284" s="309"/>
      <c r="WP284" s="309"/>
      <c r="WQ284" s="309"/>
      <c r="WR284" s="309"/>
      <c r="WS284" s="309"/>
      <c r="WT284" s="309"/>
      <c r="WU284" s="309"/>
      <c r="WV284" s="309"/>
      <c r="WW284" s="309"/>
      <c r="WX284" s="309"/>
      <c r="WY284" s="309"/>
      <c r="WZ284" s="309"/>
      <c r="XA284" s="309"/>
      <c r="XB284" s="309"/>
      <c r="XC284" s="309"/>
      <c r="XD284" s="309"/>
      <c r="XE284" s="309"/>
      <c r="XF284" s="309"/>
      <c r="XG284" s="309"/>
      <c r="XH284" s="309"/>
      <c r="XI284" s="309"/>
      <c r="XJ284" s="309"/>
      <c r="XK284" s="309"/>
      <c r="XL284" s="309"/>
      <c r="XM284" s="309"/>
      <c r="XN284" s="309"/>
      <c r="XO284" s="309"/>
      <c r="XP284" s="309"/>
      <c r="XQ284" s="309"/>
      <c r="XR284" s="309"/>
      <c r="XS284" s="309"/>
      <c r="XT284" s="309"/>
      <c r="XU284" s="309"/>
      <c r="XV284" s="309"/>
      <c r="XW284" s="309"/>
      <c r="XX284" s="309"/>
      <c r="XY284" s="309"/>
      <c r="XZ284" s="309"/>
      <c r="YA284" s="309"/>
      <c r="YB284" s="309"/>
      <c r="YC284" s="309"/>
      <c r="YD284" s="309"/>
      <c r="YE284" s="309"/>
      <c r="YF284" s="309"/>
      <c r="YG284" s="309"/>
      <c r="YH284" s="309"/>
      <c r="YI284" s="309"/>
      <c r="YJ284" s="309"/>
      <c r="YK284" s="309"/>
      <c r="YL284" s="309"/>
      <c r="YM284" s="309"/>
      <c r="YN284" s="309"/>
      <c r="YO284" s="309"/>
      <c r="YP284" s="309"/>
      <c r="YQ284" s="309"/>
      <c r="YR284" s="309"/>
      <c r="YS284" s="309"/>
      <c r="YT284" s="309"/>
      <c r="YU284" s="309"/>
      <c r="YV284" s="309"/>
      <c r="YW284" s="309"/>
      <c r="YX284" s="309"/>
      <c r="YY284" s="309"/>
      <c r="YZ284" s="309"/>
      <c r="ZA284" s="309"/>
      <c r="ZB284" s="309"/>
      <c r="ZC284" s="309"/>
      <c r="ZD284" s="309"/>
      <c r="ZE284" s="309"/>
      <c r="ZF284" s="309"/>
      <c r="ZG284" s="309"/>
      <c r="ZH284" s="309"/>
      <c r="ZI284" s="309"/>
      <c r="ZJ284" s="309"/>
    </row>
    <row r="285" spans="2:686" s="308" customFormat="1" x14ac:dyDescent="0.3">
      <c r="B285" s="309"/>
      <c r="C285" s="309"/>
      <c r="E285" s="340"/>
      <c r="F285" s="340"/>
      <c r="G285" s="171"/>
      <c r="H285" s="1"/>
      <c r="Y285" s="309"/>
      <c r="Z285" s="309"/>
      <c r="AA285" s="309"/>
      <c r="AB285" s="309"/>
      <c r="AC285" s="309"/>
      <c r="AD285" s="309"/>
      <c r="AE285" s="309"/>
      <c r="AF285" s="309"/>
      <c r="AG285" s="309"/>
      <c r="AH285" s="309"/>
      <c r="AI285" s="309"/>
      <c r="AJ285" s="309"/>
      <c r="AK285" s="309"/>
      <c r="AL285" s="309"/>
      <c r="AM285" s="309"/>
      <c r="AN285" s="309"/>
      <c r="AO285" s="309"/>
      <c r="AP285" s="309"/>
      <c r="AQ285" s="309"/>
      <c r="AR285" s="309"/>
      <c r="AS285" s="309"/>
      <c r="AT285" s="309"/>
      <c r="AU285" s="309"/>
      <c r="AV285" s="309"/>
      <c r="AW285" s="309"/>
      <c r="AX285" s="309"/>
      <c r="AY285" s="309"/>
      <c r="AZ285" s="309"/>
      <c r="BA285" s="309"/>
      <c r="BB285" s="309"/>
      <c r="BC285" s="309"/>
      <c r="BD285" s="309"/>
      <c r="BE285" s="309"/>
      <c r="BF285" s="309"/>
      <c r="BG285" s="309"/>
      <c r="BH285" s="309"/>
      <c r="BI285" s="309"/>
      <c r="BJ285" s="309"/>
      <c r="BK285" s="309"/>
      <c r="BL285" s="309"/>
      <c r="BM285" s="309"/>
      <c r="BN285" s="309"/>
      <c r="BO285" s="309"/>
      <c r="BP285" s="309"/>
      <c r="BQ285" s="309"/>
      <c r="BR285" s="309"/>
      <c r="BS285" s="309"/>
      <c r="BT285" s="309"/>
      <c r="BU285" s="309"/>
      <c r="BV285" s="309"/>
      <c r="BW285" s="309"/>
      <c r="BX285" s="309"/>
      <c r="BY285" s="309"/>
      <c r="BZ285" s="309"/>
      <c r="CA285" s="309"/>
      <c r="CB285" s="309"/>
      <c r="CC285" s="309"/>
      <c r="CD285" s="309"/>
      <c r="CE285" s="309"/>
      <c r="CF285" s="309"/>
      <c r="CG285" s="309"/>
      <c r="CH285" s="309"/>
      <c r="CI285" s="309"/>
      <c r="CJ285" s="309"/>
      <c r="CK285" s="309"/>
      <c r="CL285" s="309"/>
      <c r="CM285" s="309"/>
      <c r="CN285" s="309"/>
      <c r="CO285" s="309"/>
      <c r="CP285" s="309"/>
      <c r="CQ285" s="309"/>
      <c r="CR285" s="309"/>
      <c r="CS285" s="309"/>
      <c r="CT285" s="309"/>
      <c r="CU285" s="309"/>
      <c r="CV285" s="309"/>
      <c r="CW285" s="309"/>
      <c r="CX285" s="309"/>
      <c r="CY285" s="309"/>
      <c r="CZ285" s="309"/>
      <c r="DA285" s="309"/>
      <c r="DB285" s="309"/>
      <c r="DC285" s="309"/>
      <c r="DD285" s="309"/>
      <c r="DE285" s="309"/>
      <c r="DF285" s="309"/>
      <c r="DG285" s="309"/>
      <c r="DH285" s="309"/>
      <c r="DI285" s="309"/>
      <c r="DJ285" s="309"/>
      <c r="DK285" s="309"/>
      <c r="DL285" s="309"/>
      <c r="DM285" s="309"/>
      <c r="DN285" s="309"/>
      <c r="DO285" s="309"/>
      <c r="DP285" s="309"/>
      <c r="DQ285" s="309"/>
      <c r="DR285" s="309"/>
      <c r="DS285" s="309"/>
      <c r="DT285" s="309"/>
      <c r="DU285" s="309"/>
      <c r="DV285" s="309"/>
      <c r="DW285" s="309"/>
      <c r="DX285" s="309"/>
      <c r="DY285" s="309"/>
      <c r="DZ285" s="309"/>
      <c r="EA285" s="309"/>
      <c r="EB285" s="309"/>
      <c r="EC285" s="309"/>
      <c r="ED285" s="309"/>
      <c r="EE285" s="309"/>
      <c r="EF285" s="309"/>
      <c r="EG285" s="309"/>
      <c r="EH285" s="309"/>
      <c r="EI285" s="309"/>
      <c r="EJ285" s="309"/>
      <c r="EK285" s="309"/>
      <c r="EL285" s="309"/>
      <c r="EM285" s="309"/>
      <c r="EN285" s="309"/>
      <c r="EO285" s="309"/>
      <c r="EP285" s="309"/>
      <c r="EQ285" s="309"/>
      <c r="ER285" s="309"/>
      <c r="ES285" s="309"/>
      <c r="ET285" s="309"/>
      <c r="EU285" s="309"/>
      <c r="EV285" s="309"/>
      <c r="EW285" s="309"/>
      <c r="EX285" s="309"/>
      <c r="EY285" s="309"/>
      <c r="EZ285" s="309"/>
      <c r="FA285" s="309"/>
      <c r="FB285" s="309"/>
      <c r="FC285" s="309"/>
      <c r="FD285" s="309"/>
      <c r="FE285" s="309"/>
      <c r="FF285" s="309"/>
      <c r="FG285" s="309"/>
      <c r="FH285" s="309"/>
      <c r="FI285" s="309"/>
      <c r="FJ285" s="309"/>
      <c r="FK285" s="309"/>
      <c r="FL285" s="309"/>
      <c r="FM285" s="309"/>
      <c r="FN285" s="309"/>
      <c r="FO285" s="309"/>
      <c r="FP285" s="309"/>
      <c r="FQ285" s="309"/>
      <c r="FR285" s="309"/>
      <c r="FS285" s="309"/>
      <c r="FT285" s="309"/>
      <c r="FU285" s="309"/>
      <c r="FV285" s="309"/>
      <c r="FW285" s="309"/>
      <c r="FX285" s="309"/>
      <c r="FY285" s="309"/>
      <c r="FZ285" s="309"/>
      <c r="GA285" s="309"/>
      <c r="GB285" s="309"/>
      <c r="GC285" s="309"/>
      <c r="GD285" s="309"/>
      <c r="GE285" s="309"/>
      <c r="GF285" s="309"/>
      <c r="GG285" s="309"/>
      <c r="GH285" s="309"/>
      <c r="GI285" s="309"/>
      <c r="GJ285" s="309"/>
      <c r="GK285" s="309"/>
      <c r="GL285" s="309"/>
      <c r="GM285" s="309"/>
      <c r="GN285" s="309"/>
      <c r="GO285" s="309"/>
      <c r="GP285" s="309"/>
      <c r="GQ285" s="309"/>
      <c r="GR285" s="309"/>
      <c r="GS285" s="309"/>
      <c r="GT285" s="309"/>
      <c r="GU285" s="309"/>
      <c r="GV285" s="309"/>
      <c r="GW285" s="309"/>
      <c r="GX285" s="309"/>
      <c r="GY285" s="309"/>
      <c r="GZ285" s="309"/>
      <c r="HA285" s="309"/>
      <c r="HB285" s="309"/>
      <c r="HC285" s="309"/>
      <c r="HD285" s="309"/>
      <c r="HE285" s="309"/>
      <c r="HF285" s="309"/>
      <c r="HG285" s="309"/>
      <c r="HH285" s="309"/>
      <c r="HI285" s="309"/>
      <c r="HJ285" s="309"/>
      <c r="HK285" s="309"/>
      <c r="HL285" s="309"/>
      <c r="HM285" s="309"/>
      <c r="HN285" s="309"/>
      <c r="HO285" s="309"/>
      <c r="HP285" s="309"/>
      <c r="HQ285" s="309"/>
      <c r="HR285" s="309"/>
      <c r="HS285" s="309"/>
      <c r="HT285" s="309"/>
      <c r="HU285" s="309"/>
      <c r="HV285" s="309"/>
      <c r="HW285" s="309"/>
      <c r="HX285" s="309"/>
      <c r="HY285" s="309"/>
      <c r="HZ285" s="309"/>
      <c r="IA285" s="309"/>
      <c r="IB285" s="309"/>
      <c r="IC285" s="309"/>
      <c r="ID285" s="309"/>
      <c r="IE285" s="309"/>
      <c r="IF285" s="309"/>
      <c r="IG285" s="309"/>
      <c r="IH285" s="309"/>
      <c r="II285" s="309"/>
      <c r="IJ285" s="309"/>
      <c r="IK285" s="309"/>
      <c r="IL285" s="309"/>
      <c r="IM285" s="309"/>
      <c r="IN285" s="309"/>
      <c r="IO285" s="309"/>
      <c r="IP285" s="309"/>
      <c r="IQ285" s="309"/>
      <c r="IR285" s="309"/>
      <c r="IS285" s="309"/>
      <c r="IT285" s="309"/>
      <c r="IU285" s="309"/>
      <c r="IV285" s="309"/>
      <c r="IW285" s="309"/>
      <c r="IX285" s="309"/>
      <c r="IY285" s="309"/>
      <c r="IZ285" s="309"/>
      <c r="JA285" s="309"/>
      <c r="JB285" s="309"/>
      <c r="JC285" s="309"/>
      <c r="JD285" s="309"/>
      <c r="JE285" s="309"/>
      <c r="JF285" s="309"/>
      <c r="JG285" s="309"/>
      <c r="JH285" s="309"/>
      <c r="JI285" s="309"/>
      <c r="JJ285" s="309"/>
      <c r="JK285" s="309"/>
      <c r="JL285" s="309"/>
      <c r="JM285" s="309"/>
      <c r="JN285" s="309"/>
      <c r="JO285" s="309"/>
      <c r="JP285" s="309"/>
      <c r="JQ285" s="309"/>
      <c r="JR285" s="309"/>
      <c r="JS285" s="309"/>
      <c r="JT285" s="309"/>
      <c r="JU285" s="309"/>
      <c r="JV285" s="309"/>
      <c r="JW285" s="309"/>
      <c r="JX285" s="309"/>
      <c r="JY285" s="309"/>
      <c r="JZ285" s="309"/>
      <c r="KA285" s="309"/>
      <c r="KB285" s="309"/>
      <c r="KC285" s="309"/>
      <c r="KD285" s="309"/>
      <c r="KE285" s="309"/>
      <c r="KF285" s="309"/>
      <c r="KG285" s="309"/>
      <c r="KH285" s="309"/>
      <c r="KI285" s="309"/>
      <c r="KJ285" s="309"/>
      <c r="KK285" s="309"/>
      <c r="KL285" s="309"/>
      <c r="KM285" s="309"/>
      <c r="KN285" s="309"/>
      <c r="KO285" s="309"/>
      <c r="KP285" s="309"/>
      <c r="KQ285" s="309"/>
      <c r="KR285" s="309"/>
      <c r="KS285" s="309"/>
      <c r="KT285" s="309"/>
      <c r="KU285" s="309"/>
      <c r="KV285" s="309"/>
      <c r="KW285" s="309"/>
      <c r="KX285" s="309"/>
      <c r="KY285" s="309"/>
      <c r="KZ285" s="309"/>
      <c r="LA285" s="309"/>
      <c r="LB285" s="309"/>
      <c r="LC285" s="309"/>
      <c r="LD285" s="309"/>
      <c r="LE285" s="309"/>
      <c r="LF285" s="309"/>
      <c r="LG285" s="309"/>
      <c r="LH285" s="309"/>
      <c r="LI285" s="309"/>
      <c r="LJ285" s="309"/>
      <c r="LK285" s="309"/>
      <c r="LL285" s="309"/>
      <c r="LM285" s="309"/>
      <c r="LN285" s="309"/>
      <c r="LO285" s="309"/>
      <c r="LP285" s="309"/>
      <c r="LQ285" s="309"/>
      <c r="LR285" s="309"/>
      <c r="LS285" s="309"/>
      <c r="LT285" s="309"/>
      <c r="LU285" s="309"/>
      <c r="LV285" s="309"/>
      <c r="LW285" s="309"/>
      <c r="LX285" s="309"/>
      <c r="LY285" s="309"/>
      <c r="LZ285" s="309"/>
      <c r="MA285" s="309"/>
      <c r="MB285" s="309"/>
      <c r="MC285" s="309"/>
      <c r="MD285" s="309"/>
      <c r="ME285" s="309"/>
      <c r="MF285" s="309"/>
      <c r="MG285" s="309"/>
      <c r="MH285" s="309"/>
      <c r="MI285" s="309"/>
      <c r="MJ285" s="309"/>
      <c r="MK285" s="309"/>
      <c r="ML285" s="309"/>
      <c r="MM285" s="309"/>
      <c r="MN285" s="309"/>
      <c r="MO285" s="309"/>
      <c r="MP285" s="309"/>
      <c r="MQ285" s="309"/>
      <c r="MR285" s="309"/>
      <c r="MS285" s="309"/>
      <c r="MT285" s="309"/>
      <c r="MU285" s="309"/>
      <c r="MV285" s="309"/>
      <c r="MW285" s="309"/>
      <c r="MX285" s="309"/>
      <c r="MY285" s="309"/>
      <c r="MZ285" s="309"/>
      <c r="NA285" s="309"/>
      <c r="NB285" s="309"/>
      <c r="NC285" s="309"/>
      <c r="ND285" s="309"/>
      <c r="NE285" s="309"/>
      <c r="NF285" s="309"/>
      <c r="NG285" s="309"/>
      <c r="NH285" s="309"/>
      <c r="NI285" s="309"/>
      <c r="NJ285" s="309"/>
      <c r="NK285" s="309"/>
      <c r="NL285" s="309"/>
      <c r="NM285" s="309"/>
      <c r="NN285" s="309"/>
      <c r="NO285" s="309"/>
      <c r="NP285" s="309"/>
      <c r="NQ285" s="309"/>
      <c r="NR285" s="309"/>
      <c r="NS285" s="309"/>
      <c r="NT285" s="309"/>
      <c r="NU285" s="309"/>
      <c r="NV285" s="309"/>
      <c r="NW285" s="309"/>
      <c r="NX285" s="309"/>
      <c r="NY285" s="309"/>
      <c r="NZ285" s="309"/>
      <c r="OA285" s="309"/>
      <c r="OB285" s="309"/>
      <c r="OC285" s="309"/>
      <c r="OD285" s="309"/>
      <c r="OE285" s="309"/>
      <c r="OF285" s="309"/>
      <c r="OG285" s="309"/>
      <c r="OH285" s="309"/>
      <c r="OI285" s="309"/>
      <c r="OJ285" s="309"/>
      <c r="OK285" s="309"/>
      <c r="OL285" s="309"/>
      <c r="OM285" s="309"/>
      <c r="ON285" s="309"/>
      <c r="OO285" s="309"/>
      <c r="OP285" s="309"/>
      <c r="OQ285" s="309"/>
      <c r="OR285" s="309"/>
      <c r="OS285" s="309"/>
      <c r="OT285" s="309"/>
      <c r="OU285" s="309"/>
      <c r="OV285" s="309"/>
      <c r="OW285" s="309"/>
      <c r="OX285" s="309"/>
      <c r="OY285" s="309"/>
      <c r="OZ285" s="309"/>
      <c r="PA285" s="309"/>
      <c r="PB285" s="309"/>
      <c r="PC285" s="309"/>
      <c r="PD285" s="309"/>
      <c r="PE285" s="309"/>
      <c r="PF285" s="309"/>
      <c r="PG285" s="309"/>
      <c r="PH285" s="309"/>
      <c r="PI285" s="309"/>
      <c r="PJ285" s="309"/>
      <c r="PK285" s="309"/>
      <c r="PL285" s="309"/>
      <c r="PM285" s="309"/>
      <c r="PN285" s="309"/>
      <c r="PO285" s="309"/>
      <c r="PP285" s="309"/>
      <c r="PQ285" s="309"/>
      <c r="PR285" s="309"/>
      <c r="PS285" s="309"/>
      <c r="PT285" s="309"/>
      <c r="PU285" s="309"/>
      <c r="PV285" s="309"/>
      <c r="PW285" s="309"/>
      <c r="PX285" s="309"/>
      <c r="PY285" s="309"/>
      <c r="PZ285" s="309"/>
      <c r="QA285" s="309"/>
      <c r="QB285" s="309"/>
      <c r="QC285" s="309"/>
      <c r="QD285" s="309"/>
      <c r="QE285" s="309"/>
      <c r="QF285" s="309"/>
      <c r="QG285" s="309"/>
      <c r="QH285" s="309"/>
      <c r="QI285" s="309"/>
      <c r="QJ285" s="309"/>
      <c r="QK285" s="309"/>
      <c r="QL285" s="309"/>
      <c r="QM285" s="309"/>
      <c r="QN285" s="309"/>
      <c r="QO285" s="309"/>
      <c r="QP285" s="309"/>
      <c r="QQ285" s="309"/>
      <c r="QR285" s="309"/>
      <c r="QS285" s="309"/>
      <c r="QT285" s="309"/>
      <c r="QU285" s="309"/>
      <c r="QV285" s="309"/>
      <c r="QW285" s="309"/>
      <c r="QX285" s="309"/>
      <c r="QY285" s="309"/>
      <c r="QZ285" s="309"/>
      <c r="RA285" s="309"/>
      <c r="RB285" s="309"/>
      <c r="RC285" s="309"/>
      <c r="RD285" s="309"/>
      <c r="RE285" s="309"/>
      <c r="RF285" s="309"/>
      <c r="RG285" s="309"/>
      <c r="RH285" s="309"/>
      <c r="RI285" s="309"/>
      <c r="RJ285" s="309"/>
      <c r="RK285" s="309"/>
      <c r="RL285" s="309"/>
      <c r="RM285" s="309"/>
      <c r="RN285" s="309"/>
      <c r="RO285" s="309"/>
      <c r="RP285" s="309"/>
      <c r="RQ285" s="309"/>
      <c r="RR285" s="309"/>
      <c r="RS285" s="309"/>
      <c r="RT285" s="309"/>
      <c r="RU285" s="309"/>
      <c r="RV285" s="309"/>
      <c r="RW285" s="309"/>
      <c r="RX285" s="309"/>
      <c r="RY285" s="309"/>
      <c r="RZ285" s="309"/>
      <c r="SA285" s="309"/>
      <c r="SB285" s="309"/>
      <c r="SC285" s="309"/>
      <c r="SD285" s="309"/>
      <c r="SE285" s="309"/>
      <c r="SF285" s="309"/>
      <c r="SG285" s="309"/>
      <c r="SH285" s="309"/>
      <c r="SI285" s="309"/>
      <c r="SJ285" s="309"/>
      <c r="SK285" s="309"/>
      <c r="SL285" s="309"/>
      <c r="SM285" s="309"/>
      <c r="SN285" s="309"/>
      <c r="SO285" s="309"/>
      <c r="SP285" s="309"/>
      <c r="SQ285" s="309"/>
      <c r="SR285" s="309"/>
      <c r="SS285" s="309"/>
      <c r="ST285" s="309"/>
      <c r="SU285" s="309"/>
      <c r="SV285" s="309"/>
      <c r="SW285" s="309"/>
      <c r="SX285" s="309"/>
      <c r="SY285" s="309"/>
      <c r="SZ285" s="309"/>
      <c r="TA285" s="309"/>
      <c r="TB285" s="309"/>
      <c r="TC285" s="309"/>
      <c r="TD285" s="309"/>
      <c r="TE285" s="309"/>
      <c r="TF285" s="309"/>
      <c r="TG285" s="309"/>
      <c r="TH285" s="309"/>
      <c r="TI285" s="309"/>
      <c r="TJ285" s="309"/>
      <c r="TK285" s="309"/>
      <c r="TL285" s="309"/>
      <c r="TM285" s="309"/>
      <c r="TN285" s="309"/>
      <c r="TO285" s="309"/>
      <c r="TP285" s="309"/>
      <c r="TQ285" s="309"/>
      <c r="TR285" s="309"/>
      <c r="TS285" s="309"/>
      <c r="TT285" s="309"/>
      <c r="TU285" s="309"/>
      <c r="TV285" s="309"/>
      <c r="TW285" s="309"/>
      <c r="TX285" s="309"/>
      <c r="TY285" s="309"/>
      <c r="TZ285" s="309"/>
      <c r="UA285" s="309"/>
      <c r="UB285" s="309"/>
      <c r="UC285" s="309"/>
      <c r="UD285" s="309"/>
      <c r="UE285" s="309"/>
      <c r="UF285" s="309"/>
      <c r="UG285" s="309"/>
      <c r="UH285" s="309"/>
      <c r="UI285" s="309"/>
      <c r="UJ285" s="309"/>
      <c r="UK285" s="309"/>
      <c r="UL285" s="309"/>
      <c r="UM285" s="309"/>
      <c r="UN285" s="309"/>
      <c r="UO285" s="309"/>
      <c r="UP285" s="309"/>
      <c r="UQ285" s="309"/>
      <c r="UR285" s="309"/>
      <c r="US285" s="309"/>
      <c r="UT285" s="309"/>
      <c r="UU285" s="309"/>
      <c r="UV285" s="309"/>
      <c r="UW285" s="309"/>
      <c r="UX285" s="309"/>
      <c r="UY285" s="309"/>
      <c r="UZ285" s="309"/>
      <c r="VA285" s="309"/>
      <c r="VB285" s="309"/>
      <c r="VC285" s="309"/>
      <c r="VD285" s="309"/>
      <c r="VE285" s="309"/>
      <c r="VF285" s="309"/>
      <c r="VG285" s="309"/>
      <c r="VH285" s="309"/>
      <c r="VI285" s="309"/>
      <c r="VJ285" s="309"/>
      <c r="VK285" s="309"/>
      <c r="VL285" s="309"/>
      <c r="VM285" s="309"/>
      <c r="VN285" s="309"/>
      <c r="VO285" s="309"/>
      <c r="VP285" s="309"/>
      <c r="VQ285" s="309"/>
      <c r="VR285" s="309"/>
      <c r="VS285" s="309"/>
      <c r="VT285" s="309"/>
      <c r="VU285" s="309"/>
      <c r="VV285" s="309"/>
      <c r="VW285" s="309"/>
      <c r="VX285" s="309"/>
      <c r="VY285" s="309"/>
      <c r="VZ285" s="309"/>
      <c r="WA285" s="309"/>
      <c r="WB285" s="309"/>
      <c r="WC285" s="309"/>
      <c r="WD285" s="309"/>
      <c r="WE285" s="309"/>
      <c r="WF285" s="309"/>
      <c r="WG285" s="309"/>
      <c r="WH285" s="309"/>
      <c r="WI285" s="309"/>
      <c r="WJ285" s="309"/>
      <c r="WK285" s="309"/>
      <c r="WL285" s="309"/>
      <c r="WM285" s="309"/>
      <c r="WN285" s="309"/>
      <c r="WO285" s="309"/>
      <c r="WP285" s="309"/>
      <c r="WQ285" s="309"/>
      <c r="WR285" s="309"/>
      <c r="WS285" s="309"/>
      <c r="WT285" s="309"/>
      <c r="WU285" s="309"/>
      <c r="WV285" s="309"/>
      <c r="WW285" s="309"/>
      <c r="WX285" s="309"/>
      <c r="WY285" s="309"/>
      <c r="WZ285" s="309"/>
      <c r="XA285" s="309"/>
      <c r="XB285" s="309"/>
      <c r="XC285" s="309"/>
      <c r="XD285" s="309"/>
      <c r="XE285" s="309"/>
      <c r="XF285" s="309"/>
      <c r="XG285" s="309"/>
      <c r="XH285" s="309"/>
      <c r="XI285" s="309"/>
      <c r="XJ285" s="309"/>
      <c r="XK285" s="309"/>
      <c r="XL285" s="309"/>
      <c r="XM285" s="309"/>
      <c r="XN285" s="309"/>
      <c r="XO285" s="309"/>
      <c r="XP285" s="309"/>
      <c r="XQ285" s="309"/>
      <c r="XR285" s="309"/>
      <c r="XS285" s="309"/>
      <c r="XT285" s="309"/>
      <c r="XU285" s="309"/>
      <c r="XV285" s="309"/>
      <c r="XW285" s="309"/>
      <c r="XX285" s="309"/>
      <c r="XY285" s="309"/>
      <c r="XZ285" s="309"/>
      <c r="YA285" s="309"/>
      <c r="YB285" s="309"/>
      <c r="YC285" s="309"/>
      <c r="YD285" s="309"/>
      <c r="YE285" s="309"/>
      <c r="YF285" s="309"/>
      <c r="YG285" s="309"/>
      <c r="YH285" s="309"/>
      <c r="YI285" s="309"/>
      <c r="YJ285" s="309"/>
      <c r="YK285" s="309"/>
      <c r="YL285" s="309"/>
      <c r="YM285" s="309"/>
      <c r="YN285" s="309"/>
      <c r="YO285" s="309"/>
      <c r="YP285" s="309"/>
      <c r="YQ285" s="309"/>
      <c r="YR285" s="309"/>
      <c r="YS285" s="309"/>
      <c r="YT285" s="309"/>
      <c r="YU285" s="309"/>
      <c r="YV285" s="309"/>
      <c r="YW285" s="309"/>
      <c r="YX285" s="309"/>
      <c r="YY285" s="309"/>
      <c r="YZ285" s="309"/>
      <c r="ZA285" s="309"/>
      <c r="ZB285" s="309"/>
      <c r="ZC285" s="309"/>
      <c r="ZD285" s="309"/>
      <c r="ZE285" s="309"/>
      <c r="ZF285" s="309"/>
      <c r="ZG285" s="309"/>
      <c r="ZH285" s="309"/>
      <c r="ZI285" s="309"/>
      <c r="ZJ285" s="309"/>
    </row>
    <row r="286" spans="2:686" s="308" customFormat="1" x14ac:dyDescent="0.3">
      <c r="B286" s="309"/>
      <c r="C286" s="309"/>
      <c r="E286" s="340"/>
      <c r="F286" s="340"/>
      <c r="G286" s="171"/>
      <c r="H286" s="1"/>
      <c r="Y286" s="309"/>
      <c r="Z286" s="309"/>
      <c r="AA286" s="309"/>
      <c r="AB286" s="309"/>
      <c r="AC286" s="309"/>
      <c r="AD286" s="309"/>
      <c r="AE286" s="309"/>
      <c r="AF286" s="309"/>
      <c r="AG286" s="309"/>
      <c r="AH286" s="309"/>
      <c r="AI286" s="309"/>
      <c r="AJ286" s="309"/>
      <c r="AK286" s="309"/>
      <c r="AL286" s="309"/>
      <c r="AM286" s="309"/>
      <c r="AN286" s="309"/>
      <c r="AO286" s="309"/>
      <c r="AP286" s="309"/>
      <c r="AQ286" s="309"/>
      <c r="AR286" s="309"/>
      <c r="AS286" s="309"/>
      <c r="AT286" s="309"/>
      <c r="AU286" s="309"/>
      <c r="AV286" s="309"/>
      <c r="AW286" s="309"/>
      <c r="AX286" s="309"/>
      <c r="AY286" s="309"/>
      <c r="AZ286" s="309"/>
      <c r="BA286" s="309"/>
      <c r="BB286" s="309"/>
      <c r="BC286" s="309"/>
      <c r="BD286" s="309"/>
      <c r="BE286" s="309"/>
      <c r="BF286" s="309"/>
      <c r="BG286" s="309"/>
      <c r="BH286" s="309"/>
      <c r="BI286" s="309"/>
      <c r="BJ286" s="309"/>
      <c r="BK286" s="309"/>
      <c r="BL286" s="309"/>
      <c r="BM286" s="309"/>
      <c r="BN286" s="309"/>
      <c r="BO286" s="309"/>
      <c r="BP286" s="309"/>
      <c r="BQ286" s="309"/>
      <c r="BR286" s="309"/>
      <c r="BS286" s="309"/>
      <c r="BT286" s="309"/>
      <c r="BU286" s="309"/>
      <c r="BV286" s="309"/>
      <c r="BW286" s="309"/>
      <c r="BX286" s="309"/>
      <c r="BY286" s="309"/>
      <c r="BZ286" s="309"/>
      <c r="CA286" s="309"/>
      <c r="CB286" s="309"/>
      <c r="CC286" s="309"/>
      <c r="CD286" s="309"/>
      <c r="CE286" s="309"/>
      <c r="CF286" s="309"/>
      <c r="CG286" s="309"/>
      <c r="CH286" s="309"/>
      <c r="CI286" s="309"/>
      <c r="CJ286" s="309"/>
      <c r="CK286" s="309"/>
      <c r="CL286" s="309"/>
      <c r="CM286" s="309"/>
      <c r="CN286" s="309"/>
      <c r="CO286" s="309"/>
      <c r="CP286" s="309"/>
      <c r="CQ286" s="309"/>
      <c r="CR286" s="309"/>
      <c r="CS286" s="309"/>
      <c r="CT286" s="309"/>
      <c r="CU286" s="309"/>
      <c r="CV286" s="309"/>
      <c r="CW286" s="309"/>
      <c r="CX286" s="309"/>
      <c r="CY286" s="309"/>
      <c r="CZ286" s="309"/>
      <c r="DA286" s="309"/>
      <c r="DB286" s="309"/>
      <c r="DC286" s="309"/>
      <c r="DD286" s="309"/>
      <c r="DE286" s="309"/>
      <c r="DF286" s="309"/>
      <c r="DG286" s="309"/>
      <c r="DH286" s="309"/>
      <c r="DI286" s="309"/>
      <c r="DJ286" s="309"/>
      <c r="DK286" s="309"/>
      <c r="DL286" s="309"/>
      <c r="DM286" s="309"/>
      <c r="DN286" s="309"/>
      <c r="DO286" s="309"/>
      <c r="DP286" s="309"/>
      <c r="DQ286" s="309"/>
      <c r="DR286" s="309"/>
      <c r="DS286" s="309"/>
      <c r="DT286" s="309"/>
      <c r="DU286" s="309"/>
      <c r="DV286" s="309"/>
      <c r="DW286" s="309"/>
      <c r="DX286" s="309"/>
      <c r="DY286" s="309"/>
      <c r="DZ286" s="309"/>
      <c r="EA286" s="309"/>
      <c r="EB286" s="309"/>
      <c r="EC286" s="309"/>
      <c r="ED286" s="309"/>
      <c r="EE286" s="309"/>
      <c r="EF286" s="309"/>
      <c r="EG286" s="309"/>
      <c r="EH286" s="309"/>
      <c r="EI286" s="309"/>
      <c r="EJ286" s="309"/>
      <c r="EK286" s="309"/>
      <c r="EL286" s="309"/>
      <c r="EM286" s="309"/>
      <c r="EN286" s="309"/>
      <c r="EO286" s="309"/>
      <c r="EP286" s="309"/>
      <c r="EQ286" s="309"/>
      <c r="ER286" s="309"/>
      <c r="ES286" s="309"/>
      <c r="ET286" s="309"/>
      <c r="EU286" s="309"/>
      <c r="EV286" s="309"/>
      <c r="EW286" s="309"/>
      <c r="EX286" s="309"/>
      <c r="EY286" s="309"/>
      <c r="EZ286" s="309"/>
      <c r="FA286" s="309"/>
      <c r="FB286" s="309"/>
      <c r="FC286" s="309"/>
      <c r="FD286" s="309"/>
      <c r="FE286" s="309"/>
      <c r="FF286" s="309"/>
      <c r="FG286" s="309"/>
      <c r="FH286" s="309"/>
      <c r="FI286" s="309"/>
      <c r="FJ286" s="309"/>
      <c r="FK286" s="309"/>
      <c r="FL286" s="309"/>
      <c r="FM286" s="309"/>
      <c r="FN286" s="309"/>
      <c r="FO286" s="309"/>
      <c r="FP286" s="309"/>
      <c r="FQ286" s="309"/>
      <c r="FR286" s="309"/>
      <c r="FS286" s="309"/>
      <c r="FT286" s="309"/>
      <c r="FU286" s="309"/>
      <c r="FV286" s="309"/>
      <c r="FW286" s="309"/>
      <c r="FX286" s="309"/>
      <c r="FY286" s="309"/>
      <c r="FZ286" s="309"/>
      <c r="GA286" s="309"/>
      <c r="GB286" s="309"/>
      <c r="GC286" s="309"/>
      <c r="GD286" s="309"/>
      <c r="GE286" s="309"/>
      <c r="GF286" s="309"/>
      <c r="GG286" s="309"/>
      <c r="GH286" s="309"/>
      <c r="GI286" s="309"/>
      <c r="GJ286" s="309"/>
      <c r="GK286" s="309"/>
      <c r="GL286" s="309"/>
      <c r="GM286" s="309"/>
      <c r="GN286" s="309"/>
      <c r="GO286" s="309"/>
      <c r="GP286" s="309"/>
      <c r="GQ286" s="309"/>
      <c r="GR286" s="309"/>
      <c r="GS286" s="309"/>
      <c r="GT286" s="309"/>
      <c r="GU286" s="309"/>
      <c r="GV286" s="309"/>
      <c r="GW286" s="309"/>
      <c r="GX286" s="309"/>
      <c r="GY286" s="309"/>
      <c r="GZ286" s="309"/>
      <c r="HA286" s="309"/>
      <c r="HB286" s="309"/>
      <c r="HC286" s="309"/>
      <c r="HD286" s="309"/>
      <c r="HE286" s="309"/>
      <c r="HF286" s="309"/>
      <c r="HG286" s="309"/>
      <c r="HH286" s="309"/>
      <c r="HI286" s="309"/>
      <c r="HJ286" s="309"/>
      <c r="HK286" s="309"/>
      <c r="HL286" s="309"/>
      <c r="HM286" s="309"/>
      <c r="HN286" s="309"/>
      <c r="HO286" s="309"/>
      <c r="HP286" s="309"/>
      <c r="HQ286" s="309"/>
      <c r="HR286" s="309"/>
      <c r="HS286" s="309"/>
      <c r="HT286" s="309"/>
      <c r="HU286" s="309"/>
      <c r="HV286" s="309"/>
      <c r="HW286" s="309"/>
      <c r="HX286" s="309"/>
      <c r="HY286" s="309"/>
      <c r="HZ286" s="309"/>
      <c r="IA286" s="309"/>
      <c r="IB286" s="309"/>
      <c r="IC286" s="309"/>
      <c r="ID286" s="309"/>
      <c r="IE286" s="309"/>
      <c r="IF286" s="309"/>
      <c r="IG286" s="309"/>
      <c r="IH286" s="309"/>
      <c r="II286" s="309"/>
      <c r="IJ286" s="309"/>
      <c r="IK286" s="309"/>
      <c r="IL286" s="309"/>
      <c r="IM286" s="309"/>
      <c r="IN286" s="309"/>
      <c r="IO286" s="309"/>
      <c r="IP286" s="309"/>
      <c r="IQ286" s="309"/>
      <c r="IR286" s="309"/>
      <c r="IS286" s="309"/>
      <c r="IT286" s="309"/>
      <c r="IU286" s="309"/>
      <c r="IV286" s="309"/>
      <c r="IW286" s="309"/>
      <c r="IX286" s="309"/>
      <c r="IY286" s="309"/>
      <c r="IZ286" s="309"/>
      <c r="JA286" s="309"/>
      <c r="JB286" s="309"/>
      <c r="JC286" s="309"/>
      <c r="JD286" s="309"/>
      <c r="JE286" s="309"/>
      <c r="JF286" s="309"/>
      <c r="JG286" s="309"/>
      <c r="JH286" s="309"/>
      <c r="JI286" s="309"/>
      <c r="JJ286" s="309"/>
      <c r="JK286" s="309"/>
      <c r="JL286" s="309"/>
      <c r="JM286" s="309"/>
      <c r="JN286" s="309"/>
      <c r="JO286" s="309"/>
      <c r="JP286" s="309"/>
      <c r="JQ286" s="309"/>
      <c r="JR286" s="309"/>
      <c r="JS286" s="309"/>
      <c r="JT286" s="309"/>
      <c r="JU286" s="309"/>
      <c r="JV286" s="309"/>
      <c r="JW286" s="309"/>
      <c r="JX286" s="309"/>
      <c r="JY286" s="309"/>
      <c r="JZ286" s="309"/>
      <c r="KA286" s="309"/>
      <c r="KB286" s="309"/>
      <c r="KC286" s="309"/>
      <c r="KD286" s="309"/>
      <c r="KE286" s="309"/>
      <c r="KF286" s="309"/>
      <c r="KG286" s="309"/>
      <c r="KH286" s="309"/>
      <c r="KI286" s="309"/>
      <c r="KJ286" s="309"/>
      <c r="KK286" s="309"/>
      <c r="KL286" s="309"/>
      <c r="KM286" s="309"/>
      <c r="KN286" s="309"/>
      <c r="KO286" s="309"/>
      <c r="KP286" s="309"/>
      <c r="KQ286" s="309"/>
      <c r="KR286" s="309"/>
      <c r="KS286" s="309"/>
      <c r="KT286" s="309"/>
      <c r="KU286" s="309"/>
      <c r="KV286" s="309"/>
      <c r="KW286" s="309"/>
      <c r="KX286" s="309"/>
      <c r="KY286" s="309"/>
      <c r="KZ286" s="309"/>
      <c r="LA286" s="309"/>
      <c r="LB286" s="309"/>
      <c r="LC286" s="309"/>
      <c r="LD286" s="309"/>
      <c r="LE286" s="309"/>
      <c r="LF286" s="309"/>
      <c r="LG286" s="309"/>
      <c r="LH286" s="309"/>
      <c r="LI286" s="309"/>
      <c r="LJ286" s="309"/>
      <c r="LK286" s="309"/>
      <c r="LL286" s="309"/>
      <c r="LM286" s="309"/>
      <c r="LN286" s="309"/>
      <c r="LO286" s="309"/>
      <c r="LP286" s="309"/>
      <c r="LQ286" s="309"/>
      <c r="LR286" s="309"/>
      <c r="LS286" s="309"/>
      <c r="LT286" s="309"/>
      <c r="LU286" s="309"/>
      <c r="LV286" s="309"/>
      <c r="LW286" s="309"/>
      <c r="LX286" s="309"/>
      <c r="LY286" s="309"/>
      <c r="LZ286" s="309"/>
      <c r="MA286" s="309"/>
      <c r="MB286" s="309"/>
      <c r="MC286" s="309"/>
      <c r="MD286" s="309"/>
      <c r="ME286" s="309"/>
      <c r="MF286" s="309"/>
      <c r="MG286" s="309"/>
      <c r="MH286" s="309"/>
      <c r="MI286" s="309"/>
      <c r="MJ286" s="309"/>
      <c r="MK286" s="309"/>
      <c r="ML286" s="309"/>
      <c r="MM286" s="309"/>
      <c r="MN286" s="309"/>
      <c r="MO286" s="309"/>
      <c r="MP286" s="309"/>
      <c r="MQ286" s="309"/>
      <c r="MR286" s="309"/>
      <c r="MS286" s="309"/>
      <c r="MT286" s="309"/>
      <c r="MU286" s="309"/>
      <c r="MV286" s="309"/>
      <c r="MW286" s="309"/>
      <c r="MX286" s="309"/>
      <c r="MY286" s="309"/>
      <c r="MZ286" s="309"/>
      <c r="NA286" s="309"/>
      <c r="NB286" s="309"/>
      <c r="NC286" s="309"/>
      <c r="ND286" s="309"/>
      <c r="NE286" s="309"/>
      <c r="NF286" s="309"/>
      <c r="NG286" s="309"/>
      <c r="NH286" s="309"/>
      <c r="NI286" s="309"/>
      <c r="NJ286" s="309"/>
      <c r="NK286" s="309"/>
      <c r="NL286" s="309"/>
      <c r="NM286" s="309"/>
      <c r="NN286" s="309"/>
      <c r="NO286" s="309"/>
      <c r="NP286" s="309"/>
      <c r="NQ286" s="309"/>
      <c r="NR286" s="309"/>
      <c r="NS286" s="309"/>
      <c r="NT286" s="309"/>
      <c r="NU286" s="309"/>
      <c r="NV286" s="309"/>
      <c r="NW286" s="309"/>
      <c r="NX286" s="309"/>
      <c r="NY286" s="309"/>
      <c r="NZ286" s="309"/>
      <c r="OA286" s="309"/>
      <c r="OB286" s="309"/>
      <c r="OC286" s="309"/>
      <c r="OD286" s="309"/>
      <c r="OE286" s="309"/>
      <c r="OF286" s="309"/>
      <c r="OG286" s="309"/>
      <c r="OH286" s="309"/>
      <c r="OI286" s="309"/>
      <c r="OJ286" s="309"/>
      <c r="OK286" s="309"/>
      <c r="OL286" s="309"/>
      <c r="OM286" s="309"/>
      <c r="ON286" s="309"/>
      <c r="OO286" s="309"/>
      <c r="OP286" s="309"/>
      <c r="OQ286" s="309"/>
      <c r="OR286" s="309"/>
      <c r="OS286" s="309"/>
      <c r="OT286" s="309"/>
      <c r="OU286" s="309"/>
      <c r="OV286" s="309"/>
      <c r="OW286" s="309"/>
      <c r="OX286" s="309"/>
      <c r="OY286" s="309"/>
      <c r="OZ286" s="309"/>
      <c r="PA286" s="309"/>
      <c r="PB286" s="309"/>
      <c r="PC286" s="309"/>
      <c r="PD286" s="309"/>
      <c r="PE286" s="309"/>
      <c r="PF286" s="309"/>
      <c r="PG286" s="309"/>
      <c r="PH286" s="309"/>
      <c r="PI286" s="309"/>
      <c r="PJ286" s="309"/>
      <c r="PK286" s="309"/>
      <c r="PL286" s="309"/>
      <c r="PM286" s="309"/>
      <c r="PN286" s="309"/>
      <c r="PO286" s="309"/>
      <c r="PP286" s="309"/>
      <c r="PQ286" s="309"/>
      <c r="PR286" s="309"/>
      <c r="PS286" s="309"/>
      <c r="PT286" s="309"/>
      <c r="PU286" s="309"/>
      <c r="PV286" s="309"/>
      <c r="PW286" s="309"/>
      <c r="PX286" s="309"/>
      <c r="PY286" s="309"/>
      <c r="PZ286" s="309"/>
      <c r="QA286" s="309"/>
      <c r="QB286" s="309"/>
      <c r="QC286" s="309"/>
      <c r="QD286" s="309"/>
      <c r="QE286" s="309"/>
      <c r="QF286" s="309"/>
      <c r="QG286" s="309"/>
      <c r="QH286" s="309"/>
      <c r="QI286" s="309"/>
      <c r="QJ286" s="309"/>
      <c r="QK286" s="309"/>
      <c r="QL286" s="309"/>
      <c r="QM286" s="309"/>
      <c r="QN286" s="309"/>
      <c r="QO286" s="309"/>
      <c r="QP286" s="309"/>
      <c r="QQ286" s="309"/>
      <c r="QR286" s="309"/>
      <c r="QS286" s="309"/>
      <c r="QT286" s="309"/>
      <c r="QU286" s="309"/>
      <c r="QV286" s="309"/>
      <c r="QW286" s="309"/>
      <c r="QX286" s="309"/>
      <c r="QY286" s="309"/>
      <c r="QZ286" s="309"/>
      <c r="RA286" s="309"/>
      <c r="RB286" s="309"/>
      <c r="RC286" s="309"/>
      <c r="RD286" s="309"/>
      <c r="RE286" s="309"/>
      <c r="RF286" s="309"/>
      <c r="RG286" s="309"/>
      <c r="RH286" s="309"/>
      <c r="RI286" s="309"/>
      <c r="RJ286" s="309"/>
      <c r="RK286" s="309"/>
      <c r="RL286" s="309"/>
      <c r="RM286" s="309"/>
      <c r="RN286" s="309"/>
      <c r="RO286" s="309"/>
      <c r="RP286" s="309"/>
      <c r="RQ286" s="309"/>
      <c r="RR286" s="309"/>
      <c r="RS286" s="309"/>
      <c r="RT286" s="309"/>
      <c r="RU286" s="309"/>
      <c r="RV286" s="309"/>
      <c r="RW286" s="309"/>
      <c r="RX286" s="309"/>
      <c r="RY286" s="309"/>
      <c r="RZ286" s="309"/>
      <c r="SA286" s="309"/>
      <c r="SB286" s="309"/>
      <c r="SC286" s="309"/>
      <c r="SD286" s="309"/>
      <c r="SE286" s="309"/>
      <c r="SF286" s="309"/>
      <c r="SG286" s="309"/>
      <c r="SH286" s="309"/>
      <c r="SI286" s="309"/>
      <c r="SJ286" s="309"/>
      <c r="SK286" s="309"/>
      <c r="SL286" s="309"/>
      <c r="SM286" s="309"/>
      <c r="SN286" s="309"/>
      <c r="SO286" s="309"/>
      <c r="SP286" s="309"/>
      <c r="SQ286" s="309"/>
      <c r="SR286" s="309"/>
      <c r="SS286" s="309"/>
      <c r="ST286" s="309"/>
      <c r="SU286" s="309"/>
      <c r="SV286" s="309"/>
      <c r="SW286" s="309"/>
      <c r="SX286" s="309"/>
      <c r="SY286" s="309"/>
      <c r="SZ286" s="309"/>
      <c r="TA286" s="309"/>
      <c r="TB286" s="309"/>
      <c r="TC286" s="309"/>
      <c r="TD286" s="309"/>
      <c r="TE286" s="309"/>
      <c r="TF286" s="309"/>
      <c r="TG286" s="309"/>
      <c r="TH286" s="309"/>
      <c r="TI286" s="309"/>
      <c r="TJ286" s="309"/>
      <c r="TK286" s="309"/>
      <c r="TL286" s="309"/>
      <c r="TM286" s="309"/>
      <c r="TN286" s="309"/>
      <c r="TO286" s="309"/>
      <c r="TP286" s="309"/>
      <c r="TQ286" s="309"/>
      <c r="TR286" s="309"/>
      <c r="TS286" s="309"/>
      <c r="TT286" s="309"/>
      <c r="TU286" s="309"/>
      <c r="TV286" s="309"/>
      <c r="TW286" s="309"/>
      <c r="TX286" s="309"/>
      <c r="TY286" s="309"/>
      <c r="TZ286" s="309"/>
      <c r="UA286" s="309"/>
      <c r="UB286" s="309"/>
      <c r="UC286" s="309"/>
      <c r="UD286" s="309"/>
      <c r="UE286" s="309"/>
      <c r="UF286" s="309"/>
      <c r="UG286" s="309"/>
      <c r="UH286" s="309"/>
      <c r="UI286" s="309"/>
      <c r="UJ286" s="309"/>
      <c r="UK286" s="309"/>
      <c r="UL286" s="309"/>
      <c r="UM286" s="309"/>
      <c r="UN286" s="309"/>
      <c r="UO286" s="309"/>
      <c r="UP286" s="309"/>
      <c r="UQ286" s="309"/>
      <c r="UR286" s="309"/>
      <c r="US286" s="309"/>
      <c r="UT286" s="309"/>
      <c r="UU286" s="309"/>
      <c r="UV286" s="309"/>
      <c r="UW286" s="309"/>
      <c r="UX286" s="309"/>
      <c r="UY286" s="309"/>
      <c r="UZ286" s="309"/>
      <c r="VA286" s="309"/>
      <c r="VB286" s="309"/>
      <c r="VC286" s="309"/>
      <c r="VD286" s="309"/>
      <c r="VE286" s="309"/>
      <c r="VF286" s="309"/>
      <c r="VG286" s="309"/>
      <c r="VH286" s="309"/>
      <c r="VI286" s="309"/>
      <c r="VJ286" s="309"/>
      <c r="VK286" s="309"/>
      <c r="VL286" s="309"/>
      <c r="VM286" s="309"/>
      <c r="VN286" s="309"/>
      <c r="VO286" s="309"/>
      <c r="VP286" s="309"/>
      <c r="VQ286" s="309"/>
      <c r="VR286" s="309"/>
      <c r="VS286" s="309"/>
      <c r="VT286" s="309"/>
      <c r="VU286" s="309"/>
      <c r="VV286" s="309"/>
      <c r="VW286" s="309"/>
      <c r="VX286" s="309"/>
      <c r="VY286" s="309"/>
      <c r="VZ286" s="309"/>
      <c r="WA286" s="309"/>
      <c r="WB286" s="309"/>
      <c r="WC286" s="309"/>
      <c r="WD286" s="309"/>
      <c r="WE286" s="309"/>
      <c r="WF286" s="309"/>
      <c r="WG286" s="309"/>
      <c r="WH286" s="309"/>
      <c r="WI286" s="309"/>
      <c r="WJ286" s="309"/>
      <c r="WK286" s="309"/>
      <c r="WL286" s="309"/>
      <c r="WM286" s="309"/>
      <c r="WN286" s="309"/>
      <c r="WO286" s="309"/>
      <c r="WP286" s="309"/>
      <c r="WQ286" s="309"/>
      <c r="WR286" s="309"/>
      <c r="WS286" s="309"/>
      <c r="WT286" s="309"/>
      <c r="WU286" s="309"/>
      <c r="WV286" s="309"/>
      <c r="WW286" s="309"/>
      <c r="WX286" s="309"/>
      <c r="WY286" s="309"/>
      <c r="WZ286" s="309"/>
      <c r="XA286" s="309"/>
      <c r="XB286" s="309"/>
      <c r="XC286" s="309"/>
      <c r="XD286" s="309"/>
      <c r="XE286" s="309"/>
      <c r="XF286" s="309"/>
      <c r="XG286" s="309"/>
      <c r="XH286" s="309"/>
      <c r="XI286" s="309"/>
      <c r="XJ286" s="309"/>
      <c r="XK286" s="309"/>
      <c r="XL286" s="309"/>
      <c r="XM286" s="309"/>
      <c r="XN286" s="309"/>
      <c r="XO286" s="309"/>
      <c r="XP286" s="309"/>
      <c r="XQ286" s="309"/>
      <c r="XR286" s="309"/>
      <c r="XS286" s="309"/>
      <c r="XT286" s="309"/>
      <c r="XU286" s="309"/>
      <c r="XV286" s="309"/>
      <c r="XW286" s="309"/>
      <c r="XX286" s="309"/>
      <c r="XY286" s="309"/>
      <c r="XZ286" s="309"/>
      <c r="YA286" s="309"/>
      <c r="YB286" s="309"/>
      <c r="YC286" s="309"/>
      <c r="YD286" s="309"/>
      <c r="YE286" s="309"/>
      <c r="YF286" s="309"/>
      <c r="YG286" s="309"/>
      <c r="YH286" s="309"/>
      <c r="YI286" s="309"/>
      <c r="YJ286" s="309"/>
      <c r="YK286" s="309"/>
      <c r="YL286" s="309"/>
      <c r="YM286" s="309"/>
      <c r="YN286" s="309"/>
      <c r="YO286" s="309"/>
      <c r="YP286" s="309"/>
      <c r="YQ286" s="309"/>
      <c r="YR286" s="309"/>
      <c r="YS286" s="309"/>
      <c r="YT286" s="309"/>
      <c r="YU286" s="309"/>
      <c r="YV286" s="309"/>
      <c r="YW286" s="309"/>
      <c r="YX286" s="309"/>
      <c r="YY286" s="309"/>
      <c r="YZ286" s="309"/>
      <c r="ZA286" s="309"/>
      <c r="ZB286" s="309"/>
      <c r="ZC286" s="309"/>
      <c r="ZD286" s="309"/>
      <c r="ZE286" s="309"/>
      <c r="ZF286" s="309"/>
      <c r="ZG286" s="309"/>
      <c r="ZH286" s="309"/>
      <c r="ZI286" s="309"/>
      <c r="ZJ286" s="309"/>
    </row>
    <row r="287" spans="2:686" s="308" customFormat="1" x14ac:dyDescent="0.3">
      <c r="B287" s="309"/>
      <c r="C287" s="309"/>
      <c r="E287" s="340"/>
      <c r="F287" s="340"/>
      <c r="G287" s="171"/>
      <c r="H287" s="1"/>
      <c r="Y287" s="309"/>
      <c r="Z287" s="309"/>
      <c r="AA287" s="309"/>
      <c r="AB287" s="309"/>
      <c r="AC287" s="309"/>
      <c r="AD287" s="309"/>
      <c r="AE287" s="309"/>
      <c r="AF287" s="309"/>
      <c r="AG287" s="309"/>
      <c r="AH287" s="309"/>
      <c r="AI287" s="309"/>
      <c r="AJ287" s="309"/>
      <c r="AK287" s="309"/>
      <c r="AL287" s="309"/>
      <c r="AM287" s="309"/>
      <c r="AN287" s="309"/>
      <c r="AO287" s="309"/>
      <c r="AP287" s="309"/>
      <c r="AQ287" s="309"/>
      <c r="AR287" s="309"/>
      <c r="AS287" s="309"/>
      <c r="AT287" s="309"/>
      <c r="AU287" s="309"/>
      <c r="AV287" s="309"/>
      <c r="AW287" s="309"/>
      <c r="AX287" s="309"/>
      <c r="AY287" s="309"/>
      <c r="AZ287" s="309"/>
      <c r="BA287" s="309"/>
      <c r="BB287" s="309"/>
      <c r="BC287" s="309"/>
      <c r="BD287" s="309"/>
      <c r="BE287" s="309"/>
      <c r="BF287" s="309"/>
      <c r="BG287" s="309"/>
      <c r="BH287" s="309"/>
      <c r="BI287" s="309"/>
      <c r="BJ287" s="309"/>
      <c r="BK287" s="309"/>
      <c r="BL287" s="309"/>
      <c r="BM287" s="309"/>
      <c r="BN287" s="309"/>
      <c r="BO287" s="309"/>
      <c r="BP287" s="309"/>
      <c r="BQ287" s="309"/>
      <c r="BR287" s="309"/>
      <c r="BS287" s="309"/>
      <c r="BT287" s="309"/>
      <c r="BU287" s="309"/>
      <c r="BV287" s="309"/>
      <c r="BW287" s="309"/>
      <c r="BX287" s="309"/>
      <c r="BY287" s="309"/>
      <c r="BZ287" s="309"/>
      <c r="CA287" s="309"/>
      <c r="CB287" s="309"/>
      <c r="CC287" s="309"/>
      <c r="CD287" s="309"/>
      <c r="CE287" s="309"/>
      <c r="CF287" s="309"/>
      <c r="CG287" s="309"/>
      <c r="CH287" s="309"/>
      <c r="CI287" s="309"/>
      <c r="CJ287" s="309"/>
      <c r="CK287" s="309"/>
      <c r="CL287" s="309"/>
      <c r="CM287" s="309"/>
      <c r="CN287" s="309"/>
      <c r="CO287" s="309"/>
      <c r="CP287" s="309"/>
      <c r="CQ287" s="309"/>
      <c r="CR287" s="309"/>
      <c r="CS287" s="309"/>
      <c r="CT287" s="309"/>
      <c r="CU287" s="309"/>
      <c r="CV287" s="309"/>
      <c r="CW287" s="309"/>
      <c r="CX287" s="309"/>
      <c r="CY287" s="309"/>
      <c r="CZ287" s="309"/>
      <c r="DA287" s="309"/>
      <c r="DB287" s="309"/>
      <c r="DC287" s="309"/>
      <c r="DD287" s="309"/>
      <c r="DE287" s="309"/>
      <c r="DF287" s="309"/>
      <c r="DG287" s="309"/>
      <c r="DH287" s="309"/>
      <c r="DI287" s="309"/>
      <c r="DJ287" s="309"/>
      <c r="DK287" s="309"/>
      <c r="DL287" s="309"/>
      <c r="DM287" s="309"/>
      <c r="DN287" s="309"/>
      <c r="DO287" s="309"/>
      <c r="DP287" s="309"/>
      <c r="DQ287" s="309"/>
      <c r="DR287" s="309"/>
      <c r="DS287" s="309"/>
      <c r="DT287" s="309"/>
      <c r="DU287" s="309"/>
      <c r="DV287" s="309"/>
      <c r="DW287" s="309"/>
      <c r="DX287" s="309"/>
      <c r="DY287" s="309"/>
      <c r="DZ287" s="309"/>
      <c r="EA287" s="309"/>
      <c r="EB287" s="309"/>
      <c r="EC287" s="309"/>
      <c r="ED287" s="309"/>
      <c r="EE287" s="309"/>
      <c r="EF287" s="309"/>
      <c r="EG287" s="309"/>
      <c r="EH287" s="309"/>
      <c r="EI287" s="309"/>
      <c r="EJ287" s="309"/>
      <c r="EK287" s="309"/>
      <c r="EL287" s="309"/>
      <c r="EM287" s="309"/>
      <c r="EN287" s="309"/>
      <c r="EO287" s="309"/>
      <c r="EP287" s="309"/>
      <c r="EQ287" s="309"/>
      <c r="ER287" s="309"/>
      <c r="ES287" s="309"/>
      <c r="ET287" s="309"/>
      <c r="EU287" s="309"/>
      <c r="EV287" s="309"/>
      <c r="EW287" s="309"/>
      <c r="EX287" s="309"/>
      <c r="EY287" s="309"/>
      <c r="EZ287" s="309"/>
      <c r="FA287" s="309"/>
      <c r="FB287" s="309"/>
      <c r="FC287" s="309"/>
      <c r="FD287" s="309"/>
      <c r="FE287" s="309"/>
      <c r="FF287" s="309"/>
      <c r="FG287" s="309"/>
      <c r="FH287" s="309"/>
      <c r="FI287" s="309"/>
      <c r="FJ287" s="309"/>
      <c r="FK287" s="309"/>
      <c r="FL287" s="309"/>
      <c r="FM287" s="309"/>
      <c r="FN287" s="309"/>
      <c r="FO287" s="309"/>
      <c r="FP287" s="309"/>
      <c r="FQ287" s="309"/>
      <c r="FR287" s="309"/>
      <c r="FS287" s="309"/>
      <c r="FT287" s="309"/>
      <c r="FU287" s="309"/>
      <c r="FV287" s="309"/>
      <c r="FW287" s="309"/>
      <c r="FX287" s="309"/>
      <c r="FY287" s="309"/>
      <c r="FZ287" s="309"/>
      <c r="GA287" s="309"/>
      <c r="GB287" s="309"/>
      <c r="GC287" s="309"/>
      <c r="GD287" s="309"/>
      <c r="GE287" s="309"/>
      <c r="GF287" s="309"/>
      <c r="GG287" s="309"/>
      <c r="GH287" s="309"/>
      <c r="GI287" s="309"/>
      <c r="GJ287" s="309"/>
      <c r="GK287" s="309"/>
      <c r="GL287" s="309"/>
      <c r="GM287" s="309"/>
      <c r="GN287" s="309"/>
      <c r="GO287" s="309"/>
      <c r="GP287" s="309"/>
      <c r="GQ287" s="309"/>
      <c r="GR287" s="309"/>
      <c r="GS287" s="309"/>
      <c r="GT287" s="309"/>
      <c r="GU287" s="309"/>
      <c r="GV287" s="309"/>
      <c r="GW287" s="309"/>
      <c r="GX287" s="309"/>
      <c r="GY287" s="309"/>
      <c r="GZ287" s="309"/>
      <c r="HA287" s="309"/>
      <c r="HB287" s="309"/>
      <c r="HC287" s="309"/>
      <c r="HD287" s="309"/>
      <c r="HE287" s="309"/>
      <c r="HF287" s="309"/>
      <c r="HG287" s="309"/>
      <c r="HH287" s="309"/>
      <c r="HI287" s="309"/>
      <c r="HJ287" s="309"/>
      <c r="HK287" s="309"/>
      <c r="HL287" s="309"/>
      <c r="HM287" s="309"/>
      <c r="HN287" s="309"/>
      <c r="HO287" s="309"/>
      <c r="HP287" s="309"/>
      <c r="HQ287" s="309"/>
      <c r="HR287" s="309"/>
      <c r="HS287" s="309"/>
      <c r="HT287" s="309"/>
      <c r="HU287" s="309"/>
      <c r="HV287" s="309"/>
      <c r="HW287" s="309"/>
      <c r="HX287" s="309"/>
      <c r="HY287" s="309"/>
      <c r="HZ287" s="309"/>
      <c r="IA287" s="309"/>
      <c r="IB287" s="309"/>
      <c r="IC287" s="309"/>
      <c r="ID287" s="309"/>
      <c r="IE287" s="309"/>
      <c r="IF287" s="309"/>
      <c r="IG287" s="309"/>
      <c r="IH287" s="309"/>
      <c r="II287" s="309"/>
      <c r="IJ287" s="309"/>
      <c r="IK287" s="309"/>
      <c r="IL287" s="309"/>
      <c r="IM287" s="309"/>
      <c r="IN287" s="309"/>
      <c r="IO287" s="309"/>
      <c r="IP287" s="309"/>
      <c r="IQ287" s="309"/>
      <c r="IR287" s="309"/>
      <c r="IS287" s="309"/>
      <c r="IT287" s="309"/>
      <c r="IU287" s="309"/>
      <c r="IV287" s="309"/>
      <c r="IW287" s="309"/>
      <c r="IX287" s="309"/>
      <c r="IY287" s="309"/>
      <c r="IZ287" s="309"/>
      <c r="JA287" s="309"/>
      <c r="JB287" s="309"/>
      <c r="JC287" s="309"/>
      <c r="JD287" s="309"/>
      <c r="JE287" s="309"/>
      <c r="JF287" s="309"/>
      <c r="JG287" s="309"/>
      <c r="JH287" s="309"/>
      <c r="JI287" s="309"/>
      <c r="JJ287" s="309"/>
      <c r="JK287" s="309"/>
      <c r="JL287" s="309"/>
      <c r="JM287" s="309"/>
      <c r="JN287" s="309"/>
      <c r="JO287" s="309"/>
      <c r="JP287" s="309"/>
      <c r="JQ287" s="309"/>
      <c r="JR287" s="309"/>
      <c r="JS287" s="309"/>
      <c r="JT287" s="309"/>
      <c r="JU287" s="309"/>
      <c r="JV287" s="309"/>
      <c r="JW287" s="309"/>
      <c r="JX287" s="309"/>
      <c r="JY287" s="309"/>
      <c r="JZ287" s="309"/>
      <c r="KA287" s="309"/>
      <c r="KB287" s="309"/>
      <c r="KC287" s="309"/>
      <c r="KD287" s="309"/>
      <c r="KE287" s="309"/>
      <c r="KF287" s="309"/>
      <c r="KG287" s="309"/>
      <c r="KH287" s="309"/>
      <c r="KI287" s="309"/>
      <c r="KJ287" s="309"/>
      <c r="KK287" s="309"/>
      <c r="KL287" s="309"/>
      <c r="KM287" s="309"/>
      <c r="KN287" s="309"/>
      <c r="KO287" s="309"/>
      <c r="KP287" s="309"/>
      <c r="KQ287" s="309"/>
      <c r="KR287" s="309"/>
      <c r="KS287" s="309"/>
      <c r="KT287" s="309"/>
      <c r="KU287" s="309"/>
      <c r="KV287" s="309"/>
      <c r="KW287" s="309"/>
      <c r="KX287" s="309"/>
      <c r="KY287" s="309"/>
      <c r="KZ287" s="309"/>
      <c r="LA287" s="309"/>
      <c r="LB287" s="309"/>
      <c r="LC287" s="309"/>
      <c r="LD287" s="309"/>
      <c r="LE287" s="309"/>
      <c r="LF287" s="309"/>
      <c r="LG287" s="309"/>
      <c r="LH287" s="309"/>
      <c r="LI287" s="309"/>
      <c r="LJ287" s="309"/>
      <c r="LK287" s="309"/>
      <c r="LL287" s="309"/>
      <c r="LM287" s="309"/>
      <c r="LN287" s="309"/>
      <c r="LO287" s="309"/>
      <c r="LP287" s="309"/>
      <c r="LQ287" s="309"/>
      <c r="LR287" s="309"/>
      <c r="LS287" s="309"/>
      <c r="LT287" s="309"/>
      <c r="LU287" s="309"/>
      <c r="LV287" s="309"/>
      <c r="LW287" s="309"/>
      <c r="LX287" s="309"/>
      <c r="LY287" s="309"/>
      <c r="LZ287" s="309"/>
      <c r="MA287" s="309"/>
      <c r="MB287" s="309"/>
      <c r="MC287" s="309"/>
      <c r="MD287" s="309"/>
      <c r="ME287" s="309"/>
      <c r="MF287" s="309"/>
      <c r="MG287" s="309"/>
      <c r="MH287" s="309"/>
      <c r="MI287" s="309"/>
      <c r="MJ287" s="309"/>
      <c r="MK287" s="309"/>
      <c r="ML287" s="309"/>
      <c r="MM287" s="309"/>
      <c r="MN287" s="309"/>
      <c r="MO287" s="309"/>
      <c r="MP287" s="309"/>
      <c r="MQ287" s="309"/>
      <c r="MR287" s="309"/>
      <c r="MS287" s="309"/>
      <c r="MT287" s="309"/>
      <c r="MU287" s="309"/>
      <c r="MV287" s="309"/>
      <c r="MW287" s="309"/>
      <c r="MX287" s="309"/>
      <c r="MY287" s="309"/>
      <c r="MZ287" s="309"/>
      <c r="NA287" s="309"/>
      <c r="NB287" s="309"/>
      <c r="NC287" s="309"/>
      <c r="ND287" s="309"/>
      <c r="NE287" s="309"/>
      <c r="NF287" s="309"/>
      <c r="NG287" s="309"/>
      <c r="NH287" s="309"/>
      <c r="NI287" s="309"/>
      <c r="NJ287" s="309"/>
      <c r="NK287" s="309"/>
      <c r="NL287" s="309"/>
      <c r="NM287" s="309"/>
      <c r="NN287" s="309"/>
      <c r="NO287" s="309"/>
      <c r="NP287" s="309"/>
      <c r="NQ287" s="309"/>
      <c r="NR287" s="309"/>
      <c r="NS287" s="309"/>
      <c r="NT287" s="309"/>
      <c r="NU287" s="309"/>
      <c r="NV287" s="309"/>
      <c r="NW287" s="309"/>
      <c r="NX287" s="309"/>
      <c r="NY287" s="309"/>
      <c r="NZ287" s="309"/>
      <c r="OA287" s="309"/>
      <c r="OB287" s="309"/>
      <c r="OC287" s="309"/>
      <c r="OD287" s="309"/>
      <c r="OE287" s="309"/>
      <c r="OF287" s="309"/>
      <c r="OG287" s="309"/>
      <c r="OH287" s="309"/>
      <c r="OI287" s="309"/>
      <c r="OJ287" s="309"/>
      <c r="OK287" s="309"/>
      <c r="OL287" s="309"/>
      <c r="OM287" s="309"/>
      <c r="ON287" s="309"/>
      <c r="OO287" s="309"/>
      <c r="OP287" s="309"/>
      <c r="OQ287" s="309"/>
      <c r="OR287" s="309"/>
      <c r="OS287" s="309"/>
      <c r="OT287" s="309"/>
      <c r="OU287" s="309"/>
      <c r="OV287" s="309"/>
      <c r="OW287" s="309"/>
      <c r="OX287" s="309"/>
      <c r="OY287" s="309"/>
      <c r="OZ287" s="309"/>
      <c r="PA287" s="309"/>
      <c r="PB287" s="309"/>
      <c r="PC287" s="309"/>
      <c r="PD287" s="309"/>
      <c r="PE287" s="309"/>
      <c r="PF287" s="309"/>
      <c r="PG287" s="309"/>
      <c r="PH287" s="309"/>
      <c r="PI287" s="309"/>
      <c r="PJ287" s="309"/>
      <c r="PK287" s="309"/>
      <c r="PL287" s="309"/>
      <c r="PM287" s="309"/>
      <c r="PN287" s="309"/>
      <c r="PO287" s="309"/>
      <c r="PP287" s="309"/>
      <c r="PQ287" s="309"/>
      <c r="PR287" s="309"/>
      <c r="PS287" s="309"/>
      <c r="PT287" s="309"/>
      <c r="PU287" s="309"/>
      <c r="PV287" s="309"/>
      <c r="PW287" s="309"/>
      <c r="PX287" s="309"/>
      <c r="PY287" s="309"/>
      <c r="PZ287" s="309"/>
      <c r="QA287" s="309"/>
      <c r="QB287" s="309"/>
      <c r="QC287" s="309"/>
      <c r="QD287" s="309"/>
      <c r="QE287" s="309"/>
      <c r="QF287" s="309"/>
      <c r="QG287" s="309"/>
      <c r="QH287" s="309"/>
      <c r="QI287" s="309"/>
      <c r="QJ287" s="309"/>
      <c r="QK287" s="309"/>
      <c r="QL287" s="309"/>
      <c r="QM287" s="309"/>
      <c r="QN287" s="309"/>
      <c r="QO287" s="309"/>
      <c r="QP287" s="309"/>
      <c r="QQ287" s="309"/>
      <c r="QR287" s="309"/>
      <c r="QS287" s="309"/>
      <c r="QT287" s="309"/>
      <c r="QU287" s="309"/>
      <c r="QV287" s="309"/>
      <c r="QW287" s="309"/>
      <c r="QX287" s="309"/>
      <c r="QY287" s="309"/>
      <c r="QZ287" s="309"/>
      <c r="RA287" s="309"/>
      <c r="RB287" s="309"/>
      <c r="RC287" s="309"/>
      <c r="RD287" s="309"/>
      <c r="RE287" s="309"/>
      <c r="RF287" s="309"/>
      <c r="RG287" s="309"/>
      <c r="RH287" s="309"/>
      <c r="RI287" s="309"/>
      <c r="RJ287" s="309"/>
      <c r="RK287" s="309"/>
      <c r="RL287" s="309"/>
      <c r="RM287" s="309"/>
      <c r="RN287" s="309"/>
      <c r="RO287" s="309"/>
      <c r="RP287" s="309"/>
      <c r="RQ287" s="309"/>
      <c r="RR287" s="309"/>
      <c r="RS287" s="309"/>
      <c r="RT287" s="309"/>
      <c r="RU287" s="309"/>
      <c r="RV287" s="309"/>
      <c r="RW287" s="309"/>
      <c r="RX287" s="309"/>
      <c r="RY287" s="309"/>
      <c r="RZ287" s="309"/>
      <c r="SA287" s="309"/>
      <c r="SB287" s="309"/>
      <c r="SC287" s="309"/>
      <c r="SD287" s="309"/>
      <c r="SE287" s="309"/>
      <c r="SF287" s="309"/>
      <c r="SG287" s="309"/>
      <c r="SH287" s="309"/>
      <c r="SI287" s="309"/>
      <c r="SJ287" s="309"/>
      <c r="SK287" s="309"/>
      <c r="SL287" s="309"/>
      <c r="SM287" s="309"/>
      <c r="SN287" s="309"/>
      <c r="SO287" s="309"/>
      <c r="SP287" s="309"/>
      <c r="SQ287" s="309"/>
      <c r="SR287" s="309"/>
      <c r="SS287" s="309"/>
      <c r="ST287" s="309"/>
      <c r="SU287" s="309"/>
      <c r="SV287" s="309"/>
      <c r="SW287" s="309"/>
      <c r="SX287" s="309"/>
      <c r="SY287" s="309"/>
      <c r="SZ287" s="309"/>
      <c r="TA287" s="309"/>
      <c r="TB287" s="309"/>
      <c r="TC287" s="309"/>
      <c r="TD287" s="309"/>
      <c r="TE287" s="309"/>
      <c r="TF287" s="309"/>
      <c r="TG287" s="309"/>
      <c r="TH287" s="309"/>
      <c r="TI287" s="309"/>
      <c r="TJ287" s="309"/>
      <c r="TK287" s="309"/>
      <c r="TL287" s="309"/>
      <c r="TM287" s="309"/>
      <c r="TN287" s="309"/>
      <c r="TO287" s="309"/>
      <c r="TP287" s="309"/>
      <c r="TQ287" s="309"/>
      <c r="TR287" s="309"/>
      <c r="TS287" s="309"/>
      <c r="TT287" s="309"/>
      <c r="TU287" s="309"/>
      <c r="TV287" s="309"/>
      <c r="TW287" s="309"/>
      <c r="TX287" s="309"/>
      <c r="TY287" s="309"/>
      <c r="TZ287" s="309"/>
      <c r="UA287" s="309"/>
      <c r="UB287" s="309"/>
      <c r="UC287" s="309"/>
      <c r="UD287" s="309"/>
      <c r="UE287" s="309"/>
      <c r="UF287" s="309"/>
      <c r="UG287" s="309"/>
      <c r="UH287" s="309"/>
      <c r="UI287" s="309"/>
      <c r="UJ287" s="309"/>
      <c r="UK287" s="309"/>
      <c r="UL287" s="309"/>
      <c r="UM287" s="309"/>
      <c r="UN287" s="309"/>
      <c r="UO287" s="309"/>
      <c r="UP287" s="309"/>
      <c r="UQ287" s="309"/>
      <c r="UR287" s="309"/>
      <c r="US287" s="309"/>
      <c r="UT287" s="309"/>
      <c r="UU287" s="309"/>
      <c r="UV287" s="309"/>
      <c r="UW287" s="309"/>
      <c r="UX287" s="309"/>
      <c r="UY287" s="309"/>
      <c r="UZ287" s="309"/>
      <c r="VA287" s="309"/>
      <c r="VB287" s="309"/>
      <c r="VC287" s="309"/>
      <c r="VD287" s="309"/>
      <c r="VE287" s="309"/>
      <c r="VF287" s="309"/>
      <c r="VG287" s="309"/>
      <c r="VH287" s="309"/>
      <c r="VI287" s="309"/>
      <c r="VJ287" s="309"/>
      <c r="VK287" s="309"/>
      <c r="VL287" s="309"/>
      <c r="VM287" s="309"/>
      <c r="VN287" s="309"/>
      <c r="VO287" s="309"/>
      <c r="VP287" s="309"/>
      <c r="VQ287" s="309"/>
      <c r="VR287" s="309"/>
      <c r="VS287" s="309"/>
      <c r="VT287" s="309"/>
      <c r="VU287" s="309"/>
      <c r="VV287" s="309"/>
      <c r="VW287" s="309"/>
      <c r="VX287" s="309"/>
      <c r="VY287" s="309"/>
      <c r="VZ287" s="309"/>
      <c r="WA287" s="309"/>
      <c r="WB287" s="309"/>
      <c r="WC287" s="309"/>
      <c r="WD287" s="309"/>
      <c r="WE287" s="309"/>
      <c r="WF287" s="309"/>
      <c r="WG287" s="309"/>
      <c r="WH287" s="309"/>
      <c r="WI287" s="309"/>
      <c r="WJ287" s="309"/>
      <c r="WK287" s="309"/>
      <c r="WL287" s="309"/>
      <c r="WM287" s="309"/>
      <c r="WN287" s="309"/>
      <c r="WO287" s="309"/>
      <c r="WP287" s="309"/>
      <c r="WQ287" s="309"/>
      <c r="WR287" s="309"/>
      <c r="WS287" s="309"/>
      <c r="WT287" s="309"/>
      <c r="WU287" s="309"/>
      <c r="WV287" s="309"/>
      <c r="WW287" s="309"/>
      <c r="WX287" s="309"/>
      <c r="WY287" s="309"/>
      <c r="WZ287" s="309"/>
      <c r="XA287" s="309"/>
      <c r="XB287" s="309"/>
      <c r="XC287" s="309"/>
      <c r="XD287" s="309"/>
      <c r="XE287" s="309"/>
      <c r="XF287" s="309"/>
      <c r="XG287" s="309"/>
      <c r="XH287" s="309"/>
      <c r="XI287" s="309"/>
      <c r="XJ287" s="309"/>
      <c r="XK287" s="309"/>
      <c r="XL287" s="309"/>
      <c r="XM287" s="309"/>
      <c r="XN287" s="309"/>
      <c r="XO287" s="309"/>
      <c r="XP287" s="309"/>
      <c r="XQ287" s="309"/>
      <c r="XR287" s="309"/>
      <c r="XS287" s="309"/>
      <c r="XT287" s="309"/>
      <c r="XU287" s="309"/>
      <c r="XV287" s="309"/>
      <c r="XW287" s="309"/>
      <c r="XX287" s="309"/>
      <c r="XY287" s="309"/>
      <c r="XZ287" s="309"/>
      <c r="YA287" s="309"/>
      <c r="YB287" s="309"/>
      <c r="YC287" s="309"/>
      <c r="YD287" s="309"/>
      <c r="YE287" s="309"/>
      <c r="YF287" s="309"/>
      <c r="YG287" s="309"/>
      <c r="YH287" s="309"/>
      <c r="YI287" s="309"/>
      <c r="YJ287" s="309"/>
      <c r="YK287" s="309"/>
      <c r="YL287" s="309"/>
      <c r="YM287" s="309"/>
      <c r="YN287" s="309"/>
      <c r="YO287" s="309"/>
      <c r="YP287" s="309"/>
      <c r="YQ287" s="309"/>
      <c r="YR287" s="309"/>
      <c r="YS287" s="309"/>
      <c r="YT287" s="309"/>
      <c r="YU287" s="309"/>
      <c r="YV287" s="309"/>
      <c r="YW287" s="309"/>
      <c r="YX287" s="309"/>
      <c r="YY287" s="309"/>
      <c r="YZ287" s="309"/>
      <c r="ZA287" s="309"/>
      <c r="ZB287" s="309"/>
      <c r="ZC287" s="309"/>
      <c r="ZD287" s="309"/>
      <c r="ZE287" s="309"/>
      <c r="ZF287" s="309"/>
      <c r="ZG287" s="309"/>
      <c r="ZH287" s="309"/>
      <c r="ZI287" s="309"/>
      <c r="ZJ287" s="309"/>
    </row>
  </sheetData>
  <mergeCells count="4">
    <mergeCell ref="A1:E1"/>
    <mergeCell ref="B19:E19"/>
    <mergeCell ref="B20:E20"/>
    <mergeCell ref="B21:E21"/>
  </mergeCells>
  <printOptions horizontalCentered="1"/>
  <pageMargins left="0" right="0" top="0.35433070866141736" bottom="0.55118110236220474" header="0.31496062992125984" footer="0.31496062992125984"/>
  <pageSetup paperSize="9" scale="85" firstPageNumber="236" orientation="portrait" useFirstPageNumber="1" verticalDpi="0" r:id="rId1"/>
  <headerFooter>
    <oddFooter>&amp;LB.E.T.B&amp;RPage - &amp;P</oddFooter>
  </headerFooter>
  <colBreaks count="1" manualBreakCount="1">
    <brk id="7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7BE1-7489-43D9-B836-96FFDDE1DF05}">
  <dimension ref="A1:XEK262"/>
  <sheetViews>
    <sheetView view="pageBreakPreview" zoomScale="60" zoomScaleNormal="100" workbookViewId="0">
      <selection activeCell="E7" sqref="E7:E48"/>
    </sheetView>
  </sheetViews>
  <sheetFormatPr baseColWidth="10" defaultColWidth="11.5546875" defaultRowHeight="14.4" x14ac:dyDescent="0.3"/>
  <cols>
    <col min="1" max="1" width="6.33203125" style="309" customWidth="1"/>
    <col min="2" max="2" width="51" style="309" customWidth="1"/>
    <col min="3" max="3" width="5.109375" style="309" customWidth="1"/>
    <col min="4" max="4" width="14.109375" style="308" customWidth="1"/>
    <col min="5" max="6" width="14.33203125" style="334" customWidth="1"/>
    <col min="7" max="7" width="14.109375" style="171" bestFit="1" customWidth="1"/>
    <col min="8" max="16384" width="11.5546875" style="309"/>
  </cols>
  <sheetData>
    <row r="1" spans="1:676" ht="86.25" customHeight="1" x14ac:dyDescent="0.3">
      <c r="A1" s="556"/>
      <c r="B1" s="556"/>
      <c r="C1" s="556"/>
      <c r="D1" s="556"/>
      <c r="E1" s="556"/>
      <c r="F1" s="307"/>
      <c r="G1" s="429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</row>
    <row r="2" spans="1:676" ht="76.5" customHeight="1" x14ac:dyDescent="0.3">
      <c r="A2" s="341"/>
      <c r="B2" s="112" t="s">
        <v>7</v>
      </c>
      <c r="C2" s="113" t="s">
        <v>0</v>
      </c>
      <c r="D2" s="403" t="s">
        <v>166</v>
      </c>
      <c r="E2" s="5" t="s">
        <v>8</v>
      </c>
      <c r="F2" s="7" t="s">
        <v>175</v>
      </c>
      <c r="G2" s="179" t="s">
        <v>167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</row>
    <row r="3" spans="1:676" x14ac:dyDescent="0.3">
      <c r="A3" s="342"/>
      <c r="B3" s="343"/>
      <c r="C3" s="344"/>
      <c r="D3" s="156"/>
      <c r="E3" s="345"/>
      <c r="F3" s="370"/>
      <c r="G3" s="165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</row>
    <row r="4" spans="1:676" s="60" customFormat="1" ht="15.6" x14ac:dyDescent="0.3">
      <c r="A4" s="313">
        <v>9</v>
      </c>
      <c r="B4" s="14" t="s">
        <v>418</v>
      </c>
      <c r="C4" s="103"/>
      <c r="D4" s="156"/>
      <c r="E4" s="346"/>
      <c r="F4" s="371"/>
      <c r="G4" s="165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YZ4" s="315"/>
    </row>
    <row r="5" spans="1:676" ht="12" customHeight="1" x14ac:dyDescent="0.3">
      <c r="A5" s="316"/>
      <c r="B5" s="347"/>
      <c r="C5" s="277"/>
      <c r="D5" s="156"/>
      <c r="E5" s="348"/>
      <c r="F5" s="370"/>
      <c r="G5" s="165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</row>
    <row r="6" spans="1:676" x14ac:dyDescent="0.3">
      <c r="A6" s="318" t="s">
        <v>419</v>
      </c>
      <c r="B6" s="21" t="s">
        <v>420</v>
      </c>
      <c r="C6" s="277"/>
      <c r="D6" s="156"/>
      <c r="E6" s="348"/>
      <c r="F6" s="370"/>
      <c r="G6" s="19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</row>
    <row r="7" spans="1:676" ht="20.100000000000001" customHeight="1" x14ac:dyDescent="0.3">
      <c r="A7" s="316" t="s">
        <v>421</v>
      </c>
      <c r="B7" s="23" t="s">
        <v>422</v>
      </c>
      <c r="C7" s="277"/>
      <c r="D7" s="159"/>
      <c r="E7" s="348"/>
      <c r="F7" s="370"/>
      <c r="G7" s="19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</row>
    <row r="8" spans="1:676" ht="15.75" customHeight="1" x14ac:dyDescent="0.3">
      <c r="A8" s="316"/>
      <c r="B8" s="321" t="s">
        <v>499</v>
      </c>
      <c r="C8" s="277"/>
      <c r="D8" s="159"/>
      <c r="E8" s="349"/>
      <c r="F8" s="372"/>
      <c r="G8" s="19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</row>
    <row r="9" spans="1:676" ht="15.75" customHeight="1" x14ac:dyDescent="0.3">
      <c r="A9" s="316"/>
      <c r="B9" s="107" t="s">
        <v>409</v>
      </c>
      <c r="C9" s="277" t="s">
        <v>0</v>
      </c>
      <c r="D9" s="159">
        <v>2</v>
      </c>
      <c r="E9" s="326"/>
      <c r="F9" s="373"/>
      <c r="G9" s="198">
        <f>+D9*E9</f>
        <v>0</v>
      </c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</row>
    <row r="10" spans="1:676" ht="15.75" customHeight="1" x14ac:dyDescent="0.3">
      <c r="A10" s="316"/>
      <c r="B10" s="321" t="s">
        <v>500</v>
      </c>
      <c r="C10" s="277"/>
      <c r="D10" s="159"/>
      <c r="E10" s="349"/>
      <c r="F10" s="372"/>
      <c r="G10" s="19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</row>
    <row r="11" spans="1:676" ht="15.75" customHeight="1" x14ac:dyDescent="0.3">
      <c r="A11" s="316"/>
      <c r="B11" s="107" t="s">
        <v>409</v>
      </c>
      <c r="C11" s="277" t="s">
        <v>0</v>
      </c>
      <c r="D11" s="159">
        <v>49</v>
      </c>
      <c r="E11" s="326"/>
      <c r="F11" s="373"/>
      <c r="G11" s="198">
        <f>+D11*E11</f>
        <v>0</v>
      </c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</row>
    <row r="12" spans="1:676" ht="15.75" customHeight="1" x14ac:dyDescent="0.3">
      <c r="A12" s="316"/>
      <c r="B12" s="321" t="s">
        <v>501</v>
      </c>
      <c r="C12" s="277"/>
      <c r="D12" s="159"/>
      <c r="E12" s="349"/>
      <c r="F12" s="372"/>
      <c r="G12" s="19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</row>
    <row r="13" spans="1:676" ht="15.75" customHeight="1" x14ac:dyDescent="0.3">
      <c r="A13" s="316"/>
      <c r="B13" s="107" t="s">
        <v>409</v>
      </c>
      <c r="C13" s="277" t="s">
        <v>0</v>
      </c>
      <c r="D13" s="159">
        <v>3</v>
      </c>
      <c r="E13" s="326"/>
      <c r="F13" s="373"/>
      <c r="G13" s="198">
        <f>+D13*E13</f>
        <v>0</v>
      </c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</row>
    <row r="14" spans="1:676" ht="20.100000000000001" customHeight="1" x14ac:dyDescent="0.3">
      <c r="A14" s="316" t="s">
        <v>528</v>
      </c>
      <c r="B14" s="321" t="s">
        <v>423</v>
      </c>
      <c r="C14" s="277"/>
      <c r="D14" s="159"/>
      <c r="E14" s="348"/>
      <c r="F14" s="370"/>
      <c r="G14" s="19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</row>
    <row r="15" spans="1:676" ht="15.75" customHeight="1" x14ac:dyDescent="0.3">
      <c r="A15" s="316"/>
      <c r="B15" s="321" t="s">
        <v>496</v>
      </c>
      <c r="C15" s="277"/>
      <c r="D15" s="159"/>
      <c r="E15" s="349"/>
      <c r="F15" s="372"/>
      <c r="G15" s="19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</row>
    <row r="16" spans="1:676" ht="15.75" customHeight="1" x14ac:dyDescent="0.3">
      <c r="A16" s="316"/>
      <c r="B16" s="107" t="s">
        <v>409</v>
      </c>
      <c r="C16" s="277" t="s">
        <v>0</v>
      </c>
      <c r="D16" s="159">
        <v>17</v>
      </c>
      <c r="E16" s="326"/>
      <c r="F16" s="373"/>
      <c r="G16" s="198">
        <f>+D16*E16</f>
        <v>0</v>
      </c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</row>
    <row r="17" spans="1:22" ht="15.75" customHeight="1" x14ac:dyDescent="0.3">
      <c r="A17" s="316"/>
      <c r="B17" s="321" t="s">
        <v>497</v>
      </c>
      <c r="C17" s="277"/>
      <c r="D17" s="159"/>
      <c r="E17" s="349"/>
      <c r="F17" s="372"/>
      <c r="G17" s="19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</row>
    <row r="18" spans="1:22" ht="15.75" customHeight="1" x14ac:dyDescent="0.3">
      <c r="A18" s="316"/>
      <c r="B18" s="107" t="s">
        <v>409</v>
      </c>
      <c r="C18" s="277" t="s">
        <v>0</v>
      </c>
      <c r="D18" s="159">
        <v>3</v>
      </c>
      <c r="E18" s="326"/>
      <c r="F18" s="373"/>
      <c r="G18" s="198">
        <f>+D18*E18</f>
        <v>0</v>
      </c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</row>
    <row r="19" spans="1:22" ht="15.75" customHeight="1" x14ac:dyDescent="0.3">
      <c r="A19" s="316"/>
      <c r="B19" s="321" t="s">
        <v>498</v>
      </c>
      <c r="C19" s="277"/>
      <c r="D19" s="159"/>
      <c r="E19" s="349"/>
      <c r="F19" s="372"/>
      <c r="G19" s="19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</row>
    <row r="20" spans="1:22" ht="15.75" customHeight="1" x14ac:dyDescent="0.3">
      <c r="A20" s="316"/>
      <c r="B20" s="107" t="s">
        <v>409</v>
      </c>
      <c r="C20" s="277" t="s">
        <v>0</v>
      </c>
      <c r="D20" s="159">
        <v>2</v>
      </c>
      <c r="E20" s="326"/>
      <c r="F20" s="373"/>
      <c r="G20" s="198">
        <f>+D20*E20</f>
        <v>0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</row>
    <row r="21" spans="1:22" ht="15.75" customHeight="1" x14ac:dyDescent="0.3">
      <c r="A21" s="316"/>
      <c r="B21" s="107"/>
      <c r="C21" s="277"/>
      <c r="D21" s="159"/>
      <c r="E21" s="396"/>
      <c r="F21" s="373"/>
      <c r="G21" s="19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</row>
    <row r="22" spans="1:22" ht="15.75" customHeight="1" x14ac:dyDescent="0.3">
      <c r="A22" s="323"/>
      <c r="B22" s="328" t="s">
        <v>429</v>
      </c>
      <c r="C22" s="405"/>
      <c r="D22" s="159"/>
      <c r="E22" s="406"/>
      <c r="F22" s="407"/>
      <c r="G22" s="391">
        <f>SUM(G8:G20)</f>
        <v>0</v>
      </c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</row>
    <row r="23" spans="1:22" x14ac:dyDescent="0.3">
      <c r="A23" s="316"/>
      <c r="B23" s="107"/>
      <c r="C23" s="304"/>
      <c r="D23" s="159"/>
      <c r="E23" s="396"/>
      <c r="F23" s="350"/>
      <c r="G23" s="19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</row>
    <row r="24" spans="1:22" x14ac:dyDescent="0.3">
      <c r="A24" s="318" t="s">
        <v>411</v>
      </c>
      <c r="B24" s="21" t="s">
        <v>424</v>
      </c>
      <c r="C24" s="277"/>
      <c r="D24" s="159"/>
      <c r="E24" s="348"/>
      <c r="F24" s="370"/>
      <c r="G24" s="165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</row>
    <row r="25" spans="1:22" ht="23.25" customHeight="1" x14ac:dyDescent="0.3">
      <c r="A25" s="316" t="s">
        <v>413</v>
      </c>
      <c r="B25" s="23" t="s">
        <v>527</v>
      </c>
      <c r="C25" s="277"/>
      <c r="D25" s="159"/>
      <c r="E25" s="348"/>
      <c r="F25" s="370"/>
      <c r="G25" s="19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</row>
    <row r="26" spans="1:22" ht="15.75" customHeight="1" x14ac:dyDescent="0.3">
      <c r="A26" s="316"/>
      <c r="B26" s="321" t="s">
        <v>495</v>
      </c>
      <c r="C26" s="277"/>
      <c r="D26" s="156"/>
      <c r="E26" s="349"/>
      <c r="F26" s="372"/>
      <c r="G26" s="19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</row>
    <row r="27" spans="1:22" x14ac:dyDescent="0.3">
      <c r="A27" s="316"/>
      <c r="B27" s="107" t="s">
        <v>409</v>
      </c>
      <c r="C27" s="304" t="s">
        <v>0</v>
      </c>
      <c r="D27" s="156">
        <v>4</v>
      </c>
      <c r="E27" s="326"/>
      <c r="F27" s="373"/>
      <c r="G27" s="198">
        <f t="shared" ref="G27:G33" si="0">+D27*E27</f>
        <v>0</v>
      </c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</row>
    <row r="28" spans="1:22" ht="15.75" customHeight="1" x14ac:dyDescent="0.3">
      <c r="A28" s="316"/>
      <c r="B28" s="321" t="s">
        <v>492</v>
      </c>
      <c r="C28" s="277"/>
      <c r="D28" s="156"/>
      <c r="E28" s="349"/>
      <c r="F28" s="372"/>
      <c r="G28" s="19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</row>
    <row r="29" spans="1:22" x14ac:dyDescent="0.3">
      <c r="A29" s="316"/>
      <c r="B29" s="107" t="s">
        <v>409</v>
      </c>
      <c r="C29" s="304" t="s">
        <v>0</v>
      </c>
      <c r="D29" s="156">
        <v>2</v>
      </c>
      <c r="E29" s="326"/>
      <c r="F29" s="373"/>
      <c r="G29" s="198">
        <f t="shared" si="0"/>
        <v>0</v>
      </c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</row>
    <row r="30" spans="1:22" ht="15.75" customHeight="1" x14ac:dyDescent="0.3">
      <c r="A30" s="316"/>
      <c r="B30" s="321" t="s">
        <v>493</v>
      </c>
      <c r="C30" s="277"/>
      <c r="D30" s="156"/>
      <c r="E30" s="349"/>
      <c r="F30" s="372"/>
      <c r="G30" s="19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</row>
    <row r="31" spans="1:22" x14ac:dyDescent="0.3">
      <c r="A31" s="316"/>
      <c r="B31" s="107" t="s">
        <v>409</v>
      </c>
      <c r="C31" s="304" t="s">
        <v>0</v>
      </c>
      <c r="D31" s="156">
        <v>10</v>
      </c>
      <c r="E31" s="326"/>
      <c r="F31" s="373"/>
      <c r="G31" s="198">
        <f t="shared" si="0"/>
        <v>0</v>
      </c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</row>
    <row r="32" spans="1:22" ht="15.75" customHeight="1" x14ac:dyDescent="0.3">
      <c r="A32" s="316"/>
      <c r="B32" s="321" t="s">
        <v>494</v>
      </c>
      <c r="C32" s="277"/>
      <c r="D32" s="156"/>
      <c r="E32" s="349"/>
      <c r="F32" s="372"/>
      <c r="G32" s="19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</row>
    <row r="33" spans="1:27" x14ac:dyDescent="0.3">
      <c r="A33" s="316"/>
      <c r="B33" s="107" t="s">
        <v>409</v>
      </c>
      <c r="C33" s="304" t="s">
        <v>0</v>
      </c>
      <c r="D33" s="156">
        <v>12</v>
      </c>
      <c r="E33" s="326"/>
      <c r="F33" s="373"/>
      <c r="G33" s="198">
        <f t="shared" si="0"/>
        <v>0</v>
      </c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</row>
    <row r="34" spans="1:27" x14ac:dyDescent="0.3">
      <c r="A34" s="316"/>
      <c r="B34" s="107"/>
      <c r="C34" s="304"/>
      <c r="D34" s="156"/>
      <c r="E34" s="396"/>
      <c r="F34" s="374"/>
      <c r="G34" s="19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</row>
    <row r="35" spans="1:27" s="1" customFormat="1" x14ac:dyDescent="0.3">
      <c r="A35" s="323"/>
      <c r="B35" s="31" t="s">
        <v>425</v>
      </c>
      <c r="C35" s="195"/>
      <c r="D35" s="156"/>
      <c r="E35" s="396"/>
      <c r="F35" s="374"/>
      <c r="G35" s="391">
        <f>SUM(G26:G33)</f>
        <v>0</v>
      </c>
      <c r="H35" s="308"/>
      <c r="I35" s="308"/>
      <c r="J35" s="308"/>
      <c r="K35" s="308"/>
      <c r="L35" s="55"/>
      <c r="M35" s="55"/>
      <c r="N35" s="55"/>
      <c r="O35" s="55"/>
      <c r="P35" s="55"/>
      <c r="Q35" s="55"/>
      <c r="R35" s="55"/>
      <c r="S35" s="55"/>
    </row>
    <row r="36" spans="1:27" s="1" customFormat="1" x14ac:dyDescent="0.3">
      <c r="A36" s="389"/>
      <c r="B36" s="72"/>
      <c r="C36" s="195"/>
      <c r="D36" s="156"/>
      <c r="E36" s="396"/>
      <c r="F36" s="374"/>
      <c r="G36" s="198"/>
      <c r="H36" s="308"/>
      <c r="I36" s="308"/>
      <c r="J36" s="308"/>
      <c r="K36" s="308"/>
      <c r="L36" s="55"/>
      <c r="M36" s="55"/>
      <c r="N36" s="55"/>
      <c r="O36" s="55"/>
      <c r="P36" s="55"/>
      <c r="Q36" s="55"/>
      <c r="R36" s="55"/>
      <c r="S36" s="55"/>
    </row>
    <row r="37" spans="1:27" x14ac:dyDescent="0.3">
      <c r="A37" s="318" t="s">
        <v>426</v>
      </c>
      <c r="B37" s="21" t="s">
        <v>427</v>
      </c>
      <c r="C37" s="277"/>
      <c r="D37" s="156"/>
      <c r="E37" s="373"/>
      <c r="F37" s="375"/>
      <c r="G37" s="325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</row>
    <row r="38" spans="1:27" ht="20.100000000000001" customHeight="1" x14ac:dyDescent="0.3">
      <c r="A38" s="316" t="s">
        <v>428</v>
      </c>
      <c r="B38" s="319" t="s">
        <v>529</v>
      </c>
      <c r="C38" s="304"/>
      <c r="D38" s="156"/>
      <c r="E38" s="173"/>
      <c r="F38" s="375"/>
      <c r="G38" s="325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</row>
    <row r="39" spans="1:27" x14ac:dyDescent="0.3">
      <c r="A39" s="322"/>
      <c r="B39" s="29" t="s">
        <v>46</v>
      </c>
      <c r="C39" s="304" t="s">
        <v>134</v>
      </c>
      <c r="D39" s="156">
        <v>14</v>
      </c>
      <c r="E39" s="326"/>
      <c r="F39" s="373"/>
      <c r="G39" s="198">
        <f>+D39*E39</f>
        <v>0</v>
      </c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</row>
    <row r="40" spans="1:27" x14ac:dyDescent="0.3">
      <c r="A40" s="322"/>
      <c r="B40" s="208"/>
      <c r="C40" s="304"/>
      <c r="D40" s="159"/>
      <c r="E40" s="173"/>
      <c r="F40" s="375"/>
      <c r="G40" s="327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</row>
    <row r="41" spans="1:27" s="1" customFormat="1" x14ac:dyDescent="0.3">
      <c r="A41" s="323"/>
      <c r="B41" s="328" t="s">
        <v>429</v>
      </c>
      <c r="C41" s="405"/>
      <c r="D41" s="159"/>
      <c r="E41" s="406"/>
      <c r="F41" s="376"/>
      <c r="G41" s="391">
        <f>SUM(G38:G39)</f>
        <v>0</v>
      </c>
      <c r="H41" s="308"/>
      <c r="I41" s="308"/>
      <c r="J41" s="308"/>
      <c r="K41" s="308"/>
      <c r="L41" s="55"/>
      <c r="M41" s="55"/>
      <c r="N41" s="55"/>
      <c r="O41" s="55"/>
      <c r="P41" s="55"/>
      <c r="Q41" s="55"/>
      <c r="R41" s="55"/>
      <c r="S41" s="55"/>
      <c r="T41" s="55"/>
      <c r="U41" s="55"/>
    </row>
    <row r="42" spans="1:27" s="1" customFormat="1" x14ac:dyDescent="0.3">
      <c r="A42" s="389"/>
      <c r="B42" s="404"/>
      <c r="C42" s="405"/>
      <c r="D42" s="159"/>
      <c r="E42" s="406"/>
      <c r="F42" s="376"/>
      <c r="G42" s="198"/>
      <c r="H42" s="308"/>
      <c r="I42" s="308"/>
      <c r="J42" s="308"/>
      <c r="K42" s="308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spans="1:27" x14ac:dyDescent="0.3">
      <c r="A43" s="318" t="s">
        <v>430</v>
      </c>
      <c r="B43" s="21" t="s">
        <v>431</v>
      </c>
      <c r="C43" s="277"/>
      <c r="D43" s="156"/>
      <c r="E43" s="173"/>
      <c r="F43" s="375"/>
      <c r="G43" s="325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</row>
    <row r="44" spans="1:27" ht="20.100000000000001" customHeight="1" x14ac:dyDescent="0.3">
      <c r="A44" s="316" t="s">
        <v>432</v>
      </c>
      <c r="B44" s="319" t="s">
        <v>433</v>
      </c>
      <c r="C44" s="304"/>
      <c r="D44" s="156"/>
      <c r="E44" s="173"/>
      <c r="F44" s="375"/>
      <c r="G44" s="325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</row>
    <row r="45" spans="1:27" x14ac:dyDescent="0.3">
      <c r="A45" s="322"/>
      <c r="B45" s="29" t="s">
        <v>46</v>
      </c>
      <c r="C45" s="304" t="s">
        <v>134</v>
      </c>
      <c r="D45" s="156">
        <v>260</v>
      </c>
      <c r="E45" s="326"/>
      <c r="F45" s="373"/>
      <c r="G45" s="325">
        <f>+E45*D45</f>
        <v>0</v>
      </c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  <c r="AA45" s="308"/>
    </row>
    <row r="46" spans="1:27" ht="20.100000000000001" customHeight="1" x14ac:dyDescent="0.3">
      <c r="A46" s="316" t="s">
        <v>434</v>
      </c>
      <c r="B46" s="319" t="s">
        <v>435</v>
      </c>
      <c r="C46" s="304"/>
      <c r="D46" s="156"/>
      <c r="E46" s="173"/>
      <c r="F46" s="375"/>
      <c r="G46" s="325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</row>
    <row r="47" spans="1:27" x14ac:dyDescent="0.3">
      <c r="A47" s="322"/>
      <c r="B47" s="29" t="s">
        <v>46</v>
      </c>
      <c r="C47" s="304" t="s">
        <v>134</v>
      </c>
      <c r="D47" s="156">
        <v>300</v>
      </c>
      <c r="E47" s="326"/>
      <c r="F47" s="373"/>
      <c r="G47" s="325">
        <f>+E47*D47</f>
        <v>0</v>
      </c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</row>
    <row r="48" spans="1:27" x14ac:dyDescent="0.3">
      <c r="A48" s="322"/>
      <c r="B48" s="208"/>
      <c r="C48" s="304"/>
      <c r="D48" s="159"/>
      <c r="E48" s="173"/>
      <c r="F48" s="375"/>
      <c r="G48" s="325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  <c r="AA48" s="308"/>
    </row>
    <row r="49" spans="1:16365" s="1" customFormat="1" x14ac:dyDescent="0.3">
      <c r="A49" s="323"/>
      <c r="B49" s="328" t="s">
        <v>436</v>
      </c>
      <c r="C49" s="329"/>
      <c r="D49" s="330"/>
      <c r="E49" s="331"/>
      <c r="F49" s="408"/>
      <c r="G49" s="391">
        <f>SUM(G44:G48)</f>
        <v>0</v>
      </c>
      <c r="H49" s="308"/>
      <c r="I49" s="308"/>
      <c r="J49" s="308"/>
      <c r="K49" s="308"/>
      <c r="L49" s="55"/>
      <c r="M49" s="55"/>
      <c r="N49" s="55"/>
      <c r="O49" s="55"/>
      <c r="P49" s="55"/>
      <c r="Q49" s="55"/>
      <c r="R49" s="55"/>
      <c r="S49" s="55"/>
      <c r="T49" s="55"/>
      <c r="U49" s="55"/>
    </row>
    <row r="50" spans="1:16365" x14ac:dyDescent="0.3">
      <c r="A50" s="308"/>
      <c r="B50" s="308"/>
      <c r="C50" s="308"/>
      <c r="E50" s="351"/>
      <c r="F50" s="351"/>
      <c r="G50" s="334"/>
      <c r="H50" s="308"/>
      <c r="I50" s="308"/>
      <c r="J50" s="308"/>
      <c r="K50" s="308"/>
      <c r="L50" s="352"/>
      <c r="M50" s="308"/>
      <c r="N50" s="308"/>
      <c r="O50" s="308"/>
      <c r="P50" s="352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</row>
    <row r="51" spans="1:16365" ht="17.25" customHeight="1" x14ac:dyDescent="0.3">
      <c r="A51" s="552" t="s">
        <v>437</v>
      </c>
      <c r="B51" s="552"/>
      <c r="C51" s="552"/>
      <c r="D51" s="552"/>
      <c r="E51" s="552"/>
      <c r="F51" s="307"/>
      <c r="G51" s="402">
        <f>+G41+G35+G49</f>
        <v>0</v>
      </c>
      <c r="H51" s="308"/>
      <c r="I51" s="308"/>
      <c r="J51" s="308"/>
      <c r="K51" s="308"/>
      <c r="L51" s="308"/>
      <c r="M51" s="352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  <c r="AA51" s="308"/>
      <c r="AB51" s="308"/>
      <c r="AC51" s="308"/>
      <c r="AD51" s="308"/>
      <c r="AE51" s="308"/>
      <c r="AF51" s="308"/>
      <c r="AG51" s="308"/>
      <c r="AH51" s="308"/>
      <c r="AI51" s="308"/>
      <c r="AJ51" s="308"/>
      <c r="AK51" s="308"/>
      <c r="AL51" s="308"/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</row>
    <row r="52" spans="1:16365" ht="15.75" customHeight="1" x14ac:dyDescent="0.3">
      <c r="A52" s="552" t="s">
        <v>417</v>
      </c>
      <c r="B52" s="552"/>
      <c r="C52" s="552"/>
      <c r="D52" s="552"/>
      <c r="E52" s="552"/>
      <c r="F52" s="220"/>
      <c r="G52" s="402">
        <f t="shared" ref="G52" si="1">+G51*0.2</f>
        <v>0</v>
      </c>
      <c r="H52" s="308"/>
      <c r="I52" s="308"/>
      <c r="J52" s="308"/>
      <c r="K52" s="308"/>
      <c r="L52" s="308"/>
      <c r="M52" s="352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  <c r="AC52" s="556"/>
      <c r="AD52" s="556"/>
      <c r="AE52" s="556"/>
      <c r="AF52" s="556"/>
      <c r="AG52" s="556"/>
      <c r="AH52" s="556"/>
      <c r="AI52" s="556"/>
      <c r="AJ52" s="556"/>
      <c r="AK52" s="556"/>
      <c r="AL52" s="556"/>
      <c r="AM52" s="556"/>
      <c r="AN52" s="556"/>
      <c r="AO52" s="556"/>
      <c r="AP52" s="556"/>
      <c r="AQ52" s="556"/>
      <c r="AR52" s="556"/>
      <c r="AS52" s="556"/>
      <c r="AT52" s="556"/>
      <c r="AU52" s="556"/>
      <c r="AV52" s="556"/>
      <c r="AW52" s="556"/>
      <c r="AX52" s="556"/>
      <c r="AY52" s="556"/>
      <c r="AZ52" s="556"/>
      <c r="BA52" s="556"/>
      <c r="BB52" s="556"/>
      <c r="BC52" s="556"/>
      <c r="BD52" s="556"/>
      <c r="BE52" s="556"/>
      <c r="BF52" s="556"/>
      <c r="BG52" s="556"/>
      <c r="BH52" s="556"/>
      <c r="BI52" s="556"/>
      <c r="BJ52" s="556"/>
      <c r="BK52" s="556"/>
      <c r="BL52" s="556"/>
      <c r="BM52" s="556"/>
      <c r="BN52" s="556"/>
      <c r="BO52" s="556"/>
      <c r="BP52" s="556"/>
      <c r="BQ52" s="556"/>
      <c r="BR52" s="556"/>
      <c r="BS52" s="556"/>
      <c r="BT52" s="556"/>
      <c r="BU52" s="556"/>
      <c r="BV52" s="556"/>
      <c r="BW52" s="556"/>
      <c r="BX52" s="556"/>
      <c r="BY52" s="556"/>
      <c r="BZ52" s="556"/>
      <c r="CA52" s="556"/>
      <c r="CB52" s="556"/>
      <c r="CC52" s="556"/>
      <c r="CD52" s="556"/>
      <c r="CE52" s="556"/>
      <c r="CF52" s="556"/>
      <c r="CG52" s="556"/>
      <c r="CH52" s="556"/>
      <c r="CI52" s="556"/>
      <c r="CJ52" s="556"/>
      <c r="CK52" s="556"/>
      <c r="CL52" s="556"/>
      <c r="CM52" s="556"/>
      <c r="CN52" s="556"/>
      <c r="CO52" s="556"/>
      <c r="CP52" s="556"/>
      <c r="CQ52" s="556"/>
      <c r="CR52" s="556"/>
      <c r="CS52" s="556"/>
      <c r="CT52" s="556"/>
      <c r="CU52" s="556"/>
      <c r="CV52" s="556"/>
      <c r="CW52" s="556"/>
      <c r="CX52" s="556"/>
      <c r="CY52" s="556"/>
      <c r="CZ52" s="556"/>
      <c r="DA52" s="556"/>
      <c r="DB52" s="556"/>
      <c r="DC52" s="556"/>
      <c r="DD52" s="556"/>
      <c r="DE52" s="556"/>
      <c r="DF52" s="556"/>
      <c r="DG52" s="556"/>
      <c r="DH52" s="556"/>
      <c r="DI52" s="556"/>
      <c r="DJ52" s="556"/>
      <c r="DK52" s="556"/>
      <c r="DL52" s="556"/>
      <c r="DM52" s="556"/>
      <c r="DN52" s="556"/>
      <c r="DO52" s="556"/>
      <c r="DP52" s="556"/>
      <c r="DQ52" s="556"/>
      <c r="DR52" s="556"/>
      <c r="DS52" s="556"/>
      <c r="DT52" s="556"/>
      <c r="DU52" s="556"/>
      <c r="DV52" s="556"/>
      <c r="DW52" s="556"/>
      <c r="DX52" s="556"/>
      <c r="DY52" s="556"/>
      <c r="DZ52" s="556"/>
      <c r="EA52" s="556"/>
      <c r="EB52" s="556"/>
      <c r="EC52" s="556"/>
      <c r="ED52" s="556"/>
      <c r="EE52" s="556"/>
      <c r="EF52" s="556"/>
      <c r="EG52" s="556"/>
      <c r="EH52" s="556"/>
      <c r="EI52" s="556"/>
      <c r="EJ52" s="556"/>
      <c r="EK52" s="556"/>
      <c r="EL52" s="556"/>
      <c r="EM52" s="556"/>
      <c r="EN52" s="556"/>
      <c r="EO52" s="556"/>
      <c r="EP52" s="556"/>
      <c r="EQ52" s="556"/>
      <c r="ER52" s="556"/>
      <c r="ES52" s="556"/>
      <c r="ET52" s="556"/>
      <c r="EU52" s="556"/>
      <c r="EV52" s="556"/>
      <c r="EW52" s="556"/>
      <c r="EX52" s="556"/>
      <c r="EY52" s="556"/>
      <c r="EZ52" s="556"/>
      <c r="FA52" s="556"/>
      <c r="FB52" s="556"/>
      <c r="FC52" s="556"/>
      <c r="FD52" s="556"/>
      <c r="FE52" s="556"/>
      <c r="FF52" s="556"/>
      <c r="FG52" s="556"/>
      <c r="FH52" s="556"/>
      <c r="FI52" s="556"/>
      <c r="FJ52" s="556"/>
      <c r="FK52" s="556"/>
      <c r="FL52" s="556"/>
      <c r="FM52" s="556"/>
      <c r="FN52" s="556"/>
      <c r="FO52" s="556"/>
      <c r="FP52" s="556"/>
      <c r="FQ52" s="556"/>
      <c r="FR52" s="556"/>
      <c r="FS52" s="556"/>
      <c r="FT52" s="556"/>
      <c r="FU52" s="556"/>
      <c r="FV52" s="556"/>
      <c r="FW52" s="556"/>
      <c r="FX52" s="556"/>
      <c r="FY52" s="556"/>
      <c r="FZ52" s="556"/>
      <c r="GA52" s="556"/>
      <c r="GB52" s="556"/>
      <c r="GC52" s="556"/>
      <c r="GD52" s="556"/>
      <c r="GE52" s="556"/>
      <c r="GF52" s="556"/>
      <c r="GG52" s="556"/>
      <c r="GH52" s="556"/>
      <c r="GI52" s="556"/>
      <c r="GJ52" s="556"/>
      <c r="GK52" s="556"/>
      <c r="GL52" s="556"/>
      <c r="GM52" s="556"/>
      <c r="GN52" s="556"/>
      <c r="GO52" s="556"/>
      <c r="GP52" s="556"/>
      <c r="GQ52" s="556"/>
      <c r="GR52" s="556"/>
      <c r="GS52" s="556"/>
      <c r="GT52" s="556"/>
      <c r="GU52" s="556"/>
      <c r="GV52" s="556"/>
      <c r="GW52" s="556"/>
      <c r="GX52" s="556"/>
      <c r="GY52" s="556"/>
      <c r="GZ52" s="556"/>
      <c r="HA52" s="556"/>
      <c r="HB52" s="556"/>
      <c r="HC52" s="556"/>
      <c r="HD52" s="556"/>
      <c r="HE52" s="556"/>
      <c r="HF52" s="556"/>
      <c r="HG52" s="556"/>
      <c r="HH52" s="556"/>
      <c r="HI52" s="556"/>
      <c r="HJ52" s="556"/>
      <c r="HK52" s="556"/>
      <c r="HL52" s="556"/>
      <c r="HM52" s="556"/>
      <c r="HN52" s="556"/>
      <c r="HO52" s="556"/>
      <c r="HP52" s="556"/>
      <c r="HQ52" s="556"/>
      <c r="HR52" s="556"/>
      <c r="HS52" s="556"/>
      <c r="HT52" s="556"/>
      <c r="HU52" s="556"/>
      <c r="HV52" s="556"/>
      <c r="HW52" s="556"/>
      <c r="HX52" s="556"/>
      <c r="HY52" s="556"/>
      <c r="HZ52" s="556"/>
      <c r="IA52" s="556"/>
      <c r="IB52" s="556"/>
      <c r="IC52" s="556"/>
      <c r="ID52" s="556"/>
      <c r="IE52" s="556"/>
      <c r="IF52" s="556"/>
      <c r="IG52" s="556"/>
      <c r="IH52" s="556"/>
      <c r="II52" s="556"/>
      <c r="IJ52" s="556"/>
      <c r="IK52" s="556"/>
      <c r="IL52" s="556"/>
      <c r="IM52" s="556"/>
      <c r="IN52" s="556"/>
      <c r="IO52" s="556"/>
      <c r="IP52" s="556"/>
      <c r="IQ52" s="556"/>
      <c r="IR52" s="556"/>
      <c r="IS52" s="556"/>
      <c r="IT52" s="556"/>
      <c r="IU52" s="556"/>
      <c r="IV52" s="556"/>
      <c r="IW52" s="556"/>
      <c r="IX52" s="556"/>
      <c r="IY52" s="556"/>
      <c r="IZ52" s="556"/>
      <c r="JA52" s="556"/>
      <c r="JB52" s="556"/>
      <c r="JC52" s="556"/>
      <c r="JD52" s="556"/>
      <c r="JE52" s="556"/>
      <c r="JF52" s="556"/>
      <c r="JG52" s="556"/>
      <c r="JH52" s="556"/>
      <c r="JI52" s="556"/>
      <c r="JJ52" s="556"/>
      <c r="JK52" s="556"/>
      <c r="JL52" s="556"/>
      <c r="JM52" s="556"/>
      <c r="JN52" s="556"/>
      <c r="JO52" s="556"/>
      <c r="JP52" s="556"/>
      <c r="JQ52" s="556"/>
      <c r="JR52" s="556"/>
      <c r="JS52" s="556"/>
      <c r="JT52" s="556"/>
      <c r="JU52" s="556"/>
      <c r="JV52" s="556"/>
      <c r="JW52" s="556"/>
      <c r="JX52" s="556"/>
      <c r="JY52" s="556"/>
      <c r="JZ52" s="556"/>
      <c r="KA52" s="556"/>
      <c r="KB52" s="556"/>
      <c r="KC52" s="556"/>
      <c r="KD52" s="556"/>
      <c r="KE52" s="556"/>
      <c r="KF52" s="556"/>
      <c r="KG52" s="556"/>
      <c r="KH52" s="556"/>
      <c r="KI52" s="556"/>
      <c r="KJ52" s="556"/>
      <c r="KK52" s="556"/>
      <c r="KL52" s="556"/>
      <c r="KM52" s="556"/>
      <c r="KN52" s="556"/>
      <c r="KO52" s="556"/>
      <c r="KP52" s="556"/>
      <c r="KQ52" s="556"/>
      <c r="KR52" s="556"/>
      <c r="KS52" s="556"/>
      <c r="KT52" s="556"/>
      <c r="KU52" s="556"/>
      <c r="KV52" s="556"/>
      <c r="KW52" s="556"/>
      <c r="KX52" s="556"/>
      <c r="KY52" s="556"/>
      <c r="KZ52" s="556"/>
      <c r="LA52" s="556"/>
      <c r="LB52" s="556"/>
      <c r="LC52" s="556"/>
      <c r="LD52" s="556"/>
      <c r="LE52" s="556"/>
      <c r="LF52" s="556"/>
      <c r="LG52" s="556"/>
      <c r="LH52" s="556"/>
      <c r="LI52" s="556"/>
      <c r="LJ52" s="556"/>
      <c r="LK52" s="556"/>
      <c r="LL52" s="556"/>
      <c r="LM52" s="556"/>
      <c r="LN52" s="556"/>
      <c r="LO52" s="556"/>
      <c r="LP52" s="556"/>
      <c r="LQ52" s="556"/>
      <c r="LR52" s="556"/>
      <c r="LS52" s="556"/>
      <c r="LT52" s="556"/>
      <c r="LU52" s="556"/>
      <c r="LV52" s="556"/>
      <c r="LW52" s="556"/>
      <c r="LX52" s="556"/>
      <c r="LY52" s="556"/>
      <c r="LZ52" s="556"/>
      <c r="MA52" s="556"/>
      <c r="MB52" s="556"/>
      <c r="MC52" s="556"/>
      <c r="MD52" s="556"/>
      <c r="ME52" s="556"/>
      <c r="MF52" s="556"/>
      <c r="MG52" s="556"/>
      <c r="MH52" s="556"/>
      <c r="MI52" s="556"/>
      <c r="MJ52" s="556"/>
      <c r="MK52" s="556"/>
      <c r="ML52" s="556"/>
      <c r="MM52" s="556"/>
      <c r="MN52" s="556"/>
      <c r="MO52" s="556"/>
      <c r="MP52" s="556"/>
      <c r="MQ52" s="556"/>
      <c r="MR52" s="556"/>
      <c r="MS52" s="556"/>
      <c r="MT52" s="556"/>
      <c r="MU52" s="556"/>
      <c r="MV52" s="556"/>
      <c r="MW52" s="556"/>
      <c r="MX52" s="556"/>
      <c r="MY52" s="556"/>
      <c r="MZ52" s="556"/>
      <c r="NA52" s="556"/>
      <c r="NB52" s="556"/>
      <c r="NC52" s="556"/>
      <c r="ND52" s="556"/>
      <c r="NE52" s="556"/>
      <c r="NF52" s="556"/>
      <c r="NG52" s="556"/>
      <c r="NH52" s="556"/>
      <c r="NI52" s="556"/>
      <c r="NJ52" s="556"/>
      <c r="NK52" s="556"/>
      <c r="NL52" s="556"/>
      <c r="NM52" s="556"/>
      <c r="NN52" s="556"/>
      <c r="NO52" s="556"/>
      <c r="NP52" s="556"/>
      <c r="NQ52" s="556"/>
      <c r="NR52" s="556"/>
      <c r="NS52" s="556"/>
      <c r="NT52" s="556"/>
      <c r="NU52" s="556"/>
      <c r="NV52" s="556"/>
      <c r="NW52" s="556"/>
      <c r="NX52" s="556"/>
      <c r="NY52" s="556"/>
      <c r="NZ52" s="556"/>
      <c r="OA52" s="556"/>
      <c r="OB52" s="556"/>
      <c r="OC52" s="556"/>
      <c r="OD52" s="556"/>
      <c r="OE52" s="556"/>
      <c r="OF52" s="556"/>
      <c r="OG52" s="556"/>
      <c r="OH52" s="556"/>
      <c r="OI52" s="556"/>
      <c r="OJ52" s="556"/>
      <c r="OK52" s="556"/>
      <c r="OL52" s="556"/>
      <c r="OM52" s="556"/>
      <c r="ON52" s="556"/>
      <c r="OO52" s="556"/>
      <c r="OP52" s="556"/>
      <c r="OQ52" s="556"/>
      <c r="OR52" s="556"/>
      <c r="OS52" s="556"/>
      <c r="OT52" s="556"/>
      <c r="OU52" s="556"/>
      <c r="OV52" s="556"/>
      <c r="OW52" s="556"/>
      <c r="OX52" s="556"/>
      <c r="OY52" s="556"/>
      <c r="OZ52" s="556"/>
      <c r="PA52" s="556"/>
      <c r="PB52" s="556"/>
      <c r="PC52" s="556"/>
      <c r="PD52" s="556"/>
      <c r="PE52" s="556"/>
      <c r="PF52" s="556"/>
      <c r="PG52" s="556"/>
      <c r="PH52" s="556"/>
      <c r="PI52" s="556"/>
      <c r="PJ52" s="556"/>
      <c r="PK52" s="556"/>
      <c r="PL52" s="556"/>
      <c r="PM52" s="556"/>
      <c r="PN52" s="556"/>
      <c r="PO52" s="556"/>
      <c r="PP52" s="556"/>
      <c r="PQ52" s="556"/>
      <c r="PR52" s="556"/>
      <c r="PS52" s="556"/>
      <c r="PT52" s="556"/>
      <c r="PU52" s="556"/>
      <c r="PV52" s="556"/>
      <c r="PW52" s="556"/>
      <c r="PX52" s="556"/>
      <c r="PY52" s="556"/>
      <c r="PZ52" s="556"/>
      <c r="QA52" s="556"/>
      <c r="QB52" s="556"/>
      <c r="QC52" s="556"/>
      <c r="QD52" s="556"/>
      <c r="QE52" s="556"/>
      <c r="QF52" s="556"/>
      <c r="QG52" s="556"/>
      <c r="QH52" s="556"/>
      <c r="QI52" s="556"/>
      <c r="QJ52" s="556"/>
      <c r="QK52" s="556"/>
      <c r="QL52" s="556"/>
      <c r="QM52" s="556"/>
      <c r="QN52" s="556"/>
      <c r="QO52" s="556"/>
      <c r="QP52" s="556"/>
      <c r="QQ52" s="556"/>
      <c r="QR52" s="556"/>
      <c r="QS52" s="556"/>
      <c r="QT52" s="556"/>
      <c r="QU52" s="556"/>
      <c r="QV52" s="556"/>
      <c r="QW52" s="556"/>
      <c r="QX52" s="556"/>
      <c r="QY52" s="556"/>
      <c r="QZ52" s="556"/>
      <c r="RA52" s="556"/>
      <c r="RB52" s="556"/>
      <c r="RC52" s="556"/>
      <c r="RD52" s="556"/>
      <c r="RE52" s="556"/>
      <c r="RF52" s="556"/>
      <c r="RG52" s="556"/>
      <c r="RH52" s="556"/>
      <c r="RI52" s="556"/>
      <c r="RJ52" s="556"/>
      <c r="RK52" s="556"/>
      <c r="RL52" s="556"/>
      <c r="RM52" s="556"/>
      <c r="RN52" s="556"/>
      <c r="RO52" s="556"/>
      <c r="RP52" s="556"/>
      <c r="RQ52" s="556"/>
      <c r="RR52" s="556"/>
      <c r="RS52" s="556"/>
      <c r="RT52" s="556"/>
      <c r="RU52" s="556"/>
      <c r="RV52" s="556"/>
      <c r="RW52" s="556"/>
      <c r="RX52" s="556"/>
      <c r="RY52" s="556"/>
      <c r="RZ52" s="556"/>
      <c r="SA52" s="556"/>
      <c r="SB52" s="556"/>
      <c r="SC52" s="556"/>
      <c r="SD52" s="556"/>
      <c r="SE52" s="556"/>
      <c r="SF52" s="556"/>
      <c r="SG52" s="556"/>
      <c r="SH52" s="556"/>
      <c r="SI52" s="556"/>
      <c r="SJ52" s="556"/>
      <c r="SK52" s="556"/>
      <c r="SL52" s="556"/>
      <c r="SM52" s="556"/>
      <c r="SN52" s="556"/>
      <c r="SO52" s="556"/>
      <c r="SP52" s="556"/>
      <c r="SQ52" s="556"/>
      <c r="SR52" s="556"/>
      <c r="SS52" s="556"/>
      <c r="ST52" s="556"/>
      <c r="SU52" s="556"/>
      <c r="SV52" s="556"/>
      <c r="SW52" s="556"/>
      <c r="SX52" s="556"/>
      <c r="SY52" s="556"/>
      <c r="SZ52" s="556"/>
      <c r="TA52" s="556"/>
      <c r="TB52" s="556"/>
      <c r="TC52" s="556"/>
      <c r="TD52" s="556"/>
      <c r="TE52" s="556"/>
      <c r="TF52" s="556"/>
      <c r="TG52" s="556"/>
      <c r="TH52" s="556"/>
      <c r="TI52" s="556"/>
      <c r="TJ52" s="556"/>
      <c r="TK52" s="556"/>
      <c r="TL52" s="556"/>
      <c r="TM52" s="556"/>
      <c r="TN52" s="556"/>
      <c r="TO52" s="556"/>
      <c r="TP52" s="556"/>
      <c r="TQ52" s="556"/>
      <c r="TR52" s="556"/>
      <c r="TS52" s="556"/>
      <c r="TT52" s="556"/>
      <c r="TU52" s="556"/>
      <c r="TV52" s="556"/>
      <c r="TW52" s="556"/>
      <c r="TX52" s="556"/>
      <c r="TY52" s="556"/>
      <c r="TZ52" s="556"/>
      <c r="UA52" s="556"/>
      <c r="UB52" s="556"/>
      <c r="UC52" s="556"/>
      <c r="UD52" s="556"/>
      <c r="UE52" s="556"/>
      <c r="UF52" s="556"/>
      <c r="UG52" s="556"/>
      <c r="UH52" s="556"/>
      <c r="UI52" s="556"/>
      <c r="UJ52" s="556"/>
      <c r="UK52" s="556"/>
      <c r="UL52" s="556"/>
      <c r="UM52" s="556"/>
      <c r="UN52" s="556"/>
      <c r="UO52" s="556"/>
      <c r="UP52" s="556"/>
      <c r="UQ52" s="556"/>
      <c r="UR52" s="556"/>
      <c r="US52" s="556"/>
      <c r="UT52" s="556"/>
      <c r="UU52" s="556"/>
      <c r="UV52" s="556"/>
      <c r="UW52" s="556"/>
      <c r="UX52" s="556"/>
      <c r="UY52" s="556"/>
      <c r="UZ52" s="556"/>
      <c r="VA52" s="556"/>
      <c r="VB52" s="556"/>
      <c r="VC52" s="556"/>
      <c r="VD52" s="556"/>
      <c r="VE52" s="556"/>
      <c r="VF52" s="556"/>
      <c r="VG52" s="556"/>
      <c r="VH52" s="556"/>
      <c r="VI52" s="556"/>
      <c r="VJ52" s="556"/>
      <c r="VK52" s="556"/>
      <c r="VL52" s="556"/>
      <c r="VM52" s="556"/>
      <c r="VN52" s="556"/>
      <c r="VO52" s="556"/>
      <c r="VP52" s="556"/>
      <c r="VQ52" s="556"/>
      <c r="VR52" s="556"/>
      <c r="VS52" s="556"/>
      <c r="VT52" s="556"/>
      <c r="VU52" s="556"/>
      <c r="VV52" s="556"/>
      <c r="VW52" s="556"/>
      <c r="VX52" s="556"/>
      <c r="VY52" s="556"/>
      <c r="VZ52" s="556"/>
      <c r="WA52" s="556"/>
      <c r="WB52" s="556"/>
      <c r="WC52" s="556"/>
      <c r="WD52" s="556"/>
      <c r="WE52" s="556"/>
      <c r="WF52" s="556"/>
      <c r="WG52" s="556"/>
      <c r="WH52" s="556"/>
      <c r="WI52" s="556"/>
      <c r="WJ52" s="556"/>
      <c r="WK52" s="556"/>
      <c r="WL52" s="556"/>
      <c r="WM52" s="556"/>
      <c r="WN52" s="556"/>
      <c r="WO52" s="556"/>
      <c r="WP52" s="556"/>
      <c r="WQ52" s="556"/>
      <c r="WR52" s="556"/>
      <c r="WS52" s="556"/>
      <c r="WT52" s="556"/>
      <c r="WU52" s="556"/>
      <c r="WV52" s="556"/>
      <c r="WW52" s="556"/>
      <c r="WX52" s="556"/>
      <c r="WY52" s="556"/>
      <c r="WZ52" s="556"/>
      <c r="XA52" s="556"/>
      <c r="XB52" s="556"/>
      <c r="XC52" s="556"/>
      <c r="XD52" s="556"/>
      <c r="XE52" s="556"/>
      <c r="XF52" s="556"/>
      <c r="XG52" s="556"/>
      <c r="XH52" s="556"/>
      <c r="XI52" s="556"/>
      <c r="XJ52" s="556"/>
      <c r="XK52" s="556"/>
      <c r="XL52" s="556"/>
      <c r="XM52" s="556"/>
      <c r="XN52" s="556"/>
      <c r="XO52" s="556"/>
      <c r="XP52" s="556"/>
      <c r="XQ52" s="556"/>
      <c r="XR52" s="556"/>
      <c r="XS52" s="556"/>
      <c r="XT52" s="556"/>
      <c r="XU52" s="556"/>
      <c r="XV52" s="556"/>
      <c r="XW52" s="556"/>
      <c r="XX52" s="556"/>
      <c r="XY52" s="556"/>
      <c r="XZ52" s="556"/>
      <c r="YA52" s="556"/>
      <c r="YB52" s="556"/>
      <c r="YC52" s="556"/>
      <c r="YD52" s="556"/>
      <c r="YE52" s="556"/>
      <c r="YF52" s="556"/>
      <c r="YG52" s="556"/>
      <c r="YH52" s="556"/>
      <c r="YI52" s="556"/>
      <c r="YJ52" s="556"/>
      <c r="YK52" s="556"/>
      <c r="YL52" s="556"/>
      <c r="YM52" s="556"/>
      <c r="YN52" s="556"/>
      <c r="YO52" s="556"/>
      <c r="YP52" s="556"/>
      <c r="YQ52" s="556"/>
      <c r="YR52" s="556"/>
      <c r="YS52" s="556"/>
      <c r="YT52" s="556"/>
      <c r="YU52" s="556"/>
      <c r="YV52" s="556"/>
      <c r="YW52" s="556"/>
      <c r="YX52" s="556"/>
      <c r="YY52" s="556"/>
      <c r="YZ52" s="556"/>
      <c r="ZA52" s="556"/>
      <c r="ZB52" s="556"/>
      <c r="ZC52" s="556"/>
      <c r="ZD52" s="556"/>
      <c r="ZE52" s="556"/>
      <c r="ZF52" s="556"/>
      <c r="ZG52" s="556"/>
      <c r="ZH52" s="556"/>
      <c r="ZI52" s="556"/>
      <c r="ZJ52" s="556"/>
      <c r="ZK52" s="556"/>
      <c r="ZL52" s="556"/>
      <c r="ZM52" s="556"/>
      <c r="ZN52" s="556"/>
      <c r="ZO52" s="556"/>
      <c r="ZP52" s="556"/>
      <c r="ZQ52" s="556"/>
      <c r="ZR52" s="556"/>
      <c r="ZS52" s="556"/>
      <c r="ZT52" s="556"/>
      <c r="ZU52" s="556"/>
      <c r="ZV52" s="556"/>
      <c r="ZW52" s="556"/>
      <c r="ZX52" s="556"/>
      <c r="ZY52" s="556"/>
      <c r="ZZ52" s="556"/>
      <c r="AAA52" s="556"/>
      <c r="AAB52" s="556"/>
      <c r="AAC52" s="556"/>
      <c r="AAD52" s="556"/>
      <c r="AAE52" s="556"/>
      <c r="AAF52" s="556"/>
      <c r="AAG52" s="556"/>
      <c r="AAH52" s="556"/>
      <c r="AAI52" s="556"/>
      <c r="AAJ52" s="556"/>
      <c r="AAK52" s="556"/>
      <c r="AAL52" s="556"/>
      <c r="AAM52" s="556"/>
      <c r="AAN52" s="556"/>
      <c r="AAO52" s="556"/>
      <c r="AAP52" s="556"/>
      <c r="AAQ52" s="556"/>
      <c r="AAR52" s="556"/>
      <c r="AAS52" s="556"/>
      <c r="AAT52" s="556"/>
      <c r="AAU52" s="556"/>
      <c r="AAV52" s="556"/>
      <c r="AAW52" s="556"/>
      <c r="AAX52" s="556"/>
      <c r="AAY52" s="556"/>
      <c r="AAZ52" s="556"/>
      <c r="ABA52" s="556"/>
      <c r="ABB52" s="556"/>
      <c r="ABC52" s="556"/>
      <c r="ABD52" s="556"/>
      <c r="ABE52" s="556"/>
      <c r="ABF52" s="556"/>
      <c r="ABG52" s="556"/>
      <c r="ABH52" s="556"/>
      <c r="ABI52" s="556"/>
      <c r="ABJ52" s="556"/>
      <c r="ABK52" s="556"/>
      <c r="ABL52" s="556"/>
      <c r="ABM52" s="556"/>
      <c r="ABN52" s="556"/>
      <c r="ABO52" s="556"/>
      <c r="ABP52" s="556"/>
      <c r="ABQ52" s="556"/>
      <c r="ABR52" s="556"/>
      <c r="ABS52" s="556"/>
      <c r="ABT52" s="556"/>
      <c r="ABU52" s="556"/>
      <c r="ABV52" s="556"/>
      <c r="ABW52" s="556"/>
      <c r="ABX52" s="556"/>
      <c r="ABY52" s="556"/>
      <c r="ABZ52" s="556"/>
      <c r="ACA52" s="556"/>
      <c r="ACB52" s="556"/>
      <c r="ACC52" s="556"/>
      <c r="ACD52" s="556"/>
      <c r="ACE52" s="556"/>
      <c r="ACF52" s="556"/>
      <c r="ACG52" s="556"/>
      <c r="ACH52" s="556"/>
      <c r="ACI52" s="556"/>
      <c r="ACJ52" s="556"/>
      <c r="ACK52" s="556"/>
      <c r="ACL52" s="556"/>
      <c r="ACM52" s="556"/>
      <c r="ACN52" s="556"/>
      <c r="ACO52" s="556"/>
      <c r="ACP52" s="556"/>
      <c r="ACQ52" s="556"/>
      <c r="ACR52" s="556"/>
      <c r="ACS52" s="556"/>
      <c r="ACT52" s="556"/>
      <c r="ACU52" s="556"/>
      <c r="ACV52" s="556"/>
      <c r="ACW52" s="556"/>
      <c r="ACX52" s="556"/>
      <c r="ACY52" s="556"/>
      <c r="ACZ52" s="556"/>
      <c r="ADA52" s="556"/>
      <c r="ADB52" s="556"/>
      <c r="ADC52" s="556"/>
      <c r="ADD52" s="556"/>
      <c r="ADE52" s="556"/>
      <c r="ADF52" s="556"/>
      <c r="ADG52" s="556"/>
      <c r="ADH52" s="556"/>
      <c r="ADI52" s="556"/>
      <c r="ADJ52" s="556"/>
      <c r="ADK52" s="556"/>
      <c r="ADL52" s="556"/>
      <c r="ADM52" s="556"/>
      <c r="ADN52" s="556"/>
      <c r="ADO52" s="556"/>
      <c r="ADP52" s="556"/>
      <c r="ADQ52" s="556"/>
      <c r="ADR52" s="556"/>
      <c r="ADS52" s="556"/>
      <c r="ADT52" s="556"/>
      <c r="ADU52" s="556"/>
      <c r="ADV52" s="556"/>
      <c r="ADW52" s="556"/>
      <c r="ADX52" s="556"/>
      <c r="ADY52" s="556"/>
      <c r="ADZ52" s="556"/>
      <c r="AEA52" s="556"/>
      <c r="AEB52" s="556"/>
      <c r="AEC52" s="556"/>
      <c r="AED52" s="556"/>
      <c r="AEE52" s="556"/>
      <c r="AEF52" s="556"/>
      <c r="AEG52" s="556"/>
      <c r="AEH52" s="556"/>
      <c r="AEI52" s="556"/>
      <c r="AEJ52" s="556"/>
      <c r="AEK52" s="556"/>
      <c r="AEL52" s="556"/>
      <c r="AEM52" s="556"/>
      <c r="AEN52" s="556"/>
      <c r="AEO52" s="556"/>
      <c r="AEP52" s="556"/>
      <c r="AEQ52" s="556"/>
      <c r="AER52" s="556"/>
      <c r="AES52" s="556"/>
      <c r="AET52" s="556"/>
      <c r="AEU52" s="556"/>
      <c r="AEV52" s="556"/>
      <c r="AEW52" s="556"/>
      <c r="AEX52" s="556"/>
      <c r="AEY52" s="556"/>
      <c r="AEZ52" s="556"/>
      <c r="AFA52" s="556"/>
      <c r="AFB52" s="556"/>
      <c r="AFC52" s="556"/>
      <c r="AFD52" s="556"/>
      <c r="AFE52" s="556"/>
      <c r="AFF52" s="556"/>
      <c r="AFG52" s="556"/>
      <c r="AFH52" s="556"/>
      <c r="AFI52" s="556"/>
      <c r="AFJ52" s="556"/>
      <c r="AFK52" s="556"/>
      <c r="AFL52" s="556"/>
      <c r="AFM52" s="556"/>
      <c r="AFN52" s="556"/>
      <c r="AFO52" s="556"/>
      <c r="AFP52" s="556"/>
      <c r="AFQ52" s="556"/>
      <c r="AFR52" s="556"/>
      <c r="AFS52" s="556"/>
      <c r="AFT52" s="556"/>
      <c r="AFU52" s="556"/>
      <c r="AFV52" s="556"/>
      <c r="AFW52" s="556"/>
      <c r="AFX52" s="556"/>
      <c r="AFY52" s="556"/>
      <c r="AFZ52" s="556"/>
      <c r="AGA52" s="556"/>
      <c r="AGB52" s="556"/>
      <c r="AGC52" s="556"/>
      <c r="AGD52" s="556"/>
      <c r="AGE52" s="556"/>
      <c r="AGF52" s="556"/>
      <c r="AGG52" s="556"/>
      <c r="AGH52" s="556"/>
      <c r="AGI52" s="556"/>
      <c r="AGJ52" s="556"/>
      <c r="AGK52" s="556"/>
      <c r="AGL52" s="556"/>
      <c r="AGM52" s="556"/>
      <c r="AGN52" s="556"/>
      <c r="AGO52" s="556"/>
      <c r="AGP52" s="556"/>
      <c r="AGQ52" s="556"/>
      <c r="AGR52" s="556"/>
      <c r="AGS52" s="556"/>
      <c r="AGT52" s="556"/>
      <c r="AGU52" s="556"/>
      <c r="AGV52" s="556"/>
      <c r="AGW52" s="556"/>
      <c r="AGX52" s="556"/>
      <c r="AGY52" s="556"/>
      <c r="AGZ52" s="556"/>
      <c r="AHA52" s="556"/>
      <c r="AHB52" s="556"/>
      <c r="AHC52" s="556"/>
      <c r="AHD52" s="556"/>
      <c r="AHE52" s="556"/>
      <c r="AHF52" s="556"/>
      <c r="AHG52" s="556"/>
      <c r="AHH52" s="556"/>
      <c r="AHI52" s="556"/>
      <c r="AHJ52" s="556"/>
      <c r="AHK52" s="556"/>
      <c r="AHL52" s="556"/>
      <c r="AHM52" s="556"/>
      <c r="AHN52" s="556"/>
      <c r="AHO52" s="556"/>
      <c r="AHP52" s="556"/>
      <c r="AHQ52" s="556"/>
      <c r="AHR52" s="556"/>
      <c r="AHS52" s="556"/>
      <c r="AHT52" s="556"/>
      <c r="AHU52" s="556"/>
      <c r="AHV52" s="556"/>
      <c r="AHW52" s="556"/>
      <c r="AHX52" s="556"/>
      <c r="AHY52" s="556"/>
      <c r="AHZ52" s="556"/>
      <c r="AIA52" s="556"/>
      <c r="AIB52" s="556"/>
      <c r="AIC52" s="556"/>
      <c r="AID52" s="556"/>
      <c r="AIE52" s="556"/>
      <c r="AIF52" s="556"/>
      <c r="AIG52" s="556"/>
      <c r="AIH52" s="556"/>
      <c r="AII52" s="556"/>
      <c r="AIJ52" s="556"/>
      <c r="AIK52" s="556"/>
      <c r="AIL52" s="556"/>
      <c r="AIM52" s="556"/>
      <c r="AIN52" s="556"/>
      <c r="AIO52" s="556"/>
      <c r="AIP52" s="556"/>
      <c r="AIQ52" s="556"/>
      <c r="AIR52" s="556"/>
      <c r="AIS52" s="556"/>
      <c r="AIT52" s="556"/>
      <c r="AIU52" s="556"/>
      <c r="AIV52" s="556"/>
      <c r="AIW52" s="556"/>
      <c r="AIX52" s="556"/>
      <c r="AIY52" s="556"/>
      <c r="AIZ52" s="556"/>
      <c r="AJA52" s="556"/>
      <c r="AJB52" s="556"/>
      <c r="AJC52" s="556"/>
      <c r="AJD52" s="556"/>
      <c r="AJE52" s="556"/>
      <c r="AJF52" s="556"/>
      <c r="AJG52" s="556"/>
      <c r="AJH52" s="556"/>
      <c r="AJI52" s="556"/>
      <c r="AJJ52" s="556"/>
      <c r="AJK52" s="556"/>
      <c r="AJL52" s="556"/>
      <c r="AJM52" s="556"/>
      <c r="AJN52" s="556"/>
      <c r="AJO52" s="556"/>
      <c r="AJP52" s="556"/>
      <c r="AJQ52" s="556"/>
      <c r="AJR52" s="556"/>
      <c r="AJS52" s="556"/>
      <c r="AJT52" s="556"/>
      <c r="AJU52" s="556"/>
      <c r="AJV52" s="556"/>
      <c r="AJW52" s="556"/>
      <c r="AJX52" s="556"/>
      <c r="AJY52" s="556"/>
      <c r="AJZ52" s="556"/>
      <c r="AKA52" s="556"/>
      <c r="AKB52" s="556"/>
      <c r="AKC52" s="556"/>
      <c r="AKD52" s="556"/>
      <c r="AKE52" s="556"/>
      <c r="AKF52" s="556"/>
      <c r="AKG52" s="556"/>
      <c r="AKH52" s="556"/>
      <c r="AKI52" s="556"/>
      <c r="AKJ52" s="556"/>
      <c r="AKK52" s="556"/>
      <c r="AKL52" s="556"/>
      <c r="AKM52" s="556"/>
      <c r="AKN52" s="556"/>
      <c r="AKO52" s="556"/>
      <c r="AKP52" s="556"/>
      <c r="AKQ52" s="556"/>
      <c r="AKR52" s="556"/>
      <c r="AKS52" s="556"/>
      <c r="AKT52" s="556"/>
      <c r="AKU52" s="556"/>
      <c r="AKV52" s="556"/>
      <c r="AKW52" s="556"/>
      <c r="AKX52" s="556"/>
      <c r="AKY52" s="556"/>
      <c r="AKZ52" s="556"/>
      <c r="ALA52" s="556"/>
      <c r="ALB52" s="556"/>
      <c r="ALC52" s="556"/>
      <c r="ALD52" s="556"/>
      <c r="ALE52" s="556"/>
      <c r="ALF52" s="556"/>
      <c r="ALG52" s="556"/>
      <c r="ALH52" s="556"/>
      <c r="ALI52" s="556"/>
      <c r="ALJ52" s="556"/>
      <c r="ALK52" s="556"/>
      <c r="ALL52" s="556"/>
      <c r="ALM52" s="556"/>
      <c r="ALN52" s="556"/>
      <c r="ALO52" s="556"/>
      <c r="ALP52" s="556"/>
      <c r="ALQ52" s="556"/>
      <c r="ALR52" s="556"/>
      <c r="ALS52" s="556"/>
      <c r="ALT52" s="556"/>
      <c r="ALU52" s="556"/>
      <c r="ALV52" s="556"/>
      <c r="ALW52" s="556"/>
      <c r="ALX52" s="556"/>
      <c r="ALY52" s="556"/>
      <c r="ALZ52" s="556"/>
      <c r="AMA52" s="556"/>
      <c r="AMB52" s="556"/>
      <c r="AMC52" s="556"/>
      <c r="AMD52" s="556"/>
      <c r="AME52" s="556"/>
      <c r="AMF52" s="556"/>
      <c r="AMG52" s="556"/>
      <c r="AMH52" s="556"/>
      <c r="AMI52" s="556"/>
      <c r="AMJ52" s="556"/>
      <c r="AMK52" s="556"/>
      <c r="AML52" s="556"/>
      <c r="AMM52" s="556"/>
      <c r="AMN52" s="556"/>
      <c r="AMO52" s="556"/>
      <c r="AMP52" s="556"/>
      <c r="AMQ52" s="556"/>
      <c r="AMR52" s="556"/>
      <c r="AMS52" s="556"/>
      <c r="AMT52" s="556"/>
      <c r="AMU52" s="556"/>
      <c r="AMV52" s="556"/>
      <c r="AMW52" s="556"/>
      <c r="AMX52" s="556"/>
      <c r="AMY52" s="556"/>
      <c r="AMZ52" s="556"/>
      <c r="ANA52" s="556"/>
      <c r="ANB52" s="556"/>
      <c r="ANC52" s="556"/>
      <c r="AND52" s="556"/>
      <c r="ANE52" s="556"/>
      <c r="ANF52" s="556"/>
      <c r="ANG52" s="556"/>
      <c r="ANH52" s="556"/>
      <c r="ANI52" s="556"/>
      <c r="ANJ52" s="556"/>
      <c r="ANK52" s="556"/>
      <c r="ANL52" s="556"/>
      <c r="ANM52" s="556"/>
      <c r="ANN52" s="556"/>
      <c r="ANO52" s="556"/>
      <c r="ANP52" s="556"/>
      <c r="ANQ52" s="556"/>
      <c r="ANR52" s="556"/>
      <c r="ANS52" s="556"/>
      <c r="ANT52" s="556"/>
      <c r="ANU52" s="556"/>
      <c r="ANV52" s="556"/>
      <c r="ANW52" s="556"/>
      <c r="ANX52" s="556"/>
      <c r="ANY52" s="556"/>
      <c r="ANZ52" s="556"/>
      <c r="AOA52" s="556"/>
      <c r="AOB52" s="556"/>
      <c r="AOC52" s="556"/>
      <c r="AOD52" s="556"/>
      <c r="AOE52" s="556"/>
      <c r="AOF52" s="556"/>
      <c r="AOG52" s="556"/>
      <c r="AOH52" s="556"/>
      <c r="AOI52" s="556"/>
      <c r="AOJ52" s="556"/>
      <c r="AOK52" s="556"/>
      <c r="AOL52" s="556"/>
      <c r="AOM52" s="556"/>
      <c r="AON52" s="556"/>
      <c r="AOO52" s="556"/>
      <c r="AOP52" s="556"/>
      <c r="AOQ52" s="556"/>
      <c r="AOR52" s="556"/>
      <c r="AOS52" s="556"/>
      <c r="AOT52" s="556"/>
      <c r="AOU52" s="556"/>
      <c r="AOV52" s="556"/>
      <c r="AOW52" s="556"/>
      <c r="AOX52" s="556"/>
      <c r="AOY52" s="556"/>
      <c r="AOZ52" s="556"/>
      <c r="APA52" s="556"/>
      <c r="APB52" s="556"/>
      <c r="APC52" s="556"/>
      <c r="APD52" s="556"/>
      <c r="APE52" s="556"/>
      <c r="APF52" s="556"/>
      <c r="APG52" s="556"/>
      <c r="APH52" s="556"/>
      <c r="API52" s="556"/>
      <c r="APJ52" s="556"/>
      <c r="APK52" s="556"/>
      <c r="APL52" s="556"/>
      <c r="APM52" s="556"/>
      <c r="APN52" s="556"/>
      <c r="APO52" s="556"/>
      <c r="APP52" s="556"/>
      <c r="APQ52" s="556"/>
      <c r="APR52" s="556"/>
      <c r="APS52" s="556"/>
      <c r="APT52" s="556"/>
      <c r="APU52" s="556"/>
      <c r="APV52" s="556"/>
      <c r="APW52" s="556"/>
      <c r="APX52" s="556"/>
      <c r="APY52" s="556"/>
      <c r="APZ52" s="556"/>
      <c r="AQA52" s="556"/>
      <c r="AQB52" s="556"/>
      <c r="AQC52" s="556"/>
      <c r="AQD52" s="556"/>
      <c r="AQE52" s="556"/>
      <c r="AQF52" s="556"/>
      <c r="AQG52" s="556"/>
      <c r="AQH52" s="556"/>
      <c r="AQI52" s="556"/>
      <c r="AQJ52" s="556"/>
      <c r="AQK52" s="556"/>
      <c r="AQL52" s="556"/>
      <c r="AQM52" s="556"/>
      <c r="AQN52" s="556"/>
      <c r="AQO52" s="556"/>
      <c r="AQP52" s="556"/>
      <c r="AQQ52" s="556"/>
      <c r="AQR52" s="556"/>
      <c r="AQS52" s="556"/>
      <c r="AQT52" s="556"/>
      <c r="AQU52" s="556"/>
      <c r="AQV52" s="556"/>
      <c r="AQW52" s="556"/>
      <c r="AQX52" s="556"/>
      <c r="AQY52" s="556"/>
      <c r="AQZ52" s="556"/>
      <c r="ARA52" s="556"/>
      <c r="ARB52" s="556"/>
      <c r="ARC52" s="556"/>
      <c r="ARD52" s="556"/>
      <c r="ARE52" s="556"/>
      <c r="ARF52" s="556"/>
      <c r="ARG52" s="556"/>
      <c r="ARH52" s="556"/>
      <c r="ARI52" s="556"/>
      <c r="ARJ52" s="556"/>
      <c r="ARK52" s="556"/>
      <c r="ARL52" s="556"/>
      <c r="ARM52" s="556"/>
      <c r="ARN52" s="556"/>
      <c r="ARO52" s="556"/>
      <c r="ARP52" s="556"/>
      <c r="ARQ52" s="556"/>
      <c r="ARR52" s="556"/>
      <c r="ARS52" s="556"/>
      <c r="ART52" s="556"/>
      <c r="ARU52" s="556"/>
      <c r="ARV52" s="556"/>
      <c r="ARW52" s="556"/>
      <c r="ARX52" s="556"/>
      <c r="ARY52" s="556"/>
      <c r="ARZ52" s="556"/>
      <c r="ASA52" s="556"/>
      <c r="ASB52" s="556"/>
      <c r="ASC52" s="556"/>
      <c r="ASD52" s="556"/>
      <c r="ASE52" s="556"/>
      <c r="ASF52" s="556"/>
      <c r="ASG52" s="556"/>
      <c r="ASH52" s="556"/>
      <c r="ASI52" s="556"/>
      <c r="ASJ52" s="556"/>
      <c r="ASK52" s="556"/>
      <c r="ASL52" s="556"/>
      <c r="ASM52" s="556"/>
      <c r="ASN52" s="556"/>
      <c r="ASO52" s="556"/>
      <c r="ASP52" s="556"/>
      <c r="ASQ52" s="556"/>
      <c r="ASR52" s="556"/>
      <c r="ASS52" s="556"/>
      <c r="AST52" s="556"/>
      <c r="ASU52" s="556"/>
      <c r="ASV52" s="556"/>
      <c r="ASW52" s="556"/>
      <c r="ASX52" s="556"/>
      <c r="ASY52" s="556"/>
      <c r="ASZ52" s="556"/>
      <c r="ATA52" s="556"/>
      <c r="ATB52" s="556"/>
      <c r="ATC52" s="556"/>
      <c r="ATD52" s="556"/>
      <c r="ATE52" s="556"/>
      <c r="ATF52" s="556"/>
      <c r="ATG52" s="556"/>
      <c r="ATH52" s="556"/>
      <c r="ATI52" s="556"/>
      <c r="ATJ52" s="556"/>
      <c r="ATK52" s="556"/>
      <c r="ATL52" s="556"/>
      <c r="ATM52" s="556"/>
      <c r="ATN52" s="556"/>
      <c r="ATO52" s="556"/>
      <c r="ATP52" s="556"/>
      <c r="ATQ52" s="556"/>
      <c r="ATR52" s="556"/>
      <c r="ATS52" s="556"/>
      <c r="ATT52" s="556"/>
      <c r="ATU52" s="556"/>
      <c r="ATV52" s="556"/>
      <c r="ATW52" s="556"/>
      <c r="ATX52" s="556"/>
      <c r="ATY52" s="556"/>
      <c r="ATZ52" s="556"/>
      <c r="AUA52" s="556"/>
      <c r="AUB52" s="556"/>
      <c r="AUC52" s="556"/>
      <c r="AUD52" s="556"/>
      <c r="AUE52" s="556"/>
      <c r="AUF52" s="556"/>
      <c r="AUG52" s="556"/>
      <c r="AUH52" s="556"/>
      <c r="AUI52" s="556"/>
      <c r="AUJ52" s="556"/>
      <c r="AUK52" s="556"/>
      <c r="AUL52" s="556"/>
      <c r="AUM52" s="556"/>
      <c r="AUN52" s="556"/>
      <c r="AUO52" s="556"/>
      <c r="AUP52" s="556"/>
      <c r="AUQ52" s="556"/>
      <c r="AUR52" s="556"/>
      <c r="AUS52" s="556"/>
      <c r="AUT52" s="556"/>
      <c r="AUU52" s="556"/>
      <c r="AUV52" s="556"/>
      <c r="AUW52" s="556"/>
      <c r="AUX52" s="556"/>
      <c r="AUY52" s="556"/>
      <c r="AUZ52" s="556"/>
      <c r="AVA52" s="556"/>
      <c r="AVB52" s="556"/>
      <c r="AVC52" s="556"/>
      <c r="AVD52" s="556"/>
      <c r="AVE52" s="556"/>
      <c r="AVF52" s="556"/>
      <c r="AVG52" s="556"/>
      <c r="AVH52" s="556"/>
      <c r="AVI52" s="556"/>
      <c r="AVJ52" s="556"/>
      <c r="AVK52" s="556"/>
      <c r="AVL52" s="556"/>
      <c r="AVM52" s="556"/>
      <c r="AVN52" s="556"/>
      <c r="AVO52" s="556"/>
      <c r="AVP52" s="556"/>
      <c r="AVQ52" s="556"/>
      <c r="AVR52" s="556"/>
      <c r="AVS52" s="556"/>
      <c r="AVT52" s="556"/>
      <c r="AVU52" s="556"/>
      <c r="AVV52" s="556"/>
      <c r="AVW52" s="556"/>
      <c r="AVX52" s="556"/>
      <c r="AVY52" s="556"/>
      <c r="AVZ52" s="556"/>
      <c r="AWA52" s="556"/>
      <c r="AWB52" s="556"/>
      <c r="AWC52" s="556"/>
      <c r="AWD52" s="556"/>
      <c r="AWE52" s="556"/>
      <c r="AWF52" s="556"/>
      <c r="AWG52" s="556"/>
      <c r="AWH52" s="556"/>
      <c r="AWI52" s="556"/>
      <c r="AWJ52" s="556"/>
      <c r="AWK52" s="556"/>
      <c r="AWL52" s="556"/>
      <c r="AWM52" s="556"/>
      <c r="AWN52" s="556"/>
      <c r="AWO52" s="556"/>
      <c r="AWP52" s="556"/>
      <c r="AWQ52" s="556"/>
      <c r="AWR52" s="556"/>
      <c r="AWS52" s="556"/>
      <c r="AWT52" s="556"/>
      <c r="AWU52" s="556"/>
      <c r="AWV52" s="556"/>
      <c r="AWW52" s="556"/>
      <c r="AWX52" s="556"/>
      <c r="AWY52" s="556"/>
      <c r="AWZ52" s="556"/>
      <c r="AXA52" s="556"/>
      <c r="AXB52" s="556"/>
      <c r="AXC52" s="556"/>
      <c r="AXD52" s="556"/>
      <c r="AXE52" s="556"/>
      <c r="AXF52" s="556"/>
      <c r="AXG52" s="556"/>
      <c r="AXH52" s="556"/>
      <c r="AXI52" s="556"/>
      <c r="AXJ52" s="556"/>
      <c r="AXK52" s="556"/>
      <c r="AXL52" s="556"/>
      <c r="AXM52" s="556"/>
      <c r="AXN52" s="556"/>
      <c r="AXO52" s="556"/>
      <c r="AXP52" s="556"/>
      <c r="AXQ52" s="556"/>
      <c r="AXR52" s="556"/>
      <c r="AXS52" s="556"/>
      <c r="AXT52" s="556"/>
      <c r="AXU52" s="556"/>
      <c r="AXV52" s="556"/>
      <c r="AXW52" s="556"/>
      <c r="AXX52" s="556"/>
      <c r="AXY52" s="556"/>
      <c r="AXZ52" s="556"/>
      <c r="AYA52" s="556"/>
      <c r="AYB52" s="556"/>
      <c r="AYC52" s="556"/>
      <c r="AYD52" s="556"/>
      <c r="AYE52" s="556"/>
      <c r="AYF52" s="556"/>
      <c r="AYG52" s="556"/>
      <c r="AYH52" s="556"/>
      <c r="AYI52" s="556"/>
      <c r="AYJ52" s="556"/>
      <c r="AYK52" s="556"/>
      <c r="AYL52" s="556"/>
      <c r="AYM52" s="556"/>
      <c r="AYN52" s="556"/>
      <c r="AYO52" s="556"/>
      <c r="AYP52" s="556"/>
      <c r="AYQ52" s="556"/>
      <c r="AYR52" s="556"/>
      <c r="AYS52" s="556"/>
      <c r="AYT52" s="556"/>
      <c r="AYU52" s="556"/>
      <c r="AYV52" s="556"/>
      <c r="AYW52" s="556"/>
      <c r="AYX52" s="556"/>
      <c r="AYY52" s="556"/>
      <c r="AYZ52" s="556"/>
      <c r="AZA52" s="556"/>
      <c r="AZB52" s="556"/>
      <c r="AZC52" s="556"/>
      <c r="AZD52" s="556"/>
      <c r="AZE52" s="556"/>
      <c r="AZF52" s="556"/>
      <c r="AZG52" s="556"/>
      <c r="AZH52" s="556"/>
      <c r="AZI52" s="556"/>
      <c r="AZJ52" s="556"/>
      <c r="AZK52" s="556"/>
      <c r="AZL52" s="556"/>
      <c r="AZM52" s="556"/>
      <c r="AZN52" s="556"/>
      <c r="AZO52" s="556"/>
      <c r="AZP52" s="556"/>
      <c r="AZQ52" s="556"/>
      <c r="AZR52" s="556"/>
      <c r="AZS52" s="556"/>
      <c r="AZT52" s="556"/>
      <c r="AZU52" s="556"/>
      <c r="AZV52" s="556"/>
      <c r="AZW52" s="556"/>
      <c r="AZX52" s="556"/>
      <c r="AZY52" s="556"/>
      <c r="AZZ52" s="556"/>
      <c r="BAA52" s="556"/>
      <c r="BAB52" s="556"/>
      <c r="BAC52" s="556"/>
      <c r="BAD52" s="556"/>
      <c r="BAE52" s="556"/>
      <c r="BAF52" s="556"/>
      <c r="BAG52" s="556"/>
      <c r="BAH52" s="556"/>
      <c r="BAI52" s="556"/>
      <c r="BAJ52" s="556"/>
      <c r="BAK52" s="556"/>
      <c r="BAL52" s="556"/>
      <c r="BAM52" s="556"/>
      <c r="BAN52" s="556"/>
      <c r="BAO52" s="556"/>
      <c r="BAP52" s="556"/>
      <c r="BAQ52" s="556"/>
      <c r="BAR52" s="556"/>
      <c r="BAS52" s="556"/>
      <c r="BAT52" s="556"/>
      <c r="BAU52" s="556"/>
      <c r="BAV52" s="556"/>
      <c r="BAW52" s="556"/>
      <c r="BAX52" s="556"/>
      <c r="BAY52" s="556"/>
      <c r="BAZ52" s="556"/>
      <c r="BBA52" s="556"/>
      <c r="BBB52" s="556"/>
      <c r="BBC52" s="556"/>
      <c r="BBD52" s="556"/>
      <c r="BBE52" s="556"/>
      <c r="BBF52" s="556"/>
      <c r="BBG52" s="556"/>
      <c r="BBH52" s="556"/>
      <c r="BBI52" s="556"/>
      <c r="BBJ52" s="556"/>
      <c r="BBK52" s="556"/>
      <c r="BBL52" s="556"/>
      <c r="BBM52" s="556"/>
      <c r="BBN52" s="556"/>
      <c r="BBO52" s="556"/>
      <c r="BBP52" s="556"/>
      <c r="BBQ52" s="556"/>
      <c r="BBR52" s="556"/>
      <c r="BBS52" s="556"/>
      <c r="BBT52" s="556"/>
      <c r="BBU52" s="556"/>
      <c r="BBV52" s="556"/>
      <c r="BBW52" s="556"/>
      <c r="BBX52" s="556"/>
      <c r="BBY52" s="556"/>
      <c r="BBZ52" s="556"/>
      <c r="BCA52" s="556"/>
      <c r="BCB52" s="556"/>
      <c r="BCC52" s="556"/>
      <c r="BCD52" s="556"/>
      <c r="BCE52" s="556"/>
      <c r="BCF52" s="556"/>
      <c r="BCG52" s="556"/>
      <c r="BCH52" s="556"/>
      <c r="BCI52" s="556"/>
      <c r="BCJ52" s="556"/>
      <c r="BCK52" s="556"/>
      <c r="BCL52" s="556"/>
      <c r="BCM52" s="556"/>
      <c r="BCN52" s="556"/>
      <c r="BCO52" s="556"/>
      <c r="BCP52" s="556"/>
      <c r="BCQ52" s="556"/>
      <c r="BCR52" s="556"/>
      <c r="BCS52" s="556"/>
      <c r="BCT52" s="556"/>
      <c r="BCU52" s="556"/>
      <c r="BCV52" s="556"/>
      <c r="BCW52" s="556"/>
      <c r="BCX52" s="556"/>
      <c r="BCY52" s="556"/>
      <c r="BCZ52" s="556"/>
      <c r="BDA52" s="556"/>
      <c r="BDB52" s="556"/>
      <c r="BDC52" s="556"/>
      <c r="BDD52" s="556"/>
      <c r="BDE52" s="556"/>
      <c r="BDF52" s="556"/>
      <c r="BDG52" s="556"/>
      <c r="BDH52" s="556"/>
      <c r="BDI52" s="556"/>
      <c r="BDJ52" s="556"/>
      <c r="BDK52" s="556"/>
      <c r="BDL52" s="556"/>
      <c r="BDM52" s="556"/>
      <c r="BDN52" s="556"/>
      <c r="BDO52" s="556"/>
      <c r="BDP52" s="556"/>
      <c r="BDQ52" s="556"/>
      <c r="BDR52" s="556"/>
      <c r="BDS52" s="556"/>
      <c r="BDT52" s="556"/>
      <c r="BDU52" s="556"/>
      <c r="BDV52" s="556"/>
      <c r="BDW52" s="556"/>
      <c r="BDX52" s="556"/>
      <c r="BDY52" s="556"/>
      <c r="BDZ52" s="556"/>
      <c r="BEA52" s="556"/>
      <c r="BEB52" s="556"/>
      <c r="BEC52" s="556"/>
      <c r="BED52" s="556"/>
      <c r="BEE52" s="556"/>
      <c r="BEF52" s="556"/>
      <c r="BEG52" s="556"/>
      <c r="BEH52" s="556"/>
      <c r="BEI52" s="556"/>
      <c r="BEJ52" s="556"/>
      <c r="BEK52" s="556"/>
      <c r="BEL52" s="556"/>
      <c r="BEM52" s="556"/>
      <c r="BEN52" s="556"/>
      <c r="BEO52" s="556"/>
      <c r="BEP52" s="556"/>
      <c r="BEQ52" s="556"/>
      <c r="BER52" s="556"/>
      <c r="BES52" s="556"/>
      <c r="BET52" s="556"/>
      <c r="BEU52" s="556"/>
      <c r="BEV52" s="556"/>
      <c r="BEW52" s="556"/>
      <c r="BEX52" s="556"/>
      <c r="BEY52" s="556"/>
      <c r="BEZ52" s="556"/>
      <c r="BFA52" s="556"/>
      <c r="BFB52" s="556"/>
      <c r="BFC52" s="556"/>
      <c r="BFD52" s="556"/>
      <c r="BFE52" s="556"/>
      <c r="BFF52" s="556"/>
      <c r="BFG52" s="556"/>
      <c r="BFH52" s="556"/>
      <c r="BFI52" s="556"/>
      <c r="BFJ52" s="556"/>
      <c r="BFK52" s="556"/>
      <c r="BFL52" s="556"/>
      <c r="BFM52" s="556"/>
      <c r="BFN52" s="556"/>
      <c r="BFO52" s="556"/>
      <c r="BFP52" s="556"/>
      <c r="BFQ52" s="556"/>
      <c r="BFR52" s="556"/>
      <c r="BFS52" s="556"/>
      <c r="BFT52" s="556"/>
      <c r="BFU52" s="556"/>
      <c r="BFV52" s="556"/>
      <c r="BFW52" s="556"/>
      <c r="BFX52" s="556"/>
      <c r="BFY52" s="556"/>
      <c r="BFZ52" s="556"/>
      <c r="BGA52" s="556"/>
      <c r="BGB52" s="556"/>
      <c r="BGC52" s="556"/>
      <c r="BGD52" s="556"/>
      <c r="BGE52" s="556"/>
      <c r="BGF52" s="556"/>
      <c r="BGG52" s="556"/>
      <c r="BGH52" s="556"/>
      <c r="BGI52" s="556"/>
      <c r="BGJ52" s="556"/>
      <c r="BGK52" s="556"/>
      <c r="BGL52" s="556"/>
      <c r="BGM52" s="556"/>
      <c r="BGN52" s="556"/>
      <c r="BGO52" s="556"/>
      <c r="BGP52" s="556"/>
      <c r="BGQ52" s="556"/>
      <c r="BGR52" s="556"/>
      <c r="BGS52" s="556"/>
      <c r="BGT52" s="556"/>
      <c r="BGU52" s="556"/>
      <c r="BGV52" s="556"/>
      <c r="BGW52" s="556"/>
      <c r="BGX52" s="556"/>
      <c r="BGY52" s="556"/>
      <c r="BGZ52" s="556"/>
      <c r="BHA52" s="556"/>
      <c r="BHB52" s="556"/>
      <c r="BHC52" s="556"/>
      <c r="BHD52" s="556"/>
      <c r="BHE52" s="556"/>
      <c r="BHF52" s="556"/>
      <c r="BHG52" s="556"/>
      <c r="BHH52" s="556"/>
      <c r="BHI52" s="556"/>
      <c r="BHJ52" s="556"/>
      <c r="BHK52" s="556"/>
      <c r="BHL52" s="556"/>
      <c r="BHM52" s="556"/>
      <c r="BHN52" s="556"/>
      <c r="BHO52" s="556"/>
      <c r="BHP52" s="556"/>
      <c r="BHQ52" s="556"/>
      <c r="BHR52" s="556"/>
      <c r="BHS52" s="556"/>
      <c r="BHT52" s="556"/>
      <c r="BHU52" s="556"/>
      <c r="BHV52" s="556"/>
      <c r="BHW52" s="556"/>
      <c r="BHX52" s="556"/>
      <c r="BHY52" s="556"/>
      <c r="BHZ52" s="556"/>
      <c r="BIA52" s="556"/>
      <c r="BIB52" s="556"/>
      <c r="BIC52" s="556"/>
      <c r="BID52" s="556"/>
      <c r="BIE52" s="556"/>
      <c r="BIF52" s="556"/>
      <c r="BIG52" s="556"/>
      <c r="BIH52" s="556"/>
      <c r="BII52" s="556"/>
      <c r="BIJ52" s="556"/>
      <c r="BIK52" s="556"/>
      <c r="BIL52" s="556"/>
      <c r="BIM52" s="556"/>
      <c r="BIN52" s="556"/>
      <c r="BIO52" s="556"/>
      <c r="BIP52" s="556"/>
      <c r="BIQ52" s="556"/>
      <c r="BIR52" s="556"/>
      <c r="BIS52" s="556"/>
      <c r="BIT52" s="556"/>
      <c r="BIU52" s="556"/>
      <c r="BIV52" s="556"/>
      <c r="BIW52" s="556"/>
      <c r="BIX52" s="556"/>
      <c r="BIY52" s="556"/>
      <c r="BIZ52" s="556"/>
      <c r="BJA52" s="556"/>
      <c r="BJB52" s="556"/>
      <c r="BJC52" s="556"/>
      <c r="BJD52" s="556"/>
      <c r="BJE52" s="556"/>
      <c r="BJF52" s="556"/>
      <c r="BJG52" s="556"/>
      <c r="BJH52" s="556"/>
      <c r="BJI52" s="556"/>
      <c r="BJJ52" s="556"/>
      <c r="BJK52" s="556"/>
      <c r="BJL52" s="556"/>
      <c r="BJM52" s="556"/>
      <c r="BJN52" s="556"/>
      <c r="BJO52" s="556"/>
      <c r="BJP52" s="556"/>
      <c r="BJQ52" s="556"/>
      <c r="BJR52" s="556"/>
      <c r="BJS52" s="556"/>
      <c r="BJT52" s="556"/>
      <c r="BJU52" s="556"/>
      <c r="BJV52" s="556"/>
      <c r="BJW52" s="556"/>
      <c r="BJX52" s="556"/>
      <c r="BJY52" s="556"/>
      <c r="BJZ52" s="556"/>
      <c r="BKA52" s="556"/>
      <c r="BKB52" s="556"/>
      <c r="BKC52" s="556"/>
      <c r="BKD52" s="556"/>
      <c r="BKE52" s="556"/>
      <c r="BKF52" s="556"/>
      <c r="BKG52" s="556"/>
      <c r="BKH52" s="556"/>
      <c r="BKI52" s="556"/>
      <c r="BKJ52" s="556"/>
      <c r="BKK52" s="556"/>
      <c r="BKL52" s="556"/>
      <c r="BKM52" s="556"/>
      <c r="BKN52" s="556"/>
      <c r="BKO52" s="556"/>
      <c r="BKP52" s="556"/>
      <c r="BKQ52" s="556"/>
      <c r="BKR52" s="556"/>
      <c r="BKS52" s="556"/>
      <c r="BKT52" s="556"/>
      <c r="BKU52" s="556"/>
      <c r="BKV52" s="556"/>
      <c r="BKW52" s="556"/>
      <c r="BKX52" s="556"/>
      <c r="BKY52" s="556"/>
      <c r="BKZ52" s="556"/>
      <c r="BLA52" s="556"/>
      <c r="BLB52" s="556"/>
      <c r="BLC52" s="556"/>
      <c r="BLD52" s="556"/>
      <c r="BLE52" s="556"/>
      <c r="BLF52" s="556"/>
      <c r="BLG52" s="556"/>
      <c r="BLH52" s="556"/>
      <c r="BLI52" s="556"/>
      <c r="BLJ52" s="556"/>
      <c r="BLK52" s="556"/>
      <c r="BLL52" s="556"/>
      <c r="BLM52" s="556"/>
      <c r="BLN52" s="556"/>
      <c r="BLO52" s="556"/>
      <c r="BLP52" s="556"/>
      <c r="BLQ52" s="556"/>
      <c r="BLR52" s="556"/>
      <c r="BLS52" s="556"/>
      <c r="BLT52" s="556"/>
      <c r="BLU52" s="556"/>
      <c r="BLV52" s="556"/>
      <c r="BLW52" s="556"/>
      <c r="BLX52" s="556"/>
      <c r="BLY52" s="556"/>
      <c r="BLZ52" s="556"/>
      <c r="BMA52" s="556"/>
      <c r="BMB52" s="556"/>
      <c r="BMC52" s="556"/>
      <c r="BMD52" s="556"/>
      <c r="BME52" s="556"/>
      <c r="BMF52" s="556"/>
      <c r="BMG52" s="556"/>
      <c r="BMH52" s="556"/>
      <c r="BMI52" s="556"/>
      <c r="BMJ52" s="556"/>
      <c r="BMK52" s="556"/>
      <c r="BML52" s="556"/>
      <c r="BMM52" s="556"/>
      <c r="BMN52" s="556"/>
      <c r="BMO52" s="556"/>
      <c r="BMP52" s="556"/>
      <c r="BMQ52" s="556"/>
      <c r="BMR52" s="556"/>
      <c r="BMS52" s="556"/>
      <c r="BMT52" s="556"/>
      <c r="BMU52" s="556"/>
      <c r="BMV52" s="556"/>
      <c r="BMW52" s="556"/>
      <c r="BMX52" s="556"/>
      <c r="BMY52" s="556"/>
      <c r="BMZ52" s="556"/>
      <c r="BNA52" s="556"/>
      <c r="BNB52" s="556"/>
      <c r="BNC52" s="556"/>
      <c r="BND52" s="556"/>
      <c r="BNE52" s="556"/>
      <c r="BNF52" s="556"/>
      <c r="BNG52" s="556"/>
      <c r="BNH52" s="556"/>
      <c r="BNI52" s="556"/>
      <c r="BNJ52" s="556"/>
      <c r="BNK52" s="556"/>
      <c r="BNL52" s="556"/>
      <c r="BNM52" s="556"/>
      <c r="BNN52" s="556"/>
      <c r="BNO52" s="556"/>
      <c r="BNP52" s="556"/>
      <c r="BNQ52" s="556"/>
      <c r="BNR52" s="556"/>
      <c r="BNS52" s="556"/>
      <c r="BNT52" s="556"/>
      <c r="BNU52" s="556"/>
      <c r="BNV52" s="556"/>
      <c r="BNW52" s="556"/>
      <c r="BNX52" s="556"/>
      <c r="BNY52" s="556"/>
      <c r="BNZ52" s="556"/>
      <c r="BOA52" s="556"/>
      <c r="BOB52" s="556"/>
      <c r="BOC52" s="556"/>
      <c r="BOD52" s="556"/>
      <c r="BOE52" s="556"/>
      <c r="BOF52" s="556"/>
      <c r="BOG52" s="556"/>
      <c r="BOH52" s="556"/>
      <c r="BOI52" s="556"/>
      <c r="BOJ52" s="556"/>
      <c r="BOK52" s="556"/>
      <c r="BOL52" s="556"/>
      <c r="BOM52" s="556"/>
      <c r="BON52" s="556"/>
      <c r="BOO52" s="556"/>
      <c r="BOP52" s="556"/>
      <c r="BOQ52" s="556"/>
      <c r="BOR52" s="556"/>
      <c r="BOS52" s="556"/>
      <c r="BOT52" s="556"/>
      <c r="BOU52" s="556"/>
      <c r="BOV52" s="556"/>
      <c r="BOW52" s="556"/>
      <c r="BOX52" s="556"/>
      <c r="BOY52" s="556"/>
      <c r="BOZ52" s="556"/>
      <c r="BPA52" s="556"/>
      <c r="BPB52" s="556"/>
      <c r="BPC52" s="556"/>
      <c r="BPD52" s="556"/>
      <c r="BPE52" s="556"/>
      <c r="BPF52" s="556"/>
      <c r="BPG52" s="556"/>
      <c r="BPH52" s="556"/>
      <c r="BPI52" s="556"/>
      <c r="BPJ52" s="556"/>
      <c r="BPK52" s="556"/>
      <c r="BPL52" s="556"/>
      <c r="BPM52" s="556"/>
      <c r="BPN52" s="556"/>
      <c r="BPO52" s="556"/>
      <c r="BPP52" s="556"/>
      <c r="BPQ52" s="556"/>
      <c r="BPR52" s="556"/>
      <c r="BPS52" s="556"/>
      <c r="BPT52" s="556"/>
      <c r="BPU52" s="556"/>
      <c r="BPV52" s="556"/>
      <c r="BPW52" s="556"/>
      <c r="BPX52" s="556"/>
      <c r="BPY52" s="556"/>
      <c r="BPZ52" s="556"/>
      <c r="BQA52" s="556"/>
      <c r="BQB52" s="556"/>
      <c r="BQC52" s="556"/>
      <c r="BQD52" s="556"/>
      <c r="BQE52" s="556"/>
      <c r="BQF52" s="556"/>
      <c r="BQG52" s="556"/>
      <c r="BQH52" s="556"/>
      <c r="BQI52" s="556"/>
      <c r="BQJ52" s="556"/>
      <c r="BQK52" s="556"/>
      <c r="BQL52" s="556"/>
      <c r="BQM52" s="556"/>
      <c r="BQN52" s="556"/>
      <c r="BQO52" s="556"/>
      <c r="BQP52" s="556"/>
      <c r="BQQ52" s="556"/>
      <c r="BQR52" s="556"/>
      <c r="BQS52" s="556"/>
      <c r="BQT52" s="556"/>
      <c r="BQU52" s="556"/>
      <c r="BQV52" s="556"/>
      <c r="BQW52" s="556"/>
      <c r="BQX52" s="556"/>
      <c r="BQY52" s="556"/>
      <c r="BQZ52" s="556"/>
      <c r="BRA52" s="556"/>
      <c r="BRB52" s="556"/>
      <c r="BRC52" s="556"/>
      <c r="BRD52" s="556"/>
      <c r="BRE52" s="556"/>
      <c r="BRF52" s="556"/>
      <c r="BRG52" s="556"/>
      <c r="BRH52" s="556"/>
      <c r="BRI52" s="556"/>
      <c r="BRJ52" s="556"/>
      <c r="BRK52" s="556"/>
      <c r="BRL52" s="556"/>
      <c r="BRM52" s="556"/>
      <c r="BRN52" s="556"/>
      <c r="BRO52" s="556"/>
      <c r="BRP52" s="556"/>
      <c r="BRQ52" s="556"/>
      <c r="BRR52" s="556"/>
      <c r="BRS52" s="556"/>
      <c r="BRT52" s="556"/>
      <c r="BRU52" s="556"/>
      <c r="BRV52" s="556"/>
      <c r="BRW52" s="556"/>
      <c r="BRX52" s="556"/>
      <c r="BRY52" s="556"/>
      <c r="BRZ52" s="556"/>
      <c r="BSA52" s="556"/>
      <c r="BSB52" s="556"/>
      <c r="BSC52" s="556"/>
      <c r="BSD52" s="556"/>
      <c r="BSE52" s="556"/>
      <c r="BSF52" s="556"/>
      <c r="BSG52" s="556"/>
      <c r="BSH52" s="556"/>
      <c r="BSI52" s="556"/>
      <c r="BSJ52" s="556"/>
      <c r="BSK52" s="556"/>
      <c r="BSL52" s="556"/>
      <c r="BSM52" s="556"/>
      <c r="BSN52" s="556"/>
      <c r="BSO52" s="556"/>
      <c r="BSP52" s="556"/>
      <c r="BSQ52" s="556"/>
      <c r="BSR52" s="556"/>
      <c r="BSS52" s="556"/>
      <c r="BST52" s="556"/>
      <c r="BSU52" s="556"/>
      <c r="BSV52" s="556"/>
      <c r="BSW52" s="556"/>
      <c r="BSX52" s="556"/>
      <c r="BSY52" s="556"/>
      <c r="BSZ52" s="556"/>
      <c r="BTA52" s="556"/>
      <c r="BTB52" s="556"/>
      <c r="BTC52" s="556"/>
      <c r="BTD52" s="556"/>
      <c r="BTE52" s="556"/>
      <c r="BTF52" s="556"/>
      <c r="BTG52" s="556"/>
      <c r="BTH52" s="556"/>
      <c r="BTI52" s="556"/>
      <c r="BTJ52" s="556"/>
      <c r="BTK52" s="556"/>
      <c r="BTL52" s="556"/>
      <c r="BTM52" s="556"/>
      <c r="BTN52" s="556"/>
      <c r="BTO52" s="556"/>
      <c r="BTP52" s="556"/>
      <c r="BTQ52" s="556"/>
      <c r="BTR52" s="556"/>
      <c r="BTS52" s="556"/>
      <c r="BTT52" s="556"/>
      <c r="BTU52" s="556"/>
      <c r="BTV52" s="556"/>
      <c r="BTW52" s="556"/>
      <c r="BTX52" s="556"/>
      <c r="BTY52" s="556"/>
      <c r="BTZ52" s="556"/>
      <c r="BUA52" s="556"/>
      <c r="BUB52" s="556"/>
      <c r="BUC52" s="556"/>
      <c r="BUD52" s="556"/>
      <c r="BUE52" s="556"/>
      <c r="BUF52" s="556"/>
      <c r="BUG52" s="556"/>
      <c r="BUH52" s="556"/>
      <c r="BUI52" s="556"/>
      <c r="BUJ52" s="556"/>
      <c r="BUK52" s="556"/>
      <c r="BUL52" s="556"/>
      <c r="BUM52" s="556"/>
      <c r="BUN52" s="556"/>
      <c r="BUO52" s="556"/>
      <c r="BUP52" s="556"/>
      <c r="BUQ52" s="556"/>
      <c r="BUR52" s="556"/>
      <c r="BUS52" s="556"/>
      <c r="BUT52" s="556"/>
      <c r="BUU52" s="556"/>
      <c r="BUV52" s="556"/>
      <c r="BUW52" s="556"/>
      <c r="BUX52" s="556"/>
      <c r="BUY52" s="556"/>
      <c r="BUZ52" s="556"/>
      <c r="BVA52" s="556"/>
      <c r="BVB52" s="556"/>
      <c r="BVC52" s="556"/>
      <c r="BVD52" s="556"/>
      <c r="BVE52" s="556"/>
      <c r="BVF52" s="556"/>
      <c r="BVG52" s="556"/>
      <c r="BVH52" s="556"/>
      <c r="BVI52" s="556"/>
      <c r="BVJ52" s="556"/>
      <c r="BVK52" s="556"/>
      <c r="BVL52" s="556"/>
      <c r="BVM52" s="556"/>
      <c r="BVN52" s="556"/>
      <c r="BVO52" s="556"/>
      <c r="BVP52" s="556"/>
      <c r="BVQ52" s="556"/>
      <c r="BVR52" s="556"/>
      <c r="BVS52" s="556"/>
      <c r="BVT52" s="556"/>
      <c r="BVU52" s="556"/>
      <c r="BVV52" s="556"/>
      <c r="BVW52" s="556"/>
      <c r="BVX52" s="556"/>
      <c r="BVY52" s="556"/>
      <c r="BVZ52" s="556"/>
      <c r="BWA52" s="556"/>
      <c r="BWB52" s="556"/>
      <c r="BWC52" s="556"/>
      <c r="BWD52" s="556"/>
      <c r="BWE52" s="556"/>
      <c r="BWF52" s="556"/>
      <c r="BWG52" s="556"/>
      <c r="BWH52" s="556"/>
      <c r="BWI52" s="556"/>
      <c r="BWJ52" s="556"/>
      <c r="BWK52" s="556"/>
      <c r="BWL52" s="556"/>
      <c r="BWM52" s="556"/>
      <c r="BWN52" s="556"/>
      <c r="BWO52" s="556"/>
      <c r="BWP52" s="556"/>
      <c r="BWQ52" s="556"/>
      <c r="BWR52" s="556"/>
      <c r="BWS52" s="556"/>
      <c r="BWT52" s="556"/>
      <c r="BWU52" s="556"/>
      <c r="BWV52" s="556"/>
      <c r="BWW52" s="556"/>
      <c r="BWX52" s="556"/>
      <c r="BWY52" s="556"/>
      <c r="BWZ52" s="556"/>
      <c r="BXA52" s="556"/>
      <c r="BXB52" s="556"/>
      <c r="BXC52" s="556"/>
      <c r="BXD52" s="556"/>
      <c r="BXE52" s="556"/>
      <c r="BXF52" s="556"/>
      <c r="BXG52" s="556"/>
      <c r="BXH52" s="556"/>
      <c r="BXI52" s="556"/>
      <c r="BXJ52" s="556"/>
      <c r="BXK52" s="556"/>
      <c r="BXL52" s="556"/>
      <c r="BXM52" s="556"/>
      <c r="BXN52" s="556"/>
      <c r="BXO52" s="556"/>
      <c r="BXP52" s="556"/>
      <c r="BXQ52" s="556"/>
      <c r="BXR52" s="556"/>
      <c r="BXS52" s="556"/>
      <c r="BXT52" s="556"/>
      <c r="BXU52" s="556"/>
      <c r="BXV52" s="556"/>
      <c r="BXW52" s="556"/>
      <c r="BXX52" s="556"/>
      <c r="BXY52" s="556"/>
      <c r="BXZ52" s="556"/>
      <c r="BYA52" s="556"/>
      <c r="BYB52" s="556"/>
      <c r="BYC52" s="556"/>
      <c r="BYD52" s="556"/>
      <c r="BYE52" s="556"/>
      <c r="BYF52" s="556"/>
      <c r="BYG52" s="556"/>
      <c r="BYH52" s="556"/>
      <c r="BYI52" s="556"/>
      <c r="BYJ52" s="556"/>
      <c r="BYK52" s="556"/>
      <c r="BYL52" s="556"/>
      <c r="BYM52" s="556"/>
      <c r="BYN52" s="556"/>
      <c r="BYO52" s="556"/>
      <c r="BYP52" s="556"/>
      <c r="BYQ52" s="556"/>
      <c r="BYR52" s="556"/>
      <c r="BYS52" s="556"/>
      <c r="BYT52" s="556"/>
      <c r="BYU52" s="556"/>
      <c r="BYV52" s="556"/>
      <c r="BYW52" s="556"/>
      <c r="BYX52" s="556"/>
      <c r="BYY52" s="556"/>
      <c r="BYZ52" s="556"/>
      <c r="BZA52" s="556"/>
      <c r="BZB52" s="556"/>
      <c r="BZC52" s="556"/>
      <c r="BZD52" s="556"/>
      <c r="BZE52" s="556"/>
      <c r="BZF52" s="556"/>
      <c r="BZG52" s="556"/>
      <c r="BZH52" s="556"/>
      <c r="BZI52" s="556"/>
      <c r="BZJ52" s="556"/>
      <c r="BZK52" s="556"/>
      <c r="BZL52" s="556"/>
      <c r="BZM52" s="556"/>
      <c r="BZN52" s="556"/>
      <c r="BZO52" s="556"/>
      <c r="BZP52" s="556"/>
      <c r="BZQ52" s="556"/>
      <c r="BZR52" s="556"/>
      <c r="BZS52" s="556"/>
      <c r="BZT52" s="556"/>
      <c r="BZU52" s="556"/>
      <c r="BZV52" s="556"/>
      <c r="BZW52" s="556"/>
      <c r="BZX52" s="556"/>
      <c r="BZY52" s="556"/>
      <c r="BZZ52" s="556"/>
      <c r="CAA52" s="556"/>
      <c r="CAB52" s="556"/>
      <c r="CAC52" s="556"/>
      <c r="CAD52" s="556"/>
      <c r="CAE52" s="556"/>
      <c r="CAF52" s="556"/>
      <c r="CAG52" s="556"/>
      <c r="CAH52" s="556"/>
      <c r="CAI52" s="556"/>
      <c r="CAJ52" s="556"/>
      <c r="CAK52" s="556"/>
      <c r="CAL52" s="556"/>
      <c r="CAM52" s="556"/>
      <c r="CAN52" s="556"/>
      <c r="CAO52" s="556"/>
      <c r="CAP52" s="556"/>
      <c r="CAQ52" s="556"/>
      <c r="CAR52" s="556"/>
      <c r="CAS52" s="556"/>
      <c r="CAT52" s="556"/>
      <c r="CAU52" s="556"/>
      <c r="CAV52" s="556"/>
      <c r="CAW52" s="556"/>
      <c r="CAX52" s="556"/>
      <c r="CAY52" s="556"/>
      <c r="CAZ52" s="556"/>
      <c r="CBA52" s="556"/>
      <c r="CBB52" s="556"/>
      <c r="CBC52" s="556"/>
      <c r="CBD52" s="556"/>
      <c r="CBE52" s="556"/>
      <c r="CBF52" s="556"/>
      <c r="CBG52" s="556"/>
      <c r="CBH52" s="556"/>
      <c r="CBI52" s="556"/>
      <c r="CBJ52" s="556"/>
      <c r="CBK52" s="556"/>
      <c r="CBL52" s="556"/>
      <c r="CBM52" s="556"/>
      <c r="CBN52" s="556"/>
      <c r="CBO52" s="556"/>
      <c r="CBP52" s="556"/>
      <c r="CBQ52" s="556"/>
      <c r="CBR52" s="556"/>
      <c r="CBS52" s="556"/>
      <c r="CBT52" s="556"/>
      <c r="CBU52" s="556"/>
      <c r="CBV52" s="556"/>
      <c r="CBW52" s="556"/>
      <c r="CBX52" s="556"/>
      <c r="CBY52" s="556"/>
      <c r="CBZ52" s="556"/>
      <c r="CCA52" s="556"/>
      <c r="CCB52" s="556"/>
      <c r="CCC52" s="556"/>
      <c r="CCD52" s="556"/>
      <c r="CCE52" s="556"/>
      <c r="CCF52" s="556"/>
      <c r="CCG52" s="556"/>
      <c r="CCH52" s="556"/>
      <c r="CCI52" s="556"/>
      <c r="CCJ52" s="556"/>
      <c r="CCK52" s="556"/>
      <c r="CCL52" s="556"/>
      <c r="CCM52" s="556"/>
      <c r="CCN52" s="556"/>
      <c r="CCO52" s="556"/>
      <c r="CCP52" s="556"/>
      <c r="CCQ52" s="556"/>
      <c r="CCR52" s="556"/>
      <c r="CCS52" s="556"/>
      <c r="CCT52" s="556"/>
      <c r="CCU52" s="556"/>
      <c r="CCV52" s="556"/>
      <c r="CCW52" s="556"/>
      <c r="CCX52" s="556"/>
      <c r="CCY52" s="556"/>
      <c r="CCZ52" s="556"/>
      <c r="CDA52" s="556"/>
      <c r="CDB52" s="556"/>
      <c r="CDC52" s="556"/>
      <c r="CDD52" s="556"/>
      <c r="CDE52" s="556"/>
      <c r="CDF52" s="556"/>
      <c r="CDG52" s="556"/>
      <c r="CDH52" s="556"/>
      <c r="CDI52" s="556"/>
      <c r="CDJ52" s="556"/>
      <c r="CDK52" s="556"/>
      <c r="CDL52" s="556"/>
      <c r="CDM52" s="556"/>
      <c r="CDN52" s="556"/>
      <c r="CDO52" s="556"/>
      <c r="CDP52" s="556"/>
      <c r="CDQ52" s="556"/>
      <c r="CDR52" s="556"/>
      <c r="CDS52" s="556"/>
      <c r="CDT52" s="556"/>
      <c r="CDU52" s="556"/>
      <c r="CDV52" s="556"/>
      <c r="CDW52" s="556"/>
      <c r="CDX52" s="556"/>
      <c r="CDY52" s="556"/>
      <c r="CDZ52" s="556"/>
      <c r="CEA52" s="556"/>
      <c r="CEB52" s="556"/>
      <c r="CEC52" s="556"/>
      <c r="CED52" s="556"/>
      <c r="CEE52" s="556"/>
      <c r="CEF52" s="556"/>
      <c r="CEG52" s="556"/>
      <c r="CEH52" s="556"/>
      <c r="CEI52" s="556"/>
      <c r="CEJ52" s="556"/>
      <c r="CEK52" s="556"/>
      <c r="CEL52" s="556"/>
      <c r="CEM52" s="556"/>
      <c r="CEN52" s="556"/>
      <c r="CEO52" s="556"/>
      <c r="CEP52" s="556"/>
      <c r="CEQ52" s="556"/>
      <c r="CER52" s="556"/>
      <c r="CES52" s="556"/>
      <c r="CET52" s="556"/>
      <c r="CEU52" s="556"/>
      <c r="CEV52" s="556"/>
      <c r="CEW52" s="556"/>
      <c r="CEX52" s="556"/>
      <c r="CEY52" s="556"/>
      <c r="CEZ52" s="556"/>
      <c r="CFA52" s="556"/>
      <c r="CFB52" s="556"/>
      <c r="CFC52" s="556"/>
      <c r="CFD52" s="556"/>
      <c r="CFE52" s="556"/>
      <c r="CFF52" s="556"/>
      <c r="CFG52" s="556"/>
      <c r="CFH52" s="556"/>
      <c r="CFI52" s="556"/>
      <c r="CFJ52" s="556"/>
      <c r="CFK52" s="556"/>
      <c r="CFL52" s="556"/>
      <c r="CFM52" s="556"/>
      <c r="CFN52" s="556"/>
      <c r="CFO52" s="556"/>
      <c r="CFP52" s="556"/>
      <c r="CFQ52" s="556"/>
      <c r="CFR52" s="556"/>
      <c r="CFS52" s="556"/>
      <c r="CFT52" s="556"/>
      <c r="CFU52" s="556"/>
      <c r="CFV52" s="556"/>
      <c r="CFW52" s="556"/>
      <c r="CFX52" s="556"/>
      <c r="CFY52" s="556"/>
      <c r="CFZ52" s="556"/>
      <c r="CGA52" s="556"/>
      <c r="CGB52" s="556"/>
      <c r="CGC52" s="556"/>
      <c r="CGD52" s="556"/>
      <c r="CGE52" s="556"/>
      <c r="CGF52" s="556"/>
      <c r="CGG52" s="556"/>
      <c r="CGH52" s="556"/>
      <c r="CGI52" s="556"/>
      <c r="CGJ52" s="556"/>
      <c r="CGK52" s="556"/>
      <c r="CGL52" s="556"/>
      <c r="CGM52" s="556"/>
      <c r="CGN52" s="556"/>
      <c r="CGO52" s="556"/>
      <c r="CGP52" s="556"/>
      <c r="CGQ52" s="556"/>
      <c r="CGR52" s="556"/>
      <c r="CGS52" s="556"/>
      <c r="CGT52" s="556"/>
      <c r="CGU52" s="556"/>
      <c r="CGV52" s="556"/>
      <c r="CGW52" s="556"/>
      <c r="CGX52" s="556"/>
      <c r="CGY52" s="556"/>
      <c r="CGZ52" s="556"/>
      <c r="CHA52" s="556"/>
      <c r="CHB52" s="556"/>
      <c r="CHC52" s="556"/>
      <c r="CHD52" s="556"/>
      <c r="CHE52" s="556"/>
      <c r="CHF52" s="556"/>
      <c r="CHG52" s="556"/>
      <c r="CHH52" s="556"/>
      <c r="CHI52" s="556"/>
      <c r="CHJ52" s="556"/>
      <c r="CHK52" s="556"/>
      <c r="CHL52" s="556"/>
      <c r="CHM52" s="556"/>
      <c r="CHN52" s="556"/>
      <c r="CHO52" s="556"/>
      <c r="CHP52" s="556"/>
      <c r="CHQ52" s="556"/>
      <c r="CHR52" s="556"/>
      <c r="CHS52" s="556"/>
      <c r="CHT52" s="556"/>
      <c r="CHU52" s="556"/>
      <c r="CHV52" s="556"/>
      <c r="CHW52" s="556"/>
      <c r="CHX52" s="556"/>
      <c r="CHY52" s="556"/>
      <c r="CHZ52" s="556"/>
      <c r="CIA52" s="556"/>
      <c r="CIB52" s="556"/>
      <c r="CIC52" s="556"/>
      <c r="CID52" s="556"/>
      <c r="CIE52" s="556"/>
      <c r="CIF52" s="556"/>
      <c r="CIG52" s="556"/>
      <c r="CIH52" s="556"/>
      <c r="CII52" s="556"/>
      <c r="CIJ52" s="556"/>
      <c r="CIK52" s="556"/>
      <c r="CIL52" s="556"/>
      <c r="CIM52" s="556"/>
      <c r="CIN52" s="556"/>
      <c r="CIO52" s="556"/>
      <c r="CIP52" s="556"/>
      <c r="CIQ52" s="556"/>
      <c r="CIR52" s="556"/>
      <c r="CIS52" s="556"/>
      <c r="CIT52" s="556"/>
      <c r="CIU52" s="556"/>
      <c r="CIV52" s="556"/>
      <c r="CIW52" s="556"/>
      <c r="CIX52" s="556"/>
      <c r="CIY52" s="556"/>
      <c r="CIZ52" s="556"/>
      <c r="CJA52" s="556"/>
      <c r="CJB52" s="556"/>
      <c r="CJC52" s="556"/>
      <c r="CJD52" s="556"/>
      <c r="CJE52" s="556"/>
      <c r="CJF52" s="556"/>
      <c r="CJG52" s="556"/>
      <c r="CJH52" s="556"/>
      <c r="CJI52" s="556"/>
      <c r="CJJ52" s="556"/>
      <c r="CJK52" s="556"/>
      <c r="CJL52" s="556"/>
      <c r="CJM52" s="556"/>
      <c r="CJN52" s="556"/>
      <c r="CJO52" s="556"/>
      <c r="CJP52" s="556"/>
      <c r="CJQ52" s="556"/>
      <c r="CJR52" s="556"/>
      <c r="CJS52" s="556"/>
      <c r="CJT52" s="556"/>
      <c r="CJU52" s="556"/>
      <c r="CJV52" s="556"/>
      <c r="CJW52" s="556"/>
      <c r="CJX52" s="556"/>
      <c r="CJY52" s="556"/>
      <c r="CJZ52" s="556"/>
      <c r="CKA52" s="556"/>
      <c r="CKB52" s="556"/>
      <c r="CKC52" s="556"/>
      <c r="CKD52" s="556"/>
      <c r="CKE52" s="556"/>
      <c r="CKF52" s="556"/>
      <c r="CKG52" s="556"/>
      <c r="CKH52" s="556"/>
      <c r="CKI52" s="556"/>
      <c r="CKJ52" s="556"/>
      <c r="CKK52" s="556"/>
      <c r="CKL52" s="556"/>
      <c r="CKM52" s="556"/>
      <c r="CKN52" s="556"/>
      <c r="CKO52" s="556"/>
      <c r="CKP52" s="556"/>
      <c r="CKQ52" s="556"/>
      <c r="CKR52" s="556"/>
      <c r="CKS52" s="556"/>
      <c r="CKT52" s="556"/>
      <c r="CKU52" s="556"/>
      <c r="CKV52" s="556"/>
      <c r="CKW52" s="556"/>
      <c r="CKX52" s="556"/>
      <c r="CKY52" s="556"/>
      <c r="CKZ52" s="556"/>
      <c r="CLA52" s="556"/>
      <c r="CLB52" s="556"/>
      <c r="CLC52" s="556"/>
      <c r="CLD52" s="556"/>
      <c r="CLE52" s="556"/>
      <c r="CLF52" s="556"/>
      <c r="CLG52" s="556"/>
      <c r="CLH52" s="556"/>
      <c r="CLI52" s="556"/>
      <c r="CLJ52" s="556"/>
      <c r="CLK52" s="556"/>
      <c r="CLL52" s="556"/>
      <c r="CLM52" s="556"/>
      <c r="CLN52" s="556"/>
      <c r="CLO52" s="556"/>
      <c r="CLP52" s="556"/>
      <c r="CLQ52" s="556"/>
      <c r="CLR52" s="556"/>
      <c r="CLS52" s="556"/>
      <c r="CLT52" s="556"/>
      <c r="CLU52" s="556"/>
      <c r="CLV52" s="556"/>
      <c r="CLW52" s="556"/>
      <c r="CLX52" s="556"/>
      <c r="CLY52" s="556"/>
      <c r="CLZ52" s="556"/>
      <c r="CMA52" s="556"/>
      <c r="CMB52" s="556"/>
      <c r="CMC52" s="556"/>
      <c r="CMD52" s="556"/>
      <c r="CME52" s="556"/>
      <c r="CMF52" s="556"/>
      <c r="CMG52" s="556"/>
      <c r="CMH52" s="556"/>
      <c r="CMI52" s="556"/>
      <c r="CMJ52" s="556"/>
      <c r="CMK52" s="556"/>
      <c r="CML52" s="556"/>
      <c r="CMM52" s="556"/>
      <c r="CMN52" s="556"/>
      <c r="CMO52" s="556"/>
      <c r="CMP52" s="556"/>
      <c r="CMQ52" s="556"/>
      <c r="CMR52" s="556"/>
      <c r="CMS52" s="556"/>
      <c r="CMT52" s="556"/>
      <c r="CMU52" s="556"/>
      <c r="CMV52" s="556"/>
      <c r="CMW52" s="556"/>
      <c r="CMX52" s="556"/>
      <c r="CMY52" s="556"/>
      <c r="CMZ52" s="556"/>
      <c r="CNA52" s="556"/>
      <c r="CNB52" s="556"/>
      <c r="CNC52" s="556"/>
      <c r="CND52" s="556"/>
      <c r="CNE52" s="556"/>
      <c r="CNF52" s="556"/>
      <c r="CNG52" s="556"/>
      <c r="CNH52" s="556"/>
      <c r="CNI52" s="556"/>
      <c r="CNJ52" s="556"/>
      <c r="CNK52" s="556"/>
      <c r="CNL52" s="556"/>
      <c r="CNM52" s="556"/>
      <c r="CNN52" s="556"/>
      <c r="CNO52" s="556"/>
      <c r="CNP52" s="556"/>
      <c r="CNQ52" s="556"/>
      <c r="CNR52" s="556"/>
      <c r="CNS52" s="556"/>
      <c r="CNT52" s="556"/>
      <c r="CNU52" s="556"/>
      <c r="CNV52" s="556"/>
      <c r="CNW52" s="556"/>
      <c r="CNX52" s="556"/>
      <c r="CNY52" s="556"/>
      <c r="CNZ52" s="556"/>
      <c r="COA52" s="556"/>
      <c r="COB52" s="556"/>
      <c r="COC52" s="556"/>
      <c r="COD52" s="556"/>
      <c r="COE52" s="556"/>
      <c r="COF52" s="556"/>
      <c r="COG52" s="556"/>
      <c r="COH52" s="556"/>
      <c r="COI52" s="556"/>
      <c r="COJ52" s="556"/>
      <c r="COK52" s="556"/>
      <c r="COL52" s="556"/>
      <c r="COM52" s="556"/>
      <c r="CON52" s="556"/>
      <c r="COO52" s="556"/>
      <c r="COP52" s="556"/>
      <c r="COQ52" s="556"/>
      <c r="COR52" s="556"/>
      <c r="COS52" s="556"/>
      <c r="COT52" s="556"/>
      <c r="COU52" s="556"/>
      <c r="COV52" s="556"/>
      <c r="COW52" s="556"/>
      <c r="COX52" s="556"/>
      <c r="COY52" s="556"/>
      <c r="COZ52" s="556"/>
      <c r="CPA52" s="556"/>
      <c r="CPB52" s="556"/>
      <c r="CPC52" s="556"/>
      <c r="CPD52" s="556"/>
      <c r="CPE52" s="556"/>
      <c r="CPF52" s="556"/>
      <c r="CPG52" s="556"/>
      <c r="CPH52" s="556"/>
      <c r="CPI52" s="556"/>
      <c r="CPJ52" s="556"/>
      <c r="CPK52" s="556"/>
      <c r="CPL52" s="556"/>
      <c r="CPM52" s="556"/>
      <c r="CPN52" s="556"/>
      <c r="CPO52" s="556"/>
      <c r="CPP52" s="556"/>
      <c r="CPQ52" s="556"/>
      <c r="CPR52" s="556"/>
      <c r="CPS52" s="556"/>
      <c r="CPT52" s="556"/>
      <c r="CPU52" s="556"/>
      <c r="CPV52" s="556"/>
      <c r="CPW52" s="556"/>
      <c r="CPX52" s="556"/>
      <c r="CPY52" s="556"/>
      <c r="CPZ52" s="556"/>
      <c r="CQA52" s="556"/>
      <c r="CQB52" s="556"/>
      <c r="CQC52" s="556"/>
      <c r="CQD52" s="556"/>
      <c r="CQE52" s="556"/>
      <c r="CQF52" s="556"/>
      <c r="CQG52" s="556"/>
      <c r="CQH52" s="556"/>
      <c r="CQI52" s="556"/>
      <c r="CQJ52" s="556"/>
      <c r="CQK52" s="556"/>
      <c r="CQL52" s="556"/>
      <c r="CQM52" s="556"/>
      <c r="CQN52" s="556"/>
      <c r="CQO52" s="556"/>
      <c r="CQP52" s="556"/>
      <c r="CQQ52" s="556"/>
      <c r="CQR52" s="556"/>
      <c r="CQS52" s="556"/>
      <c r="CQT52" s="556"/>
      <c r="CQU52" s="556"/>
      <c r="CQV52" s="556"/>
      <c r="CQW52" s="556"/>
      <c r="CQX52" s="556"/>
      <c r="CQY52" s="556"/>
      <c r="CQZ52" s="556"/>
      <c r="CRA52" s="556"/>
      <c r="CRB52" s="556"/>
      <c r="CRC52" s="556"/>
      <c r="CRD52" s="556"/>
      <c r="CRE52" s="556"/>
      <c r="CRF52" s="556"/>
      <c r="CRG52" s="556"/>
      <c r="CRH52" s="556"/>
      <c r="CRI52" s="556"/>
      <c r="CRJ52" s="556"/>
      <c r="CRK52" s="556"/>
      <c r="CRL52" s="556"/>
      <c r="CRM52" s="556"/>
      <c r="CRN52" s="556"/>
      <c r="CRO52" s="556"/>
      <c r="CRP52" s="556"/>
      <c r="CRQ52" s="556"/>
      <c r="CRR52" s="556"/>
      <c r="CRS52" s="556"/>
      <c r="CRT52" s="556"/>
      <c r="CRU52" s="556"/>
      <c r="CRV52" s="556"/>
      <c r="CRW52" s="556"/>
      <c r="CRX52" s="556"/>
      <c r="CRY52" s="556"/>
      <c r="CRZ52" s="556"/>
      <c r="CSA52" s="556"/>
      <c r="CSB52" s="556"/>
      <c r="CSC52" s="556"/>
      <c r="CSD52" s="556"/>
      <c r="CSE52" s="556"/>
      <c r="CSF52" s="556"/>
      <c r="CSG52" s="556"/>
      <c r="CSH52" s="556"/>
      <c r="CSI52" s="556"/>
      <c r="CSJ52" s="556"/>
      <c r="CSK52" s="556"/>
      <c r="CSL52" s="556"/>
      <c r="CSM52" s="556"/>
      <c r="CSN52" s="556"/>
      <c r="CSO52" s="556"/>
      <c r="CSP52" s="556"/>
      <c r="CSQ52" s="556"/>
      <c r="CSR52" s="556"/>
      <c r="CSS52" s="556"/>
      <c r="CST52" s="556"/>
      <c r="CSU52" s="556"/>
      <c r="CSV52" s="556"/>
      <c r="CSW52" s="556"/>
      <c r="CSX52" s="556"/>
      <c r="CSY52" s="556"/>
      <c r="CSZ52" s="556"/>
      <c r="CTA52" s="556"/>
      <c r="CTB52" s="556"/>
      <c r="CTC52" s="556"/>
      <c r="CTD52" s="556"/>
      <c r="CTE52" s="556"/>
      <c r="CTF52" s="556"/>
      <c r="CTG52" s="556"/>
      <c r="CTH52" s="556"/>
      <c r="CTI52" s="556"/>
      <c r="CTJ52" s="556"/>
      <c r="CTK52" s="556"/>
      <c r="CTL52" s="556"/>
      <c r="CTM52" s="556"/>
      <c r="CTN52" s="556"/>
      <c r="CTO52" s="556"/>
      <c r="CTP52" s="556"/>
      <c r="CTQ52" s="556"/>
      <c r="CTR52" s="556"/>
      <c r="CTS52" s="556"/>
      <c r="CTT52" s="556"/>
      <c r="CTU52" s="556"/>
      <c r="CTV52" s="556"/>
      <c r="CTW52" s="556"/>
      <c r="CTX52" s="556"/>
      <c r="CTY52" s="556"/>
      <c r="CTZ52" s="556"/>
      <c r="CUA52" s="556"/>
      <c r="CUB52" s="556"/>
      <c r="CUC52" s="556"/>
      <c r="CUD52" s="556"/>
      <c r="CUE52" s="556"/>
      <c r="CUF52" s="556"/>
      <c r="CUG52" s="556"/>
      <c r="CUH52" s="556"/>
      <c r="CUI52" s="556"/>
      <c r="CUJ52" s="556"/>
      <c r="CUK52" s="556"/>
      <c r="CUL52" s="556"/>
      <c r="CUM52" s="556"/>
      <c r="CUN52" s="556"/>
      <c r="CUO52" s="556"/>
      <c r="CUP52" s="556"/>
      <c r="CUQ52" s="556"/>
      <c r="CUR52" s="556"/>
      <c r="CUS52" s="556"/>
      <c r="CUT52" s="556"/>
      <c r="CUU52" s="556"/>
      <c r="CUV52" s="556"/>
      <c r="CUW52" s="556"/>
      <c r="CUX52" s="556"/>
      <c r="CUY52" s="556"/>
      <c r="CUZ52" s="556"/>
      <c r="CVA52" s="556"/>
      <c r="CVB52" s="556"/>
      <c r="CVC52" s="556"/>
      <c r="CVD52" s="556"/>
      <c r="CVE52" s="556"/>
      <c r="CVF52" s="556"/>
      <c r="CVG52" s="556"/>
      <c r="CVH52" s="556"/>
      <c r="CVI52" s="556"/>
      <c r="CVJ52" s="556"/>
      <c r="CVK52" s="556"/>
      <c r="CVL52" s="556"/>
      <c r="CVM52" s="556"/>
      <c r="CVN52" s="556"/>
      <c r="CVO52" s="556"/>
      <c r="CVP52" s="556"/>
      <c r="CVQ52" s="556"/>
      <c r="CVR52" s="556"/>
      <c r="CVS52" s="556"/>
      <c r="CVT52" s="556"/>
      <c r="CVU52" s="556"/>
      <c r="CVV52" s="556"/>
      <c r="CVW52" s="556"/>
      <c r="CVX52" s="556"/>
      <c r="CVY52" s="556"/>
      <c r="CVZ52" s="556"/>
      <c r="CWA52" s="556"/>
      <c r="CWB52" s="556"/>
      <c r="CWC52" s="556"/>
      <c r="CWD52" s="556"/>
      <c r="CWE52" s="556"/>
      <c r="CWF52" s="556"/>
      <c r="CWG52" s="556"/>
      <c r="CWH52" s="556"/>
      <c r="CWI52" s="556"/>
      <c r="CWJ52" s="556"/>
      <c r="CWK52" s="556"/>
      <c r="CWL52" s="556"/>
      <c r="CWM52" s="556"/>
      <c r="CWN52" s="556"/>
      <c r="CWO52" s="556"/>
      <c r="CWP52" s="556"/>
      <c r="CWQ52" s="556"/>
      <c r="CWR52" s="556"/>
      <c r="CWS52" s="556"/>
      <c r="CWT52" s="556"/>
      <c r="CWU52" s="556"/>
      <c r="CWV52" s="556"/>
      <c r="CWW52" s="556"/>
      <c r="CWX52" s="556"/>
      <c r="CWY52" s="556"/>
      <c r="CWZ52" s="556"/>
      <c r="CXA52" s="556"/>
      <c r="CXB52" s="556"/>
      <c r="CXC52" s="556"/>
      <c r="CXD52" s="556"/>
      <c r="CXE52" s="556"/>
      <c r="CXF52" s="556"/>
      <c r="CXG52" s="556"/>
      <c r="CXH52" s="556"/>
      <c r="CXI52" s="556"/>
      <c r="CXJ52" s="556"/>
      <c r="CXK52" s="556"/>
      <c r="CXL52" s="556"/>
      <c r="CXM52" s="556"/>
      <c r="CXN52" s="556"/>
      <c r="CXO52" s="556"/>
      <c r="CXP52" s="556"/>
      <c r="CXQ52" s="556"/>
      <c r="CXR52" s="556"/>
      <c r="CXS52" s="556"/>
      <c r="CXT52" s="556"/>
      <c r="CXU52" s="556"/>
      <c r="CXV52" s="556"/>
      <c r="CXW52" s="556"/>
      <c r="CXX52" s="556"/>
      <c r="CXY52" s="556"/>
      <c r="CXZ52" s="556"/>
      <c r="CYA52" s="556"/>
      <c r="CYB52" s="556"/>
      <c r="CYC52" s="556"/>
      <c r="CYD52" s="556"/>
      <c r="CYE52" s="556"/>
      <c r="CYF52" s="556"/>
      <c r="CYG52" s="556"/>
      <c r="CYH52" s="556"/>
      <c r="CYI52" s="556"/>
      <c r="CYJ52" s="556"/>
      <c r="CYK52" s="556"/>
      <c r="CYL52" s="556"/>
      <c r="CYM52" s="556"/>
      <c r="CYN52" s="556"/>
      <c r="CYO52" s="556"/>
      <c r="CYP52" s="556"/>
      <c r="CYQ52" s="556"/>
      <c r="CYR52" s="556"/>
      <c r="CYS52" s="556"/>
      <c r="CYT52" s="556"/>
      <c r="CYU52" s="556"/>
      <c r="CYV52" s="556"/>
      <c r="CYW52" s="556"/>
      <c r="CYX52" s="556"/>
      <c r="CYY52" s="556"/>
      <c r="CYZ52" s="556"/>
      <c r="CZA52" s="556"/>
      <c r="CZB52" s="556"/>
      <c r="CZC52" s="556"/>
      <c r="CZD52" s="556"/>
      <c r="CZE52" s="556"/>
      <c r="CZF52" s="556"/>
      <c r="CZG52" s="556"/>
      <c r="CZH52" s="556"/>
      <c r="CZI52" s="556"/>
      <c r="CZJ52" s="556"/>
      <c r="CZK52" s="556"/>
      <c r="CZL52" s="556"/>
      <c r="CZM52" s="556"/>
      <c r="CZN52" s="556"/>
      <c r="CZO52" s="556"/>
      <c r="CZP52" s="556"/>
      <c r="CZQ52" s="556"/>
      <c r="CZR52" s="556"/>
      <c r="CZS52" s="556"/>
      <c r="CZT52" s="556"/>
      <c r="CZU52" s="556"/>
      <c r="CZV52" s="556"/>
      <c r="CZW52" s="556"/>
      <c r="CZX52" s="556"/>
      <c r="CZY52" s="556"/>
      <c r="CZZ52" s="556"/>
      <c r="DAA52" s="556"/>
      <c r="DAB52" s="556"/>
      <c r="DAC52" s="556"/>
      <c r="DAD52" s="556"/>
      <c r="DAE52" s="556"/>
      <c r="DAF52" s="556"/>
      <c r="DAG52" s="556"/>
      <c r="DAH52" s="556"/>
      <c r="DAI52" s="556"/>
      <c r="DAJ52" s="556"/>
      <c r="DAK52" s="556"/>
      <c r="DAL52" s="556"/>
      <c r="DAM52" s="556"/>
      <c r="DAN52" s="556"/>
      <c r="DAO52" s="556"/>
      <c r="DAP52" s="556"/>
      <c r="DAQ52" s="556"/>
      <c r="DAR52" s="556"/>
      <c r="DAS52" s="556"/>
      <c r="DAT52" s="556"/>
      <c r="DAU52" s="556"/>
      <c r="DAV52" s="556"/>
      <c r="DAW52" s="556"/>
      <c r="DAX52" s="556"/>
      <c r="DAY52" s="556"/>
      <c r="DAZ52" s="556"/>
      <c r="DBA52" s="556"/>
      <c r="DBB52" s="556"/>
      <c r="DBC52" s="556"/>
      <c r="DBD52" s="556"/>
      <c r="DBE52" s="556"/>
      <c r="DBF52" s="556"/>
      <c r="DBG52" s="556"/>
      <c r="DBH52" s="556"/>
      <c r="DBI52" s="556"/>
      <c r="DBJ52" s="556"/>
      <c r="DBK52" s="556"/>
      <c r="DBL52" s="556"/>
      <c r="DBM52" s="556"/>
      <c r="DBN52" s="556"/>
      <c r="DBO52" s="556"/>
      <c r="DBP52" s="556"/>
      <c r="DBQ52" s="556"/>
      <c r="DBR52" s="556"/>
      <c r="DBS52" s="556"/>
      <c r="DBT52" s="556"/>
      <c r="DBU52" s="556"/>
      <c r="DBV52" s="556"/>
      <c r="DBW52" s="556"/>
      <c r="DBX52" s="556"/>
      <c r="DBY52" s="556"/>
      <c r="DBZ52" s="556"/>
      <c r="DCA52" s="556"/>
      <c r="DCB52" s="556"/>
      <c r="DCC52" s="556"/>
      <c r="DCD52" s="556"/>
      <c r="DCE52" s="556"/>
      <c r="DCF52" s="556"/>
      <c r="DCG52" s="556"/>
      <c r="DCH52" s="556"/>
      <c r="DCI52" s="556"/>
      <c r="DCJ52" s="556"/>
      <c r="DCK52" s="556"/>
      <c r="DCL52" s="556"/>
      <c r="DCM52" s="556"/>
      <c r="DCN52" s="556"/>
      <c r="DCO52" s="556"/>
      <c r="DCP52" s="556"/>
      <c r="DCQ52" s="556"/>
      <c r="DCR52" s="556"/>
      <c r="DCS52" s="556"/>
      <c r="DCT52" s="556"/>
      <c r="DCU52" s="556"/>
      <c r="DCV52" s="556"/>
      <c r="DCW52" s="556"/>
      <c r="DCX52" s="556"/>
      <c r="DCY52" s="556"/>
      <c r="DCZ52" s="556"/>
      <c r="DDA52" s="556"/>
      <c r="DDB52" s="556"/>
      <c r="DDC52" s="556"/>
      <c r="DDD52" s="556"/>
      <c r="DDE52" s="556"/>
      <c r="DDF52" s="556"/>
      <c r="DDG52" s="556"/>
      <c r="DDH52" s="556"/>
      <c r="DDI52" s="556"/>
      <c r="DDJ52" s="556"/>
      <c r="DDK52" s="556"/>
      <c r="DDL52" s="556"/>
      <c r="DDM52" s="556"/>
      <c r="DDN52" s="556"/>
      <c r="DDO52" s="556"/>
      <c r="DDP52" s="556"/>
      <c r="DDQ52" s="556"/>
      <c r="DDR52" s="556"/>
      <c r="DDS52" s="556"/>
      <c r="DDT52" s="556"/>
      <c r="DDU52" s="556"/>
      <c r="DDV52" s="556"/>
      <c r="DDW52" s="556"/>
      <c r="DDX52" s="556"/>
      <c r="DDY52" s="556"/>
      <c r="DDZ52" s="556"/>
      <c r="DEA52" s="556"/>
      <c r="DEB52" s="556"/>
      <c r="DEC52" s="556"/>
      <c r="DED52" s="556"/>
      <c r="DEE52" s="556"/>
      <c r="DEF52" s="556"/>
      <c r="DEG52" s="556"/>
      <c r="DEH52" s="556"/>
      <c r="DEI52" s="556"/>
      <c r="DEJ52" s="556"/>
      <c r="DEK52" s="556"/>
      <c r="DEL52" s="556"/>
      <c r="DEM52" s="556"/>
      <c r="DEN52" s="556"/>
      <c r="DEO52" s="556"/>
      <c r="DEP52" s="556"/>
      <c r="DEQ52" s="556"/>
      <c r="DER52" s="556"/>
      <c r="DES52" s="556"/>
      <c r="DET52" s="556"/>
      <c r="DEU52" s="556"/>
      <c r="DEV52" s="556"/>
      <c r="DEW52" s="556"/>
      <c r="DEX52" s="556"/>
      <c r="DEY52" s="556"/>
      <c r="DEZ52" s="556"/>
      <c r="DFA52" s="556"/>
      <c r="DFB52" s="556"/>
      <c r="DFC52" s="556"/>
      <c r="DFD52" s="556"/>
      <c r="DFE52" s="556"/>
      <c r="DFF52" s="556"/>
      <c r="DFG52" s="556"/>
      <c r="DFH52" s="556"/>
      <c r="DFI52" s="556"/>
      <c r="DFJ52" s="556"/>
      <c r="DFK52" s="556"/>
      <c r="DFL52" s="556"/>
      <c r="DFM52" s="556"/>
      <c r="DFN52" s="556"/>
      <c r="DFO52" s="556"/>
      <c r="DFP52" s="556"/>
      <c r="DFQ52" s="556"/>
      <c r="DFR52" s="556"/>
      <c r="DFS52" s="556"/>
      <c r="DFT52" s="556"/>
      <c r="DFU52" s="556"/>
      <c r="DFV52" s="556"/>
      <c r="DFW52" s="556"/>
      <c r="DFX52" s="556"/>
      <c r="DFY52" s="556"/>
      <c r="DFZ52" s="556"/>
      <c r="DGA52" s="556"/>
      <c r="DGB52" s="556"/>
      <c r="DGC52" s="556"/>
      <c r="DGD52" s="556"/>
      <c r="DGE52" s="556"/>
      <c r="DGF52" s="556"/>
      <c r="DGG52" s="556"/>
      <c r="DGH52" s="556"/>
      <c r="DGI52" s="556"/>
      <c r="DGJ52" s="556"/>
      <c r="DGK52" s="556"/>
      <c r="DGL52" s="556"/>
      <c r="DGM52" s="556"/>
      <c r="DGN52" s="556"/>
      <c r="DGO52" s="556"/>
      <c r="DGP52" s="556"/>
      <c r="DGQ52" s="556"/>
      <c r="DGR52" s="556"/>
      <c r="DGS52" s="556"/>
      <c r="DGT52" s="556"/>
      <c r="DGU52" s="556"/>
      <c r="DGV52" s="556"/>
      <c r="DGW52" s="556"/>
      <c r="DGX52" s="556"/>
      <c r="DGY52" s="556"/>
      <c r="DGZ52" s="556"/>
      <c r="DHA52" s="556"/>
      <c r="DHB52" s="556"/>
      <c r="DHC52" s="556"/>
      <c r="DHD52" s="556"/>
      <c r="DHE52" s="556"/>
      <c r="DHF52" s="556"/>
      <c r="DHG52" s="556"/>
      <c r="DHH52" s="556"/>
      <c r="DHI52" s="556"/>
      <c r="DHJ52" s="556"/>
      <c r="DHK52" s="556"/>
      <c r="DHL52" s="556"/>
      <c r="DHM52" s="556"/>
      <c r="DHN52" s="556"/>
      <c r="DHO52" s="556"/>
      <c r="DHP52" s="556"/>
      <c r="DHQ52" s="556"/>
      <c r="DHR52" s="556"/>
      <c r="DHS52" s="556"/>
      <c r="DHT52" s="556"/>
      <c r="DHU52" s="556"/>
      <c r="DHV52" s="556"/>
      <c r="DHW52" s="556"/>
      <c r="DHX52" s="556"/>
      <c r="DHY52" s="556"/>
      <c r="DHZ52" s="556"/>
      <c r="DIA52" s="556"/>
      <c r="DIB52" s="556"/>
      <c r="DIC52" s="556"/>
      <c r="DID52" s="556"/>
      <c r="DIE52" s="556"/>
      <c r="DIF52" s="556"/>
      <c r="DIG52" s="556"/>
      <c r="DIH52" s="556"/>
      <c r="DII52" s="556"/>
      <c r="DIJ52" s="556"/>
      <c r="DIK52" s="556"/>
      <c r="DIL52" s="556"/>
      <c r="DIM52" s="556"/>
      <c r="DIN52" s="556"/>
      <c r="DIO52" s="556"/>
      <c r="DIP52" s="556"/>
      <c r="DIQ52" s="556"/>
      <c r="DIR52" s="556"/>
      <c r="DIS52" s="556"/>
      <c r="DIT52" s="556"/>
      <c r="DIU52" s="556"/>
      <c r="DIV52" s="556"/>
      <c r="DIW52" s="556"/>
      <c r="DIX52" s="556"/>
      <c r="DIY52" s="556"/>
      <c r="DIZ52" s="556"/>
      <c r="DJA52" s="556"/>
      <c r="DJB52" s="556"/>
      <c r="DJC52" s="556"/>
      <c r="DJD52" s="556"/>
      <c r="DJE52" s="556"/>
      <c r="DJF52" s="556"/>
      <c r="DJG52" s="556"/>
      <c r="DJH52" s="556"/>
      <c r="DJI52" s="556"/>
      <c r="DJJ52" s="556"/>
      <c r="DJK52" s="556"/>
      <c r="DJL52" s="556"/>
      <c r="DJM52" s="556"/>
      <c r="DJN52" s="556"/>
      <c r="DJO52" s="556"/>
      <c r="DJP52" s="556"/>
      <c r="DJQ52" s="556"/>
      <c r="DJR52" s="556"/>
      <c r="DJS52" s="556"/>
      <c r="DJT52" s="556"/>
      <c r="DJU52" s="556"/>
      <c r="DJV52" s="556"/>
      <c r="DJW52" s="556"/>
      <c r="DJX52" s="556"/>
      <c r="DJY52" s="556"/>
      <c r="DJZ52" s="556"/>
      <c r="DKA52" s="556"/>
      <c r="DKB52" s="556"/>
      <c r="DKC52" s="556"/>
      <c r="DKD52" s="556"/>
      <c r="DKE52" s="556"/>
      <c r="DKF52" s="556"/>
      <c r="DKG52" s="556"/>
      <c r="DKH52" s="556"/>
      <c r="DKI52" s="556"/>
      <c r="DKJ52" s="556"/>
      <c r="DKK52" s="556"/>
      <c r="DKL52" s="556"/>
      <c r="DKM52" s="556"/>
      <c r="DKN52" s="556"/>
      <c r="DKO52" s="556"/>
      <c r="DKP52" s="556"/>
      <c r="DKQ52" s="556"/>
      <c r="DKR52" s="556"/>
      <c r="DKS52" s="556"/>
      <c r="DKT52" s="556"/>
      <c r="DKU52" s="556"/>
      <c r="DKV52" s="556"/>
      <c r="DKW52" s="556"/>
      <c r="DKX52" s="556"/>
      <c r="DKY52" s="556"/>
      <c r="DKZ52" s="556"/>
      <c r="DLA52" s="556"/>
      <c r="DLB52" s="556"/>
      <c r="DLC52" s="556"/>
      <c r="DLD52" s="556"/>
      <c r="DLE52" s="556"/>
      <c r="DLF52" s="556"/>
      <c r="DLG52" s="556"/>
      <c r="DLH52" s="556"/>
      <c r="DLI52" s="556"/>
      <c r="DLJ52" s="556"/>
      <c r="DLK52" s="556"/>
      <c r="DLL52" s="556"/>
      <c r="DLM52" s="556"/>
      <c r="DLN52" s="556"/>
      <c r="DLO52" s="556"/>
      <c r="DLP52" s="556"/>
      <c r="DLQ52" s="556"/>
      <c r="DLR52" s="556"/>
      <c r="DLS52" s="556"/>
      <c r="DLT52" s="556"/>
      <c r="DLU52" s="556"/>
      <c r="DLV52" s="556"/>
      <c r="DLW52" s="556"/>
      <c r="DLX52" s="556"/>
      <c r="DLY52" s="556"/>
      <c r="DLZ52" s="556"/>
      <c r="DMA52" s="556"/>
      <c r="DMB52" s="556"/>
      <c r="DMC52" s="556"/>
      <c r="DMD52" s="556"/>
      <c r="DME52" s="556"/>
      <c r="DMF52" s="556"/>
      <c r="DMG52" s="556"/>
      <c r="DMH52" s="556"/>
      <c r="DMI52" s="556"/>
      <c r="DMJ52" s="556"/>
      <c r="DMK52" s="556"/>
      <c r="DML52" s="556"/>
      <c r="DMM52" s="556"/>
      <c r="DMN52" s="556"/>
      <c r="DMO52" s="556"/>
      <c r="DMP52" s="556"/>
      <c r="DMQ52" s="556"/>
      <c r="DMR52" s="556"/>
      <c r="DMS52" s="556"/>
      <c r="DMT52" s="556"/>
      <c r="DMU52" s="556"/>
      <c r="DMV52" s="556"/>
      <c r="DMW52" s="556"/>
      <c r="DMX52" s="556"/>
      <c r="DMY52" s="556"/>
      <c r="DMZ52" s="556"/>
      <c r="DNA52" s="556"/>
      <c r="DNB52" s="556"/>
      <c r="DNC52" s="556"/>
      <c r="DND52" s="556"/>
      <c r="DNE52" s="556"/>
      <c r="DNF52" s="556"/>
      <c r="DNG52" s="556"/>
      <c r="DNH52" s="556"/>
      <c r="DNI52" s="556"/>
      <c r="DNJ52" s="556"/>
      <c r="DNK52" s="556"/>
      <c r="DNL52" s="556"/>
      <c r="DNM52" s="556"/>
      <c r="DNN52" s="556"/>
      <c r="DNO52" s="556"/>
      <c r="DNP52" s="556"/>
      <c r="DNQ52" s="556"/>
      <c r="DNR52" s="556"/>
      <c r="DNS52" s="556"/>
      <c r="DNT52" s="556"/>
      <c r="DNU52" s="556"/>
      <c r="DNV52" s="556"/>
      <c r="DNW52" s="556"/>
      <c r="DNX52" s="556"/>
      <c r="DNY52" s="556"/>
      <c r="DNZ52" s="556"/>
      <c r="DOA52" s="556"/>
      <c r="DOB52" s="556"/>
      <c r="DOC52" s="556"/>
      <c r="DOD52" s="556"/>
      <c r="DOE52" s="556"/>
      <c r="DOF52" s="556"/>
      <c r="DOG52" s="556"/>
      <c r="DOH52" s="556"/>
      <c r="DOI52" s="556"/>
      <c r="DOJ52" s="556"/>
      <c r="DOK52" s="556"/>
      <c r="DOL52" s="556"/>
      <c r="DOM52" s="556"/>
      <c r="DON52" s="556"/>
      <c r="DOO52" s="556"/>
      <c r="DOP52" s="556"/>
      <c r="DOQ52" s="556"/>
      <c r="DOR52" s="556"/>
      <c r="DOS52" s="556"/>
      <c r="DOT52" s="556"/>
      <c r="DOU52" s="556"/>
      <c r="DOV52" s="556"/>
      <c r="DOW52" s="556"/>
      <c r="DOX52" s="556"/>
      <c r="DOY52" s="556"/>
      <c r="DOZ52" s="556"/>
      <c r="DPA52" s="556"/>
      <c r="DPB52" s="556"/>
      <c r="DPC52" s="556"/>
      <c r="DPD52" s="556"/>
      <c r="DPE52" s="556"/>
      <c r="DPF52" s="556"/>
      <c r="DPG52" s="556"/>
      <c r="DPH52" s="556"/>
      <c r="DPI52" s="556"/>
      <c r="DPJ52" s="556"/>
      <c r="DPK52" s="556"/>
      <c r="DPL52" s="556"/>
      <c r="DPM52" s="556"/>
      <c r="DPN52" s="556"/>
      <c r="DPO52" s="556"/>
      <c r="DPP52" s="556"/>
      <c r="DPQ52" s="556"/>
      <c r="DPR52" s="556"/>
      <c r="DPS52" s="556"/>
      <c r="DPT52" s="556"/>
      <c r="DPU52" s="556"/>
      <c r="DPV52" s="556"/>
      <c r="DPW52" s="556"/>
      <c r="DPX52" s="556"/>
      <c r="DPY52" s="556"/>
      <c r="DPZ52" s="556"/>
      <c r="DQA52" s="556"/>
      <c r="DQB52" s="556"/>
      <c r="DQC52" s="556"/>
      <c r="DQD52" s="556"/>
      <c r="DQE52" s="556"/>
      <c r="DQF52" s="556"/>
      <c r="DQG52" s="556"/>
      <c r="DQH52" s="556"/>
      <c r="DQI52" s="556"/>
      <c r="DQJ52" s="556"/>
      <c r="DQK52" s="556"/>
      <c r="DQL52" s="556"/>
      <c r="DQM52" s="556"/>
      <c r="DQN52" s="556"/>
      <c r="DQO52" s="556"/>
      <c r="DQP52" s="556"/>
      <c r="DQQ52" s="556"/>
      <c r="DQR52" s="556"/>
      <c r="DQS52" s="556"/>
      <c r="DQT52" s="556"/>
      <c r="DQU52" s="556"/>
      <c r="DQV52" s="556"/>
      <c r="DQW52" s="556"/>
      <c r="DQX52" s="556"/>
      <c r="DQY52" s="556"/>
      <c r="DQZ52" s="556"/>
      <c r="DRA52" s="556"/>
      <c r="DRB52" s="556"/>
      <c r="DRC52" s="556"/>
      <c r="DRD52" s="556"/>
      <c r="DRE52" s="556"/>
      <c r="DRF52" s="556"/>
      <c r="DRG52" s="556"/>
      <c r="DRH52" s="556"/>
      <c r="DRI52" s="556"/>
      <c r="DRJ52" s="556"/>
      <c r="DRK52" s="556"/>
      <c r="DRL52" s="556"/>
      <c r="DRM52" s="556"/>
      <c r="DRN52" s="556"/>
      <c r="DRO52" s="556"/>
      <c r="DRP52" s="556"/>
      <c r="DRQ52" s="556"/>
      <c r="DRR52" s="556"/>
      <c r="DRS52" s="556"/>
      <c r="DRT52" s="556"/>
      <c r="DRU52" s="556"/>
      <c r="DRV52" s="556"/>
      <c r="DRW52" s="556"/>
      <c r="DRX52" s="556"/>
      <c r="DRY52" s="556"/>
      <c r="DRZ52" s="556"/>
      <c r="DSA52" s="556"/>
      <c r="DSB52" s="556"/>
      <c r="DSC52" s="556"/>
      <c r="DSD52" s="556"/>
      <c r="DSE52" s="556"/>
      <c r="DSF52" s="556"/>
      <c r="DSG52" s="556"/>
      <c r="DSH52" s="556"/>
      <c r="DSI52" s="556"/>
      <c r="DSJ52" s="556"/>
      <c r="DSK52" s="556"/>
      <c r="DSL52" s="556"/>
      <c r="DSM52" s="556"/>
      <c r="DSN52" s="556"/>
      <c r="DSO52" s="556"/>
      <c r="DSP52" s="556"/>
      <c r="DSQ52" s="556"/>
      <c r="DSR52" s="556"/>
      <c r="DSS52" s="556"/>
      <c r="DST52" s="556"/>
      <c r="DSU52" s="556"/>
      <c r="DSV52" s="556"/>
      <c r="DSW52" s="556"/>
      <c r="DSX52" s="556"/>
      <c r="DSY52" s="556"/>
      <c r="DSZ52" s="556"/>
      <c r="DTA52" s="556"/>
      <c r="DTB52" s="556"/>
      <c r="DTC52" s="556"/>
      <c r="DTD52" s="556"/>
      <c r="DTE52" s="556"/>
      <c r="DTF52" s="556"/>
      <c r="DTG52" s="556"/>
      <c r="DTH52" s="556"/>
      <c r="DTI52" s="556"/>
      <c r="DTJ52" s="556"/>
      <c r="DTK52" s="556"/>
      <c r="DTL52" s="556"/>
      <c r="DTM52" s="556"/>
      <c r="DTN52" s="556"/>
      <c r="DTO52" s="556"/>
      <c r="DTP52" s="556"/>
      <c r="DTQ52" s="556"/>
      <c r="DTR52" s="556"/>
      <c r="DTS52" s="556"/>
      <c r="DTT52" s="556"/>
      <c r="DTU52" s="556"/>
      <c r="DTV52" s="556"/>
      <c r="DTW52" s="556"/>
      <c r="DTX52" s="556"/>
      <c r="DTY52" s="556"/>
      <c r="DTZ52" s="556"/>
      <c r="DUA52" s="556"/>
      <c r="DUB52" s="556"/>
      <c r="DUC52" s="556"/>
      <c r="DUD52" s="556"/>
      <c r="DUE52" s="556"/>
      <c r="DUF52" s="556"/>
      <c r="DUG52" s="556"/>
      <c r="DUH52" s="556"/>
      <c r="DUI52" s="556"/>
      <c r="DUJ52" s="556"/>
      <c r="DUK52" s="556"/>
      <c r="DUL52" s="556"/>
      <c r="DUM52" s="556"/>
      <c r="DUN52" s="556"/>
      <c r="DUO52" s="556"/>
      <c r="DUP52" s="556"/>
      <c r="DUQ52" s="556"/>
      <c r="DUR52" s="556"/>
      <c r="DUS52" s="556"/>
      <c r="DUT52" s="556"/>
      <c r="DUU52" s="556"/>
      <c r="DUV52" s="556"/>
      <c r="DUW52" s="556"/>
      <c r="DUX52" s="556"/>
      <c r="DUY52" s="556"/>
      <c r="DUZ52" s="556"/>
      <c r="DVA52" s="556"/>
      <c r="DVB52" s="556"/>
      <c r="DVC52" s="556"/>
      <c r="DVD52" s="556"/>
      <c r="DVE52" s="556"/>
      <c r="DVF52" s="556"/>
      <c r="DVG52" s="556"/>
      <c r="DVH52" s="556"/>
      <c r="DVI52" s="556"/>
      <c r="DVJ52" s="556"/>
      <c r="DVK52" s="556"/>
      <c r="DVL52" s="556"/>
      <c r="DVM52" s="556"/>
      <c r="DVN52" s="556"/>
      <c r="DVO52" s="556"/>
      <c r="DVP52" s="556"/>
      <c r="DVQ52" s="556"/>
      <c r="DVR52" s="556"/>
      <c r="DVS52" s="556"/>
      <c r="DVT52" s="556"/>
      <c r="DVU52" s="556"/>
      <c r="DVV52" s="556"/>
      <c r="DVW52" s="556"/>
      <c r="DVX52" s="556"/>
      <c r="DVY52" s="556"/>
      <c r="DVZ52" s="556"/>
      <c r="DWA52" s="556"/>
      <c r="DWB52" s="556"/>
      <c r="DWC52" s="556"/>
      <c r="DWD52" s="556"/>
      <c r="DWE52" s="556"/>
      <c r="DWF52" s="556"/>
      <c r="DWG52" s="556"/>
      <c r="DWH52" s="556"/>
      <c r="DWI52" s="556"/>
      <c r="DWJ52" s="556"/>
      <c r="DWK52" s="556"/>
      <c r="DWL52" s="556"/>
      <c r="DWM52" s="556"/>
      <c r="DWN52" s="556"/>
      <c r="DWO52" s="556"/>
      <c r="DWP52" s="556"/>
      <c r="DWQ52" s="556"/>
      <c r="DWR52" s="556"/>
      <c r="DWS52" s="556"/>
      <c r="DWT52" s="556"/>
      <c r="DWU52" s="556"/>
      <c r="DWV52" s="556"/>
      <c r="DWW52" s="556"/>
      <c r="DWX52" s="556"/>
      <c r="DWY52" s="556"/>
      <c r="DWZ52" s="556"/>
      <c r="DXA52" s="556"/>
      <c r="DXB52" s="556"/>
      <c r="DXC52" s="556"/>
      <c r="DXD52" s="556"/>
      <c r="DXE52" s="556"/>
      <c r="DXF52" s="556"/>
      <c r="DXG52" s="556"/>
      <c r="DXH52" s="556"/>
      <c r="DXI52" s="556"/>
      <c r="DXJ52" s="556"/>
      <c r="DXK52" s="556"/>
      <c r="DXL52" s="556"/>
      <c r="DXM52" s="556"/>
      <c r="DXN52" s="556"/>
      <c r="DXO52" s="556"/>
      <c r="DXP52" s="556"/>
      <c r="DXQ52" s="556"/>
      <c r="DXR52" s="556"/>
      <c r="DXS52" s="556"/>
      <c r="DXT52" s="556"/>
      <c r="DXU52" s="556"/>
      <c r="DXV52" s="556"/>
      <c r="DXW52" s="556"/>
      <c r="DXX52" s="556"/>
      <c r="DXY52" s="556"/>
      <c r="DXZ52" s="556"/>
      <c r="DYA52" s="556"/>
      <c r="DYB52" s="556"/>
      <c r="DYC52" s="556"/>
      <c r="DYD52" s="556"/>
      <c r="DYE52" s="556"/>
      <c r="DYF52" s="556"/>
      <c r="DYG52" s="556"/>
      <c r="DYH52" s="556"/>
      <c r="DYI52" s="556"/>
      <c r="DYJ52" s="556"/>
      <c r="DYK52" s="556"/>
      <c r="DYL52" s="556"/>
      <c r="DYM52" s="556"/>
      <c r="DYN52" s="556"/>
      <c r="DYO52" s="556"/>
      <c r="DYP52" s="556"/>
      <c r="DYQ52" s="556"/>
      <c r="DYR52" s="556"/>
      <c r="DYS52" s="556"/>
      <c r="DYT52" s="556"/>
      <c r="DYU52" s="556"/>
      <c r="DYV52" s="556"/>
      <c r="DYW52" s="556"/>
      <c r="DYX52" s="556"/>
      <c r="DYY52" s="556"/>
      <c r="DYZ52" s="556"/>
      <c r="DZA52" s="556"/>
      <c r="DZB52" s="556"/>
      <c r="DZC52" s="556"/>
      <c r="DZD52" s="556"/>
      <c r="DZE52" s="556"/>
      <c r="DZF52" s="556"/>
      <c r="DZG52" s="556"/>
      <c r="DZH52" s="556"/>
      <c r="DZI52" s="556"/>
      <c r="DZJ52" s="556"/>
      <c r="DZK52" s="556"/>
      <c r="DZL52" s="556"/>
      <c r="DZM52" s="556"/>
      <c r="DZN52" s="556"/>
      <c r="DZO52" s="556"/>
      <c r="DZP52" s="556"/>
      <c r="DZQ52" s="556"/>
      <c r="DZR52" s="556"/>
      <c r="DZS52" s="556"/>
      <c r="DZT52" s="556"/>
      <c r="DZU52" s="556"/>
      <c r="DZV52" s="556"/>
      <c r="DZW52" s="556"/>
      <c r="DZX52" s="556"/>
      <c r="DZY52" s="556"/>
      <c r="DZZ52" s="556"/>
      <c r="EAA52" s="556"/>
      <c r="EAB52" s="556"/>
      <c r="EAC52" s="556"/>
      <c r="EAD52" s="556"/>
      <c r="EAE52" s="556"/>
      <c r="EAF52" s="556"/>
      <c r="EAG52" s="556"/>
      <c r="EAH52" s="556"/>
      <c r="EAI52" s="556"/>
      <c r="EAJ52" s="556"/>
      <c r="EAK52" s="556"/>
      <c r="EAL52" s="556"/>
      <c r="EAM52" s="556"/>
      <c r="EAN52" s="556"/>
      <c r="EAO52" s="556"/>
      <c r="EAP52" s="556"/>
      <c r="EAQ52" s="556"/>
      <c r="EAR52" s="556"/>
      <c r="EAS52" s="556"/>
      <c r="EAT52" s="556"/>
      <c r="EAU52" s="556"/>
      <c r="EAV52" s="556"/>
      <c r="EAW52" s="556"/>
      <c r="EAX52" s="556"/>
      <c r="EAY52" s="556"/>
      <c r="EAZ52" s="556"/>
      <c r="EBA52" s="556"/>
      <c r="EBB52" s="556"/>
      <c r="EBC52" s="556"/>
      <c r="EBD52" s="556"/>
      <c r="EBE52" s="556"/>
      <c r="EBF52" s="556"/>
      <c r="EBG52" s="556"/>
      <c r="EBH52" s="556"/>
      <c r="EBI52" s="556"/>
      <c r="EBJ52" s="556"/>
      <c r="EBK52" s="556"/>
      <c r="EBL52" s="556"/>
      <c r="EBM52" s="556"/>
      <c r="EBN52" s="556"/>
      <c r="EBO52" s="556"/>
      <c r="EBP52" s="556"/>
      <c r="EBQ52" s="556"/>
      <c r="EBR52" s="556"/>
      <c r="EBS52" s="556"/>
      <c r="EBT52" s="556"/>
      <c r="EBU52" s="556"/>
      <c r="EBV52" s="556"/>
      <c r="EBW52" s="556"/>
      <c r="EBX52" s="556"/>
      <c r="EBY52" s="556"/>
      <c r="EBZ52" s="556"/>
      <c r="ECA52" s="556"/>
      <c r="ECB52" s="556"/>
      <c r="ECC52" s="556"/>
      <c r="ECD52" s="556"/>
      <c r="ECE52" s="556"/>
      <c r="ECF52" s="556"/>
      <c r="ECG52" s="556"/>
      <c r="ECH52" s="556"/>
      <c r="ECI52" s="556"/>
      <c r="ECJ52" s="556"/>
      <c r="ECK52" s="556"/>
      <c r="ECL52" s="556"/>
      <c r="ECM52" s="556"/>
      <c r="ECN52" s="556"/>
      <c r="ECO52" s="556"/>
      <c r="ECP52" s="556"/>
      <c r="ECQ52" s="556"/>
      <c r="ECR52" s="556"/>
      <c r="ECS52" s="556"/>
      <c r="ECT52" s="556"/>
      <c r="ECU52" s="556"/>
      <c r="ECV52" s="556"/>
      <c r="ECW52" s="556"/>
      <c r="ECX52" s="556"/>
      <c r="ECY52" s="556"/>
      <c r="ECZ52" s="556"/>
      <c r="EDA52" s="556"/>
      <c r="EDB52" s="556"/>
      <c r="EDC52" s="556"/>
      <c r="EDD52" s="556"/>
      <c r="EDE52" s="556"/>
      <c r="EDF52" s="556"/>
      <c r="EDG52" s="556"/>
      <c r="EDH52" s="556"/>
      <c r="EDI52" s="556"/>
      <c r="EDJ52" s="556"/>
      <c r="EDK52" s="556"/>
      <c r="EDL52" s="556"/>
      <c r="EDM52" s="556"/>
      <c r="EDN52" s="556"/>
      <c r="EDO52" s="556"/>
      <c r="EDP52" s="556"/>
      <c r="EDQ52" s="556"/>
      <c r="EDR52" s="556"/>
      <c r="EDS52" s="556"/>
      <c r="EDT52" s="556"/>
      <c r="EDU52" s="556"/>
      <c r="EDV52" s="556"/>
      <c r="EDW52" s="556"/>
      <c r="EDX52" s="556"/>
      <c r="EDY52" s="556"/>
      <c r="EDZ52" s="556"/>
      <c r="EEA52" s="556"/>
      <c r="EEB52" s="556"/>
      <c r="EEC52" s="556"/>
      <c r="EED52" s="556"/>
      <c r="EEE52" s="556"/>
      <c r="EEF52" s="556"/>
      <c r="EEG52" s="556"/>
      <c r="EEH52" s="556"/>
      <c r="EEI52" s="556"/>
      <c r="EEJ52" s="556"/>
      <c r="EEK52" s="556"/>
      <c r="EEL52" s="556"/>
      <c r="EEM52" s="556"/>
      <c r="EEN52" s="556"/>
      <c r="EEO52" s="556"/>
      <c r="EEP52" s="556"/>
      <c r="EEQ52" s="556"/>
      <c r="EER52" s="556"/>
      <c r="EES52" s="556"/>
      <c r="EET52" s="556"/>
      <c r="EEU52" s="556"/>
      <c r="EEV52" s="556"/>
      <c r="EEW52" s="556"/>
      <c r="EEX52" s="556"/>
      <c r="EEY52" s="556"/>
      <c r="EEZ52" s="556"/>
      <c r="EFA52" s="556"/>
      <c r="EFB52" s="556"/>
      <c r="EFC52" s="556"/>
      <c r="EFD52" s="556"/>
      <c r="EFE52" s="556"/>
      <c r="EFF52" s="556"/>
      <c r="EFG52" s="556"/>
      <c r="EFH52" s="556"/>
      <c r="EFI52" s="556"/>
      <c r="EFJ52" s="556"/>
      <c r="EFK52" s="556"/>
      <c r="EFL52" s="556"/>
      <c r="EFM52" s="556"/>
      <c r="EFN52" s="556"/>
      <c r="EFO52" s="556"/>
      <c r="EFP52" s="556"/>
      <c r="EFQ52" s="556"/>
      <c r="EFR52" s="556"/>
      <c r="EFS52" s="556"/>
      <c r="EFT52" s="556"/>
      <c r="EFU52" s="556"/>
      <c r="EFV52" s="556"/>
      <c r="EFW52" s="556"/>
      <c r="EFX52" s="556"/>
      <c r="EFY52" s="556"/>
      <c r="EFZ52" s="556"/>
      <c r="EGA52" s="556"/>
      <c r="EGB52" s="556"/>
      <c r="EGC52" s="556"/>
      <c r="EGD52" s="556"/>
      <c r="EGE52" s="556"/>
      <c r="EGF52" s="556"/>
      <c r="EGG52" s="556"/>
      <c r="EGH52" s="556"/>
      <c r="EGI52" s="556"/>
      <c r="EGJ52" s="556"/>
      <c r="EGK52" s="556"/>
      <c r="EGL52" s="556"/>
      <c r="EGM52" s="556"/>
      <c r="EGN52" s="556"/>
      <c r="EGO52" s="556"/>
      <c r="EGP52" s="556"/>
      <c r="EGQ52" s="556"/>
      <c r="EGR52" s="556"/>
      <c r="EGS52" s="556"/>
      <c r="EGT52" s="556"/>
      <c r="EGU52" s="556"/>
      <c r="EGV52" s="556"/>
      <c r="EGW52" s="556"/>
      <c r="EGX52" s="556"/>
      <c r="EGY52" s="556"/>
      <c r="EGZ52" s="556"/>
      <c r="EHA52" s="556"/>
      <c r="EHB52" s="556"/>
      <c r="EHC52" s="556"/>
      <c r="EHD52" s="556"/>
      <c r="EHE52" s="556"/>
      <c r="EHF52" s="556"/>
      <c r="EHG52" s="556"/>
      <c r="EHH52" s="556"/>
      <c r="EHI52" s="556"/>
      <c r="EHJ52" s="556"/>
      <c r="EHK52" s="556"/>
      <c r="EHL52" s="556"/>
      <c r="EHM52" s="556"/>
      <c r="EHN52" s="556"/>
      <c r="EHO52" s="556"/>
      <c r="EHP52" s="556"/>
      <c r="EHQ52" s="556"/>
      <c r="EHR52" s="556"/>
      <c r="EHS52" s="556"/>
      <c r="EHT52" s="556"/>
      <c r="EHU52" s="556"/>
      <c r="EHV52" s="556"/>
      <c r="EHW52" s="556"/>
      <c r="EHX52" s="556"/>
      <c r="EHY52" s="556"/>
      <c r="EHZ52" s="556"/>
      <c r="EIA52" s="556"/>
      <c r="EIB52" s="556"/>
      <c r="EIC52" s="556"/>
      <c r="EID52" s="556"/>
      <c r="EIE52" s="556"/>
      <c r="EIF52" s="556"/>
      <c r="EIG52" s="556"/>
      <c r="EIH52" s="556"/>
      <c r="EII52" s="556"/>
      <c r="EIJ52" s="556"/>
      <c r="EIK52" s="556"/>
      <c r="EIL52" s="556"/>
      <c r="EIM52" s="556"/>
      <c r="EIN52" s="556"/>
      <c r="EIO52" s="556"/>
      <c r="EIP52" s="556"/>
      <c r="EIQ52" s="556"/>
      <c r="EIR52" s="556"/>
      <c r="EIS52" s="556"/>
      <c r="EIT52" s="556"/>
      <c r="EIU52" s="556"/>
      <c r="EIV52" s="556"/>
      <c r="EIW52" s="556"/>
      <c r="EIX52" s="556"/>
      <c r="EIY52" s="556"/>
      <c r="EIZ52" s="556"/>
      <c r="EJA52" s="556"/>
      <c r="EJB52" s="556"/>
      <c r="EJC52" s="556"/>
      <c r="EJD52" s="556"/>
      <c r="EJE52" s="556"/>
      <c r="EJF52" s="556"/>
      <c r="EJG52" s="556"/>
      <c r="EJH52" s="556"/>
      <c r="EJI52" s="556"/>
      <c r="EJJ52" s="556"/>
      <c r="EJK52" s="556"/>
      <c r="EJL52" s="556"/>
      <c r="EJM52" s="556"/>
      <c r="EJN52" s="556"/>
      <c r="EJO52" s="556"/>
      <c r="EJP52" s="556"/>
      <c r="EJQ52" s="556"/>
      <c r="EJR52" s="556"/>
      <c r="EJS52" s="556"/>
      <c r="EJT52" s="556"/>
      <c r="EJU52" s="556"/>
      <c r="EJV52" s="556"/>
      <c r="EJW52" s="556"/>
      <c r="EJX52" s="556"/>
      <c r="EJY52" s="556"/>
      <c r="EJZ52" s="556"/>
      <c r="EKA52" s="556"/>
      <c r="EKB52" s="556"/>
      <c r="EKC52" s="556"/>
      <c r="EKD52" s="556"/>
      <c r="EKE52" s="556"/>
      <c r="EKF52" s="556"/>
      <c r="EKG52" s="556"/>
      <c r="EKH52" s="556"/>
      <c r="EKI52" s="556"/>
      <c r="EKJ52" s="556"/>
      <c r="EKK52" s="556"/>
      <c r="EKL52" s="556"/>
      <c r="EKM52" s="556"/>
      <c r="EKN52" s="556"/>
      <c r="EKO52" s="556"/>
      <c r="EKP52" s="556"/>
      <c r="EKQ52" s="556"/>
      <c r="EKR52" s="556"/>
      <c r="EKS52" s="556"/>
      <c r="EKT52" s="556"/>
      <c r="EKU52" s="556"/>
      <c r="EKV52" s="556"/>
      <c r="EKW52" s="556"/>
      <c r="EKX52" s="556"/>
      <c r="EKY52" s="556"/>
      <c r="EKZ52" s="556"/>
      <c r="ELA52" s="556"/>
      <c r="ELB52" s="556"/>
      <c r="ELC52" s="556"/>
      <c r="ELD52" s="556"/>
      <c r="ELE52" s="556"/>
      <c r="ELF52" s="556"/>
      <c r="ELG52" s="556"/>
      <c r="ELH52" s="556"/>
      <c r="ELI52" s="556"/>
      <c r="ELJ52" s="556"/>
      <c r="ELK52" s="556"/>
      <c r="ELL52" s="556"/>
      <c r="ELM52" s="556"/>
      <c r="ELN52" s="556"/>
      <c r="ELO52" s="556"/>
      <c r="ELP52" s="556"/>
      <c r="ELQ52" s="556"/>
      <c r="ELR52" s="556"/>
      <c r="ELS52" s="556"/>
      <c r="ELT52" s="556"/>
      <c r="ELU52" s="556"/>
      <c r="ELV52" s="556"/>
      <c r="ELW52" s="556"/>
      <c r="ELX52" s="556"/>
      <c r="ELY52" s="556"/>
      <c r="ELZ52" s="556"/>
      <c r="EMA52" s="556"/>
      <c r="EMB52" s="556"/>
      <c r="EMC52" s="556"/>
      <c r="EMD52" s="556"/>
      <c r="EME52" s="556"/>
      <c r="EMF52" s="556"/>
      <c r="EMG52" s="556"/>
      <c r="EMH52" s="556"/>
      <c r="EMI52" s="556"/>
      <c r="EMJ52" s="556"/>
      <c r="EMK52" s="556"/>
      <c r="EML52" s="556"/>
      <c r="EMM52" s="556"/>
      <c r="EMN52" s="556"/>
      <c r="EMO52" s="556"/>
      <c r="EMP52" s="556"/>
      <c r="EMQ52" s="556"/>
      <c r="EMR52" s="556"/>
      <c r="EMS52" s="556"/>
      <c r="EMT52" s="556"/>
      <c r="EMU52" s="556"/>
      <c r="EMV52" s="556"/>
      <c r="EMW52" s="556"/>
      <c r="EMX52" s="556"/>
      <c r="EMY52" s="556"/>
      <c r="EMZ52" s="556"/>
      <c r="ENA52" s="556"/>
      <c r="ENB52" s="556"/>
      <c r="ENC52" s="556"/>
      <c r="END52" s="556"/>
      <c r="ENE52" s="556"/>
      <c r="ENF52" s="556"/>
      <c r="ENG52" s="556"/>
      <c r="ENH52" s="556"/>
      <c r="ENI52" s="556"/>
      <c r="ENJ52" s="556"/>
      <c r="ENK52" s="556"/>
      <c r="ENL52" s="556"/>
      <c r="ENM52" s="556"/>
      <c r="ENN52" s="556"/>
      <c r="ENO52" s="556"/>
      <c r="ENP52" s="556"/>
      <c r="ENQ52" s="556"/>
      <c r="ENR52" s="556"/>
      <c r="ENS52" s="556"/>
      <c r="ENT52" s="556"/>
      <c r="ENU52" s="556"/>
      <c r="ENV52" s="556"/>
      <c r="ENW52" s="556"/>
      <c r="ENX52" s="556"/>
      <c r="ENY52" s="556"/>
      <c r="ENZ52" s="556"/>
      <c r="EOA52" s="556"/>
      <c r="EOB52" s="556"/>
      <c r="EOC52" s="556"/>
      <c r="EOD52" s="556"/>
      <c r="EOE52" s="556"/>
      <c r="EOF52" s="556"/>
      <c r="EOG52" s="556"/>
      <c r="EOH52" s="556"/>
      <c r="EOI52" s="556"/>
      <c r="EOJ52" s="556"/>
      <c r="EOK52" s="556"/>
      <c r="EOL52" s="556"/>
      <c r="EOM52" s="556"/>
      <c r="EON52" s="556"/>
      <c r="EOO52" s="556"/>
      <c r="EOP52" s="556"/>
      <c r="EOQ52" s="556"/>
      <c r="EOR52" s="556"/>
      <c r="EOS52" s="556"/>
      <c r="EOT52" s="556"/>
      <c r="EOU52" s="556"/>
      <c r="EOV52" s="556"/>
      <c r="EOW52" s="556"/>
      <c r="EOX52" s="556"/>
      <c r="EOY52" s="556"/>
      <c r="EOZ52" s="556"/>
      <c r="EPA52" s="556"/>
      <c r="EPB52" s="556"/>
      <c r="EPC52" s="556"/>
      <c r="EPD52" s="556"/>
      <c r="EPE52" s="556"/>
      <c r="EPF52" s="556"/>
      <c r="EPG52" s="556"/>
      <c r="EPH52" s="556"/>
      <c r="EPI52" s="556"/>
      <c r="EPJ52" s="556"/>
      <c r="EPK52" s="556"/>
      <c r="EPL52" s="556"/>
      <c r="EPM52" s="556"/>
      <c r="EPN52" s="556"/>
      <c r="EPO52" s="556"/>
      <c r="EPP52" s="556"/>
      <c r="EPQ52" s="556"/>
      <c r="EPR52" s="556"/>
      <c r="EPS52" s="556"/>
      <c r="EPT52" s="556"/>
      <c r="EPU52" s="556"/>
      <c r="EPV52" s="556"/>
      <c r="EPW52" s="556"/>
      <c r="EPX52" s="556"/>
      <c r="EPY52" s="556"/>
      <c r="EPZ52" s="556"/>
      <c r="EQA52" s="556"/>
      <c r="EQB52" s="556"/>
      <c r="EQC52" s="556"/>
      <c r="EQD52" s="556"/>
      <c r="EQE52" s="556"/>
      <c r="EQF52" s="556"/>
      <c r="EQG52" s="556"/>
      <c r="EQH52" s="556"/>
      <c r="EQI52" s="556"/>
      <c r="EQJ52" s="556"/>
      <c r="EQK52" s="556"/>
      <c r="EQL52" s="556"/>
      <c r="EQM52" s="556"/>
      <c r="EQN52" s="556"/>
      <c r="EQO52" s="556"/>
      <c r="EQP52" s="556"/>
      <c r="EQQ52" s="556"/>
      <c r="EQR52" s="556"/>
      <c r="EQS52" s="556"/>
      <c r="EQT52" s="556"/>
      <c r="EQU52" s="556"/>
      <c r="EQV52" s="556"/>
      <c r="EQW52" s="556"/>
      <c r="EQX52" s="556"/>
      <c r="EQY52" s="556"/>
      <c r="EQZ52" s="556"/>
      <c r="ERA52" s="556"/>
      <c r="ERB52" s="556"/>
      <c r="ERC52" s="556"/>
      <c r="ERD52" s="556"/>
      <c r="ERE52" s="556"/>
      <c r="ERF52" s="556"/>
      <c r="ERG52" s="556"/>
      <c r="ERH52" s="556"/>
      <c r="ERI52" s="556"/>
      <c r="ERJ52" s="556"/>
      <c r="ERK52" s="556"/>
      <c r="ERL52" s="556"/>
      <c r="ERM52" s="556"/>
      <c r="ERN52" s="556"/>
      <c r="ERO52" s="556"/>
      <c r="ERP52" s="556"/>
      <c r="ERQ52" s="556"/>
      <c r="ERR52" s="556"/>
      <c r="ERS52" s="556"/>
      <c r="ERT52" s="556"/>
      <c r="ERU52" s="556"/>
      <c r="ERV52" s="556"/>
      <c r="ERW52" s="556"/>
      <c r="ERX52" s="556"/>
      <c r="ERY52" s="556"/>
      <c r="ERZ52" s="556"/>
      <c r="ESA52" s="556"/>
      <c r="ESB52" s="556"/>
      <c r="ESC52" s="556"/>
      <c r="ESD52" s="556"/>
      <c r="ESE52" s="556"/>
      <c r="ESF52" s="556"/>
      <c r="ESG52" s="556"/>
      <c r="ESH52" s="556"/>
      <c r="ESI52" s="556"/>
      <c r="ESJ52" s="556"/>
      <c r="ESK52" s="556"/>
      <c r="ESL52" s="556"/>
      <c r="ESM52" s="556"/>
      <c r="ESN52" s="556"/>
      <c r="ESO52" s="556"/>
      <c r="ESP52" s="556"/>
      <c r="ESQ52" s="556"/>
      <c r="ESR52" s="556"/>
      <c r="ESS52" s="556"/>
      <c r="EST52" s="556"/>
      <c r="ESU52" s="556"/>
      <c r="ESV52" s="556"/>
      <c r="ESW52" s="556"/>
      <c r="ESX52" s="556"/>
      <c r="ESY52" s="556"/>
      <c r="ESZ52" s="556"/>
      <c r="ETA52" s="556"/>
      <c r="ETB52" s="556"/>
      <c r="ETC52" s="556"/>
      <c r="ETD52" s="556"/>
      <c r="ETE52" s="556"/>
      <c r="ETF52" s="556"/>
      <c r="ETG52" s="556"/>
      <c r="ETH52" s="556"/>
      <c r="ETI52" s="556"/>
      <c r="ETJ52" s="556"/>
      <c r="ETK52" s="556"/>
      <c r="ETL52" s="556"/>
      <c r="ETM52" s="556"/>
      <c r="ETN52" s="556"/>
      <c r="ETO52" s="556"/>
      <c r="ETP52" s="556"/>
      <c r="ETQ52" s="556"/>
      <c r="ETR52" s="556"/>
      <c r="ETS52" s="556"/>
      <c r="ETT52" s="556"/>
      <c r="ETU52" s="556"/>
      <c r="ETV52" s="556"/>
      <c r="ETW52" s="556"/>
      <c r="ETX52" s="556"/>
      <c r="ETY52" s="556"/>
      <c r="ETZ52" s="556"/>
      <c r="EUA52" s="556"/>
      <c r="EUB52" s="556"/>
      <c r="EUC52" s="556"/>
      <c r="EUD52" s="556"/>
      <c r="EUE52" s="556"/>
      <c r="EUF52" s="556"/>
      <c r="EUG52" s="556"/>
      <c r="EUH52" s="556"/>
      <c r="EUI52" s="556"/>
      <c r="EUJ52" s="556"/>
      <c r="EUK52" s="556"/>
      <c r="EUL52" s="556"/>
      <c r="EUM52" s="556"/>
      <c r="EUN52" s="556"/>
      <c r="EUO52" s="556"/>
      <c r="EUP52" s="556"/>
      <c r="EUQ52" s="556"/>
      <c r="EUR52" s="556"/>
      <c r="EUS52" s="556"/>
      <c r="EUT52" s="556"/>
      <c r="EUU52" s="556"/>
      <c r="EUV52" s="556"/>
      <c r="EUW52" s="556"/>
      <c r="EUX52" s="556"/>
      <c r="EUY52" s="556"/>
      <c r="EUZ52" s="556"/>
      <c r="EVA52" s="556"/>
      <c r="EVB52" s="556"/>
      <c r="EVC52" s="556"/>
      <c r="EVD52" s="556"/>
      <c r="EVE52" s="556"/>
      <c r="EVF52" s="556"/>
      <c r="EVG52" s="556"/>
      <c r="EVH52" s="556"/>
      <c r="EVI52" s="556"/>
      <c r="EVJ52" s="556"/>
      <c r="EVK52" s="556"/>
      <c r="EVL52" s="556"/>
      <c r="EVM52" s="556"/>
      <c r="EVN52" s="556"/>
      <c r="EVO52" s="556"/>
      <c r="EVP52" s="556"/>
      <c r="EVQ52" s="556"/>
      <c r="EVR52" s="556"/>
      <c r="EVS52" s="556"/>
      <c r="EVT52" s="556"/>
      <c r="EVU52" s="556"/>
      <c r="EVV52" s="556"/>
      <c r="EVW52" s="556"/>
      <c r="EVX52" s="556"/>
      <c r="EVY52" s="556"/>
      <c r="EVZ52" s="556"/>
      <c r="EWA52" s="556"/>
      <c r="EWB52" s="556"/>
      <c r="EWC52" s="556"/>
      <c r="EWD52" s="556"/>
      <c r="EWE52" s="556"/>
      <c r="EWF52" s="556"/>
      <c r="EWG52" s="556"/>
      <c r="EWH52" s="556"/>
      <c r="EWI52" s="556"/>
      <c r="EWJ52" s="556"/>
      <c r="EWK52" s="556"/>
      <c r="EWL52" s="556"/>
      <c r="EWM52" s="556"/>
      <c r="EWN52" s="556"/>
      <c r="EWO52" s="556"/>
      <c r="EWP52" s="556"/>
      <c r="EWQ52" s="556"/>
      <c r="EWR52" s="556"/>
      <c r="EWS52" s="556"/>
      <c r="EWT52" s="556"/>
      <c r="EWU52" s="556"/>
      <c r="EWV52" s="556"/>
      <c r="EWW52" s="556"/>
      <c r="EWX52" s="556"/>
      <c r="EWY52" s="556"/>
      <c r="EWZ52" s="556"/>
      <c r="EXA52" s="556"/>
      <c r="EXB52" s="556"/>
      <c r="EXC52" s="556"/>
      <c r="EXD52" s="556"/>
      <c r="EXE52" s="556"/>
      <c r="EXF52" s="556"/>
      <c r="EXG52" s="556"/>
      <c r="EXH52" s="556"/>
      <c r="EXI52" s="556"/>
      <c r="EXJ52" s="556"/>
      <c r="EXK52" s="556"/>
      <c r="EXL52" s="556"/>
      <c r="EXM52" s="556"/>
      <c r="EXN52" s="556"/>
      <c r="EXO52" s="556"/>
      <c r="EXP52" s="556"/>
      <c r="EXQ52" s="556"/>
      <c r="EXR52" s="556"/>
      <c r="EXS52" s="556"/>
      <c r="EXT52" s="556"/>
      <c r="EXU52" s="556"/>
      <c r="EXV52" s="556"/>
      <c r="EXW52" s="556"/>
      <c r="EXX52" s="556"/>
      <c r="EXY52" s="556"/>
      <c r="EXZ52" s="556"/>
      <c r="EYA52" s="556"/>
      <c r="EYB52" s="556"/>
      <c r="EYC52" s="556"/>
      <c r="EYD52" s="556"/>
      <c r="EYE52" s="556"/>
      <c r="EYF52" s="556"/>
      <c r="EYG52" s="556"/>
      <c r="EYH52" s="556"/>
      <c r="EYI52" s="556"/>
      <c r="EYJ52" s="556"/>
      <c r="EYK52" s="556"/>
      <c r="EYL52" s="556"/>
      <c r="EYM52" s="556"/>
      <c r="EYN52" s="556"/>
      <c r="EYO52" s="556"/>
      <c r="EYP52" s="556"/>
      <c r="EYQ52" s="556"/>
      <c r="EYR52" s="556"/>
      <c r="EYS52" s="556"/>
      <c r="EYT52" s="556"/>
      <c r="EYU52" s="556"/>
      <c r="EYV52" s="556"/>
      <c r="EYW52" s="556"/>
      <c r="EYX52" s="556"/>
      <c r="EYY52" s="556"/>
      <c r="EYZ52" s="556"/>
      <c r="EZA52" s="556"/>
      <c r="EZB52" s="556"/>
      <c r="EZC52" s="556"/>
      <c r="EZD52" s="556"/>
      <c r="EZE52" s="556"/>
      <c r="EZF52" s="556"/>
      <c r="EZG52" s="556"/>
      <c r="EZH52" s="556"/>
      <c r="EZI52" s="556"/>
      <c r="EZJ52" s="556"/>
      <c r="EZK52" s="556"/>
      <c r="EZL52" s="556"/>
      <c r="EZM52" s="556"/>
      <c r="EZN52" s="556"/>
      <c r="EZO52" s="556"/>
      <c r="EZP52" s="556"/>
      <c r="EZQ52" s="556"/>
      <c r="EZR52" s="556"/>
      <c r="EZS52" s="556"/>
      <c r="EZT52" s="556"/>
      <c r="EZU52" s="556"/>
      <c r="EZV52" s="556"/>
      <c r="EZW52" s="556"/>
      <c r="EZX52" s="556"/>
      <c r="EZY52" s="556"/>
      <c r="EZZ52" s="556"/>
      <c r="FAA52" s="556"/>
      <c r="FAB52" s="556"/>
      <c r="FAC52" s="556"/>
      <c r="FAD52" s="556"/>
      <c r="FAE52" s="556"/>
      <c r="FAF52" s="556"/>
      <c r="FAG52" s="556"/>
      <c r="FAH52" s="556"/>
      <c r="FAI52" s="556"/>
      <c r="FAJ52" s="556"/>
      <c r="FAK52" s="556"/>
      <c r="FAL52" s="556"/>
      <c r="FAM52" s="556"/>
      <c r="FAN52" s="556"/>
      <c r="FAO52" s="556"/>
      <c r="FAP52" s="556"/>
      <c r="FAQ52" s="556"/>
      <c r="FAR52" s="556"/>
      <c r="FAS52" s="556"/>
      <c r="FAT52" s="556"/>
      <c r="FAU52" s="556"/>
      <c r="FAV52" s="556"/>
      <c r="FAW52" s="556"/>
      <c r="FAX52" s="556"/>
      <c r="FAY52" s="556"/>
      <c r="FAZ52" s="556"/>
      <c r="FBA52" s="556"/>
      <c r="FBB52" s="556"/>
      <c r="FBC52" s="556"/>
      <c r="FBD52" s="556"/>
      <c r="FBE52" s="556"/>
      <c r="FBF52" s="556"/>
      <c r="FBG52" s="556"/>
      <c r="FBH52" s="556"/>
      <c r="FBI52" s="556"/>
      <c r="FBJ52" s="556"/>
      <c r="FBK52" s="556"/>
      <c r="FBL52" s="556"/>
      <c r="FBM52" s="556"/>
      <c r="FBN52" s="556"/>
      <c r="FBO52" s="556"/>
      <c r="FBP52" s="556"/>
      <c r="FBQ52" s="556"/>
      <c r="FBR52" s="556"/>
      <c r="FBS52" s="556"/>
      <c r="FBT52" s="556"/>
      <c r="FBU52" s="556"/>
      <c r="FBV52" s="556"/>
      <c r="FBW52" s="556"/>
      <c r="FBX52" s="556"/>
      <c r="FBY52" s="556"/>
      <c r="FBZ52" s="556"/>
      <c r="FCA52" s="556"/>
      <c r="FCB52" s="556"/>
      <c r="FCC52" s="556"/>
      <c r="FCD52" s="556"/>
      <c r="FCE52" s="556"/>
      <c r="FCF52" s="556"/>
      <c r="FCG52" s="556"/>
      <c r="FCH52" s="556"/>
      <c r="FCI52" s="556"/>
      <c r="FCJ52" s="556"/>
      <c r="FCK52" s="556"/>
      <c r="FCL52" s="556"/>
      <c r="FCM52" s="556"/>
      <c r="FCN52" s="556"/>
      <c r="FCO52" s="556"/>
      <c r="FCP52" s="556"/>
      <c r="FCQ52" s="556"/>
      <c r="FCR52" s="556"/>
      <c r="FCS52" s="556"/>
      <c r="FCT52" s="556"/>
      <c r="FCU52" s="556"/>
      <c r="FCV52" s="556"/>
      <c r="FCW52" s="556"/>
      <c r="FCX52" s="556"/>
      <c r="FCY52" s="556"/>
      <c r="FCZ52" s="556"/>
      <c r="FDA52" s="556"/>
      <c r="FDB52" s="556"/>
      <c r="FDC52" s="556"/>
      <c r="FDD52" s="556"/>
      <c r="FDE52" s="556"/>
      <c r="FDF52" s="556"/>
      <c r="FDG52" s="556"/>
      <c r="FDH52" s="556"/>
      <c r="FDI52" s="556"/>
      <c r="FDJ52" s="556"/>
      <c r="FDK52" s="556"/>
      <c r="FDL52" s="556"/>
      <c r="FDM52" s="556"/>
      <c r="FDN52" s="556"/>
      <c r="FDO52" s="556"/>
      <c r="FDP52" s="556"/>
      <c r="FDQ52" s="556"/>
      <c r="FDR52" s="556"/>
      <c r="FDS52" s="556"/>
      <c r="FDT52" s="556"/>
      <c r="FDU52" s="556"/>
      <c r="FDV52" s="556"/>
      <c r="FDW52" s="556"/>
      <c r="FDX52" s="556"/>
      <c r="FDY52" s="556"/>
      <c r="FDZ52" s="556"/>
      <c r="FEA52" s="556"/>
      <c r="FEB52" s="556"/>
      <c r="FEC52" s="556"/>
      <c r="FED52" s="556"/>
      <c r="FEE52" s="556"/>
      <c r="FEF52" s="556"/>
      <c r="FEG52" s="556"/>
      <c r="FEH52" s="556"/>
      <c r="FEI52" s="556"/>
      <c r="FEJ52" s="556"/>
      <c r="FEK52" s="556"/>
      <c r="FEL52" s="556"/>
      <c r="FEM52" s="556"/>
      <c r="FEN52" s="556"/>
      <c r="FEO52" s="556"/>
      <c r="FEP52" s="556"/>
      <c r="FEQ52" s="556"/>
      <c r="FER52" s="556"/>
      <c r="FES52" s="556"/>
      <c r="FET52" s="556"/>
      <c r="FEU52" s="556"/>
      <c r="FEV52" s="556"/>
      <c r="FEW52" s="556"/>
      <c r="FEX52" s="556"/>
      <c r="FEY52" s="556"/>
      <c r="FEZ52" s="556"/>
      <c r="FFA52" s="556"/>
      <c r="FFB52" s="556"/>
      <c r="FFC52" s="556"/>
      <c r="FFD52" s="556"/>
      <c r="FFE52" s="556"/>
      <c r="FFF52" s="556"/>
      <c r="FFG52" s="556"/>
      <c r="FFH52" s="556"/>
      <c r="FFI52" s="556"/>
      <c r="FFJ52" s="556"/>
      <c r="FFK52" s="556"/>
      <c r="FFL52" s="556"/>
      <c r="FFM52" s="556"/>
      <c r="FFN52" s="556"/>
      <c r="FFO52" s="556"/>
      <c r="FFP52" s="556"/>
      <c r="FFQ52" s="556"/>
      <c r="FFR52" s="556"/>
      <c r="FFS52" s="556"/>
      <c r="FFT52" s="556"/>
      <c r="FFU52" s="556"/>
      <c r="FFV52" s="556"/>
      <c r="FFW52" s="556"/>
      <c r="FFX52" s="556"/>
      <c r="FFY52" s="556"/>
      <c r="FFZ52" s="556"/>
      <c r="FGA52" s="556"/>
      <c r="FGB52" s="556"/>
      <c r="FGC52" s="556"/>
      <c r="FGD52" s="556"/>
      <c r="FGE52" s="556"/>
      <c r="FGF52" s="556"/>
      <c r="FGG52" s="556"/>
      <c r="FGH52" s="556"/>
      <c r="FGI52" s="556"/>
      <c r="FGJ52" s="556"/>
      <c r="FGK52" s="556"/>
      <c r="FGL52" s="556"/>
      <c r="FGM52" s="556"/>
      <c r="FGN52" s="556"/>
      <c r="FGO52" s="556"/>
      <c r="FGP52" s="556"/>
      <c r="FGQ52" s="556"/>
      <c r="FGR52" s="556"/>
      <c r="FGS52" s="556"/>
      <c r="FGT52" s="556"/>
      <c r="FGU52" s="556"/>
      <c r="FGV52" s="556"/>
      <c r="FGW52" s="556"/>
      <c r="FGX52" s="556"/>
      <c r="FGY52" s="556"/>
      <c r="FGZ52" s="556"/>
      <c r="FHA52" s="556"/>
      <c r="FHB52" s="556"/>
      <c r="FHC52" s="556"/>
      <c r="FHD52" s="556"/>
      <c r="FHE52" s="556"/>
      <c r="FHF52" s="556"/>
      <c r="FHG52" s="556"/>
      <c r="FHH52" s="556"/>
      <c r="FHI52" s="556"/>
      <c r="FHJ52" s="556"/>
      <c r="FHK52" s="556"/>
      <c r="FHL52" s="556"/>
      <c r="FHM52" s="556"/>
      <c r="FHN52" s="556"/>
      <c r="FHO52" s="556"/>
      <c r="FHP52" s="556"/>
      <c r="FHQ52" s="556"/>
      <c r="FHR52" s="556"/>
      <c r="FHS52" s="556"/>
      <c r="FHT52" s="556"/>
      <c r="FHU52" s="556"/>
      <c r="FHV52" s="556"/>
      <c r="FHW52" s="556"/>
      <c r="FHX52" s="556"/>
      <c r="FHY52" s="556"/>
      <c r="FHZ52" s="556"/>
      <c r="FIA52" s="556"/>
      <c r="FIB52" s="556"/>
      <c r="FIC52" s="556"/>
      <c r="FID52" s="556"/>
      <c r="FIE52" s="556"/>
      <c r="FIF52" s="556"/>
      <c r="FIG52" s="556"/>
      <c r="FIH52" s="556"/>
      <c r="FII52" s="556"/>
      <c r="FIJ52" s="556"/>
      <c r="FIK52" s="556"/>
      <c r="FIL52" s="556"/>
      <c r="FIM52" s="556"/>
      <c r="FIN52" s="556"/>
      <c r="FIO52" s="556"/>
      <c r="FIP52" s="556"/>
      <c r="FIQ52" s="556"/>
      <c r="FIR52" s="556"/>
      <c r="FIS52" s="556"/>
      <c r="FIT52" s="556"/>
      <c r="FIU52" s="556"/>
      <c r="FIV52" s="556"/>
      <c r="FIW52" s="556"/>
      <c r="FIX52" s="556"/>
      <c r="FIY52" s="556"/>
      <c r="FIZ52" s="556"/>
      <c r="FJA52" s="556"/>
      <c r="FJB52" s="556"/>
      <c r="FJC52" s="556"/>
      <c r="FJD52" s="556"/>
      <c r="FJE52" s="556"/>
      <c r="FJF52" s="556"/>
      <c r="FJG52" s="556"/>
      <c r="FJH52" s="556"/>
      <c r="FJI52" s="556"/>
      <c r="FJJ52" s="556"/>
      <c r="FJK52" s="556"/>
      <c r="FJL52" s="556"/>
      <c r="FJM52" s="556"/>
      <c r="FJN52" s="556"/>
      <c r="FJO52" s="556"/>
      <c r="FJP52" s="556"/>
      <c r="FJQ52" s="556"/>
      <c r="FJR52" s="556"/>
      <c r="FJS52" s="556"/>
      <c r="FJT52" s="556"/>
      <c r="FJU52" s="556"/>
      <c r="FJV52" s="556"/>
      <c r="FJW52" s="556"/>
      <c r="FJX52" s="556"/>
      <c r="FJY52" s="556"/>
      <c r="FJZ52" s="556"/>
      <c r="FKA52" s="556"/>
      <c r="FKB52" s="556"/>
      <c r="FKC52" s="556"/>
      <c r="FKD52" s="556"/>
      <c r="FKE52" s="556"/>
      <c r="FKF52" s="556"/>
      <c r="FKG52" s="556"/>
      <c r="FKH52" s="556"/>
      <c r="FKI52" s="556"/>
      <c r="FKJ52" s="556"/>
      <c r="FKK52" s="556"/>
      <c r="FKL52" s="556"/>
      <c r="FKM52" s="556"/>
      <c r="FKN52" s="556"/>
      <c r="FKO52" s="556"/>
      <c r="FKP52" s="556"/>
      <c r="FKQ52" s="556"/>
      <c r="FKR52" s="556"/>
      <c r="FKS52" s="556"/>
      <c r="FKT52" s="556"/>
      <c r="FKU52" s="556"/>
      <c r="FKV52" s="556"/>
      <c r="FKW52" s="556"/>
      <c r="FKX52" s="556"/>
      <c r="FKY52" s="556"/>
      <c r="FKZ52" s="556"/>
      <c r="FLA52" s="556"/>
      <c r="FLB52" s="556"/>
      <c r="FLC52" s="556"/>
      <c r="FLD52" s="556"/>
      <c r="FLE52" s="556"/>
      <c r="FLF52" s="556"/>
      <c r="FLG52" s="556"/>
      <c r="FLH52" s="556"/>
      <c r="FLI52" s="556"/>
      <c r="FLJ52" s="556"/>
      <c r="FLK52" s="556"/>
      <c r="FLL52" s="556"/>
      <c r="FLM52" s="556"/>
      <c r="FLN52" s="556"/>
      <c r="FLO52" s="556"/>
      <c r="FLP52" s="556"/>
      <c r="FLQ52" s="556"/>
      <c r="FLR52" s="556"/>
      <c r="FLS52" s="556"/>
      <c r="FLT52" s="556"/>
      <c r="FLU52" s="556"/>
      <c r="FLV52" s="556"/>
      <c r="FLW52" s="556"/>
      <c r="FLX52" s="556"/>
      <c r="FLY52" s="556"/>
      <c r="FLZ52" s="556"/>
      <c r="FMA52" s="556"/>
      <c r="FMB52" s="556"/>
      <c r="FMC52" s="556"/>
      <c r="FMD52" s="556"/>
      <c r="FME52" s="556"/>
      <c r="FMF52" s="556"/>
      <c r="FMG52" s="556"/>
      <c r="FMH52" s="556"/>
      <c r="FMI52" s="556"/>
      <c r="FMJ52" s="556"/>
      <c r="FMK52" s="556"/>
      <c r="FML52" s="556"/>
      <c r="FMM52" s="556"/>
      <c r="FMN52" s="556"/>
      <c r="FMO52" s="556"/>
      <c r="FMP52" s="556"/>
      <c r="FMQ52" s="556"/>
      <c r="FMR52" s="556"/>
      <c r="FMS52" s="556"/>
      <c r="FMT52" s="556"/>
      <c r="FMU52" s="556"/>
      <c r="FMV52" s="556"/>
      <c r="FMW52" s="556"/>
      <c r="FMX52" s="556"/>
      <c r="FMY52" s="556"/>
      <c r="FMZ52" s="556"/>
      <c r="FNA52" s="556"/>
      <c r="FNB52" s="556"/>
      <c r="FNC52" s="556"/>
      <c r="FND52" s="556"/>
      <c r="FNE52" s="556"/>
      <c r="FNF52" s="556"/>
      <c r="FNG52" s="556"/>
      <c r="FNH52" s="556"/>
      <c r="FNI52" s="556"/>
      <c r="FNJ52" s="556"/>
      <c r="FNK52" s="556"/>
      <c r="FNL52" s="556"/>
      <c r="FNM52" s="556"/>
      <c r="FNN52" s="556"/>
      <c r="FNO52" s="556"/>
      <c r="FNP52" s="556"/>
      <c r="FNQ52" s="556"/>
      <c r="FNR52" s="556"/>
      <c r="FNS52" s="556"/>
      <c r="FNT52" s="556"/>
      <c r="FNU52" s="556"/>
      <c r="FNV52" s="556"/>
      <c r="FNW52" s="556"/>
      <c r="FNX52" s="556"/>
      <c r="FNY52" s="556"/>
      <c r="FNZ52" s="556"/>
      <c r="FOA52" s="556"/>
      <c r="FOB52" s="556"/>
      <c r="FOC52" s="556"/>
      <c r="FOD52" s="556"/>
      <c r="FOE52" s="556"/>
      <c r="FOF52" s="556"/>
      <c r="FOG52" s="556"/>
      <c r="FOH52" s="556"/>
      <c r="FOI52" s="556"/>
      <c r="FOJ52" s="556"/>
      <c r="FOK52" s="556"/>
      <c r="FOL52" s="556"/>
      <c r="FOM52" s="556"/>
      <c r="FON52" s="556"/>
      <c r="FOO52" s="556"/>
      <c r="FOP52" s="556"/>
      <c r="FOQ52" s="556"/>
      <c r="FOR52" s="556"/>
      <c r="FOS52" s="556"/>
      <c r="FOT52" s="556"/>
      <c r="FOU52" s="556"/>
      <c r="FOV52" s="556"/>
      <c r="FOW52" s="556"/>
      <c r="FOX52" s="556"/>
      <c r="FOY52" s="556"/>
      <c r="FOZ52" s="556"/>
      <c r="FPA52" s="556"/>
      <c r="FPB52" s="556"/>
      <c r="FPC52" s="556"/>
      <c r="FPD52" s="556"/>
      <c r="FPE52" s="556"/>
      <c r="FPF52" s="556"/>
      <c r="FPG52" s="556"/>
      <c r="FPH52" s="556"/>
      <c r="FPI52" s="556"/>
      <c r="FPJ52" s="556"/>
      <c r="FPK52" s="556"/>
      <c r="FPL52" s="556"/>
      <c r="FPM52" s="556"/>
      <c r="FPN52" s="556"/>
      <c r="FPO52" s="556"/>
      <c r="FPP52" s="556"/>
      <c r="FPQ52" s="556"/>
      <c r="FPR52" s="556"/>
      <c r="FPS52" s="556"/>
      <c r="FPT52" s="556"/>
      <c r="FPU52" s="556"/>
      <c r="FPV52" s="556"/>
      <c r="FPW52" s="556"/>
      <c r="FPX52" s="556"/>
      <c r="FPY52" s="556"/>
      <c r="FPZ52" s="556"/>
      <c r="FQA52" s="556"/>
      <c r="FQB52" s="556"/>
      <c r="FQC52" s="556"/>
      <c r="FQD52" s="556"/>
      <c r="FQE52" s="556"/>
      <c r="FQF52" s="556"/>
      <c r="FQG52" s="556"/>
      <c r="FQH52" s="556"/>
      <c r="FQI52" s="556"/>
      <c r="FQJ52" s="556"/>
      <c r="FQK52" s="556"/>
      <c r="FQL52" s="556"/>
      <c r="FQM52" s="556"/>
      <c r="FQN52" s="556"/>
      <c r="FQO52" s="556"/>
      <c r="FQP52" s="556"/>
      <c r="FQQ52" s="556"/>
      <c r="FQR52" s="556"/>
      <c r="FQS52" s="556"/>
      <c r="FQT52" s="556"/>
      <c r="FQU52" s="556"/>
      <c r="FQV52" s="556"/>
      <c r="FQW52" s="556"/>
      <c r="FQX52" s="556"/>
      <c r="FQY52" s="556"/>
      <c r="FQZ52" s="556"/>
      <c r="FRA52" s="556"/>
      <c r="FRB52" s="556"/>
      <c r="FRC52" s="556"/>
      <c r="FRD52" s="556"/>
      <c r="FRE52" s="556"/>
      <c r="FRF52" s="556"/>
      <c r="FRG52" s="556"/>
      <c r="FRH52" s="556"/>
      <c r="FRI52" s="556"/>
      <c r="FRJ52" s="556"/>
      <c r="FRK52" s="556"/>
      <c r="FRL52" s="556"/>
      <c r="FRM52" s="556"/>
      <c r="FRN52" s="556"/>
      <c r="FRO52" s="556"/>
      <c r="FRP52" s="556"/>
      <c r="FRQ52" s="556"/>
      <c r="FRR52" s="556"/>
      <c r="FRS52" s="556"/>
      <c r="FRT52" s="556"/>
      <c r="FRU52" s="556"/>
      <c r="FRV52" s="556"/>
      <c r="FRW52" s="556"/>
      <c r="FRX52" s="556"/>
      <c r="FRY52" s="556"/>
      <c r="FRZ52" s="556"/>
      <c r="FSA52" s="556"/>
      <c r="FSB52" s="556"/>
      <c r="FSC52" s="556"/>
      <c r="FSD52" s="556"/>
      <c r="FSE52" s="556"/>
      <c r="FSF52" s="556"/>
      <c r="FSG52" s="556"/>
      <c r="FSH52" s="556"/>
      <c r="FSI52" s="556"/>
      <c r="FSJ52" s="556"/>
      <c r="FSK52" s="556"/>
      <c r="FSL52" s="556"/>
      <c r="FSM52" s="556"/>
      <c r="FSN52" s="556"/>
      <c r="FSO52" s="556"/>
      <c r="FSP52" s="556"/>
      <c r="FSQ52" s="556"/>
      <c r="FSR52" s="556"/>
      <c r="FSS52" s="556"/>
      <c r="FST52" s="556"/>
      <c r="FSU52" s="556"/>
      <c r="FSV52" s="556"/>
      <c r="FSW52" s="556"/>
      <c r="FSX52" s="556"/>
      <c r="FSY52" s="556"/>
      <c r="FSZ52" s="556"/>
      <c r="FTA52" s="556"/>
      <c r="FTB52" s="556"/>
      <c r="FTC52" s="556"/>
      <c r="FTD52" s="556"/>
      <c r="FTE52" s="556"/>
      <c r="FTF52" s="556"/>
      <c r="FTG52" s="556"/>
      <c r="FTH52" s="556"/>
      <c r="FTI52" s="556"/>
      <c r="FTJ52" s="556"/>
      <c r="FTK52" s="556"/>
      <c r="FTL52" s="556"/>
      <c r="FTM52" s="556"/>
      <c r="FTN52" s="556"/>
      <c r="FTO52" s="556"/>
      <c r="FTP52" s="556"/>
      <c r="FTQ52" s="556"/>
      <c r="FTR52" s="556"/>
      <c r="FTS52" s="556"/>
      <c r="FTT52" s="556"/>
      <c r="FTU52" s="556"/>
      <c r="FTV52" s="556"/>
      <c r="FTW52" s="556"/>
      <c r="FTX52" s="556"/>
      <c r="FTY52" s="556"/>
      <c r="FTZ52" s="556"/>
      <c r="FUA52" s="556"/>
      <c r="FUB52" s="556"/>
      <c r="FUC52" s="556"/>
      <c r="FUD52" s="556"/>
      <c r="FUE52" s="556"/>
      <c r="FUF52" s="556"/>
      <c r="FUG52" s="556"/>
      <c r="FUH52" s="556"/>
      <c r="FUI52" s="556"/>
      <c r="FUJ52" s="556"/>
      <c r="FUK52" s="556"/>
      <c r="FUL52" s="556"/>
      <c r="FUM52" s="556"/>
      <c r="FUN52" s="556"/>
      <c r="FUO52" s="556"/>
      <c r="FUP52" s="556"/>
      <c r="FUQ52" s="556"/>
      <c r="FUR52" s="556"/>
      <c r="FUS52" s="556"/>
      <c r="FUT52" s="556"/>
      <c r="FUU52" s="556"/>
      <c r="FUV52" s="556"/>
      <c r="FUW52" s="556"/>
      <c r="FUX52" s="556"/>
      <c r="FUY52" s="556"/>
      <c r="FUZ52" s="556"/>
      <c r="FVA52" s="556"/>
      <c r="FVB52" s="556"/>
      <c r="FVC52" s="556"/>
      <c r="FVD52" s="556"/>
      <c r="FVE52" s="556"/>
      <c r="FVF52" s="556"/>
      <c r="FVG52" s="556"/>
      <c r="FVH52" s="556"/>
      <c r="FVI52" s="556"/>
      <c r="FVJ52" s="556"/>
      <c r="FVK52" s="556"/>
      <c r="FVL52" s="556"/>
      <c r="FVM52" s="556"/>
      <c r="FVN52" s="556"/>
      <c r="FVO52" s="556"/>
      <c r="FVP52" s="556"/>
      <c r="FVQ52" s="556"/>
      <c r="FVR52" s="556"/>
      <c r="FVS52" s="556"/>
      <c r="FVT52" s="556"/>
      <c r="FVU52" s="556"/>
      <c r="FVV52" s="556"/>
      <c r="FVW52" s="556"/>
      <c r="FVX52" s="556"/>
      <c r="FVY52" s="556"/>
      <c r="FVZ52" s="556"/>
      <c r="FWA52" s="556"/>
      <c r="FWB52" s="556"/>
      <c r="FWC52" s="556"/>
      <c r="FWD52" s="556"/>
      <c r="FWE52" s="556"/>
      <c r="FWF52" s="556"/>
      <c r="FWG52" s="556"/>
      <c r="FWH52" s="556"/>
      <c r="FWI52" s="556"/>
      <c r="FWJ52" s="556"/>
      <c r="FWK52" s="556"/>
      <c r="FWL52" s="556"/>
      <c r="FWM52" s="556"/>
      <c r="FWN52" s="556"/>
      <c r="FWO52" s="556"/>
      <c r="FWP52" s="556"/>
      <c r="FWQ52" s="556"/>
      <c r="FWR52" s="556"/>
      <c r="FWS52" s="556"/>
      <c r="FWT52" s="556"/>
      <c r="FWU52" s="556"/>
      <c r="FWV52" s="556"/>
      <c r="FWW52" s="556"/>
      <c r="FWX52" s="556"/>
      <c r="FWY52" s="556"/>
      <c r="FWZ52" s="556"/>
      <c r="FXA52" s="556"/>
      <c r="FXB52" s="556"/>
      <c r="FXC52" s="556"/>
      <c r="FXD52" s="556"/>
      <c r="FXE52" s="556"/>
      <c r="FXF52" s="556"/>
      <c r="FXG52" s="556"/>
      <c r="FXH52" s="556"/>
      <c r="FXI52" s="556"/>
      <c r="FXJ52" s="556"/>
      <c r="FXK52" s="556"/>
      <c r="FXL52" s="556"/>
      <c r="FXM52" s="556"/>
      <c r="FXN52" s="556"/>
      <c r="FXO52" s="556"/>
      <c r="FXP52" s="556"/>
      <c r="FXQ52" s="556"/>
      <c r="FXR52" s="556"/>
      <c r="FXS52" s="556"/>
      <c r="FXT52" s="556"/>
      <c r="FXU52" s="556"/>
      <c r="FXV52" s="556"/>
      <c r="FXW52" s="556"/>
      <c r="FXX52" s="556"/>
      <c r="FXY52" s="556"/>
      <c r="FXZ52" s="556"/>
      <c r="FYA52" s="556"/>
      <c r="FYB52" s="556"/>
      <c r="FYC52" s="556"/>
      <c r="FYD52" s="556"/>
      <c r="FYE52" s="556"/>
      <c r="FYF52" s="556"/>
      <c r="FYG52" s="556"/>
      <c r="FYH52" s="556"/>
      <c r="FYI52" s="556"/>
      <c r="FYJ52" s="556"/>
      <c r="FYK52" s="556"/>
      <c r="FYL52" s="556"/>
      <c r="FYM52" s="556"/>
      <c r="FYN52" s="556"/>
      <c r="FYO52" s="556"/>
      <c r="FYP52" s="556"/>
      <c r="FYQ52" s="556"/>
      <c r="FYR52" s="556"/>
      <c r="FYS52" s="556"/>
      <c r="FYT52" s="556"/>
      <c r="FYU52" s="556"/>
      <c r="FYV52" s="556"/>
      <c r="FYW52" s="556"/>
      <c r="FYX52" s="556"/>
      <c r="FYY52" s="556"/>
      <c r="FYZ52" s="556"/>
      <c r="FZA52" s="556"/>
      <c r="FZB52" s="556"/>
      <c r="FZC52" s="556"/>
      <c r="FZD52" s="556"/>
      <c r="FZE52" s="556"/>
      <c r="FZF52" s="556"/>
      <c r="FZG52" s="556"/>
      <c r="FZH52" s="556"/>
      <c r="FZI52" s="556"/>
      <c r="FZJ52" s="556"/>
      <c r="FZK52" s="556"/>
      <c r="FZL52" s="556"/>
      <c r="FZM52" s="556"/>
      <c r="FZN52" s="556"/>
      <c r="FZO52" s="556"/>
      <c r="FZP52" s="556"/>
      <c r="FZQ52" s="556"/>
      <c r="FZR52" s="556"/>
      <c r="FZS52" s="556"/>
      <c r="FZT52" s="556"/>
      <c r="FZU52" s="556"/>
      <c r="FZV52" s="556"/>
      <c r="FZW52" s="556"/>
      <c r="FZX52" s="556"/>
      <c r="FZY52" s="556"/>
      <c r="FZZ52" s="556"/>
      <c r="GAA52" s="556"/>
      <c r="GAB52" s="556"/>
      <c r="GAC52" s="556"/>
      <c r="GAD52" s="556"/>
      <c r="GAE52" s="556"/>
      <c r="GAF52" s="556"/>
      <c r="GAG52" s="556"/>
      <c r="GAH52" s="556"/>
      <c r="GAI52" s="556"/>
      <c r="GAJ52" s="556"/>
      <c r="GAK52" s="556"/>
      <c r="GAL52" s="556"/>
      <c r="GAM52" s="556"/>
      <c r="GAN52" s="556"/>
      <c r="GAO52" s="556"/>
      <c r="GAP52" s="556"/>
      <c r="GAQ52" s="556"/>
      <c r="GAR52" s="556"/>
      <c r="GAS52" s="556"/>
      <c r="GAT52" s="556"/>
      <c r="GAU52" s="556"/>
      <c r="GAV52" s="556"/>
      <c r="GAW52" s="556"/>
      <c r="GAX52" s="556"/>
      <c r="GAY52" s="556"/>
      <c r="GAZ52" s="556"/>
      <c r="GBA52" s="556"/>
      <c r="GBB52" s="556"/>
      <c r="GBC52" s="556"/>
      <c r="GBD52" s="556"/>
      <c r="GBE52" s="556"/>
      <c r="GBF52" s="556"/>
      <c r="GBG52" s="556"/>
      <c r="GBH52" s="556"/>
      <c r="GBI52" s="556"/>
      <c r="GBJ52" s="556"/>
      <c r="GBK52" s="556"/>
      <c r="GBL52" s="556"/>
      <c r="GBM52" s="556"/>
      <c r="GBN52" s="556"/>
      <c r="GBO52" s="556"/>
      <c r="GBP52" s="556"/>
      <c r="GBQ52" s="556"/>
      <c r="GBR52" s="556"/>
      <c r="GBS52" s="556"/>
      <c r="GBT52" s="556"/>
      <c r="GBU52" s="556"/>
      <c r="GBV52" s="556"/>
      <c r="GBW52" s="556"/>
      <c r="GBX52" s="556"/>
      <c r="GBY52" s="556"/>
      <c r="GBZ52" s="556"/>
      <c r="GCA52" s="556"/>
      <c r="GCB52" s="556"/>
      <c r="GCC52" s="556"/>
      <c r="GCD52" s="556"/>
      <c r="GCE52" s="556"/>
      <c r="GCF52" s="556"/>
      <c r="GCG52" s="556"/>
      <c r="GCH52" s="556"/>
      <c r="GCI52" s="556"/>
      <c r="GCJ52" s="556"/>
      <c r="GCK52" s="556"/>
      <c r="GCL52" s="556"/>
      <c r="GCM52" s="556"/>
      <c r="GCN52" s="556"/>
      <c r="GCO52" s="556"/>
      <c r="GCP52" s="556"/>
      <c r="GCQ52" s="556"/>
      <c r="GCR52" s="556"/>
      <c r="GCS52" s="556"/>
      <c r="GCT52" s="556"/>
      <c r="GCU52" s="556"/>
      <c r="GCV52" s="556"/>
      <c r="GCW52" s="556"/>
      <c r="GCX52" s="556"/>
      <c r="GCY52" s="556"/>
      <c r="GCZ52" s="556"/>
      <c r="GDA52" s="556"/>
      <c r="GDB52" s="556"/>
      <c r="GDC52" s="556"/>
      <c r="GDD52" s="556"/>
      <c r="GDE52" s="556"/>
      <c r="GDF52" s="556"/>
      <c r="GDG52" s="556"/>
      <c r="GDH52" s="556"/>
      <c r="GDI52" s="556"/>
      <c r="GDJ52" s="556"/>
      <c r="GDK52" s="556"/>
      <c r="GDL52" s="556"/>
      <c r="GDM52" s="556"/>
      <c r="GDN52" s="556"/>
      <c r="GDO52" s="556"/>
      <c r="GDP52" s="556"/>
      <c r="GDQ52" s="556"/>
      <c r="GDR52" s="556"/>
      <c r="GDS52" s="556"/>
      <c r="GDT52" s="556"/>
      <c r="GDU52" s="556"/>
      <c r="GDV52" s="556"/>
      <c r="GDW52" s="556"/>
      <c r="GDX52" s="556"/>
      <c r="GDY52" s="556"/>
      <c r="GDZ52" s="556"/>
      <c r="GEA52" s="556"/>
      <c r="GEB52" s="556"/>
      <c r="GEC52" s="556"/>
      <c r="GED52" s="556"/>
      <c r="GEE52" s="556"/>
      <c r="GEF52" s="556"/>
      <c r="GEG52" s="556"/>
      <c r="GEH52" s="556"/>
      <c r="GEI52" s="556"/>
      <c r="GEJ52" s="556"/>
      <c r="GEK52" s="556"/>
      <c r="GEL52" s="556"/>
      <c r="GEM52" s="556"/>
      <c r="GEN52" s="556"/>
      <c r="GEO52" s="556"/>
      <c r="GEP52" s="556"/>
      <c r="GEQ52" s="556"/>
      <c r="GER52" s="556"/>
      <c r="GES52" s="556"/>
      <c r="GET52" s="556"/>
      <c r="GEU52" s="556"/>
      <c r="GEV52" s="556"/>
      <c r="GEW52" s="556"/>
      <c r="GEX52" s="556"/>
      <c r="GEY52" s="556"/>
      <c r="GEZ52" s="556"/>
      <c r="GFA52" s="556"/>
      <c r="GFB52" s="556"/>
      <c r="GFC52" s="556"/>
      <c r="GFD52" s="556"/>
      <c r="GFE52" s="556"/>
      <c r="GFF52" s="556"/>
      <c r="GFG52" s="556"/>
      <c r="GFH52" s="556"/>
      <c r="GFI52" s="556"/>
      <c r="GFJ52" s="556"/>
      <c r="GFK52" s="556"/>
      <c r="GFL52" s="556"/>
      <c r="GFM52" s="556"/>
      <c r="GFN52" s="556"/>
      <c r="GFO52" s="556"/>
      <c r="GFP52" s="556"/>
      <c r="GFQ52" s="556"/>
      <c r="GFR52" s="556"/>
      <c r="GFS52" s="556"/>
      <c r="GFT52" s="556"/>
      <c r="GFU52" s="556"/>
      <c r="GFV52" s="556"/>
      <c r="GFW52" s="556"/>
      <c r="GFX52" s="556"/>
      <c r="GFY52" s="556"/>
      <c r="GFZ52" s="556"/>
      <c r="GGA52" s="556"/>
      <c r="GGB52" s="556"/>
      <c r="GGC52" s="556"/>
      <c r="GGD52" s="556"/>
      <c r="GGE52" s="556"/>
      <c r="GGF52" s="556"/>
      <c r="GGG52" s="556"/>
      <c r="GGH52" s="556"/>
      <c r="GGI52" s="556"/>
      <c r="GGJ52" s="556"/>
      <c r="GGK52" s="556"/>
      <c r="GGL52" s="556"/>
      <c r="GGM52" s="556"/>
      <c r="GGN52" s="556"/>
      <c r="GGO52" s="556"/>
      <c r="GGP52" s="556"/>
      <c r="GGQ52" s="556"/>
      <c r="GGR52" s="556"/>
      <c r="GGS52" s="556"/>
      <c r="GGT52" s="556"/>
      <c r="GGU52" s="556"/>
      <c r="GGV52" s="556"/>
      <c r="GGW52" s="556"/>
      <c r="GGX52" s="556"/>
      <c r="GGY52" s="556"/>
      <c r="GGZ52" s="556"/>
      <c r="GHA52" s="556"/>
      <c r="GHB52" s="556"/>
      <c r="GHC52" s="556"/>
      <c r="GHD52" s="556"/>
      <c r="GHE52" s="556"/>
      <c r="GHF52" s="556"/>
      <c r="GHG52" s="556"/>
      <c r="GHH52" s="556"/>
      <c r="GHI52" s="556"/>
      <c r="GHJ52" s="556"/>
      <c r="GHK52" s="556"/>
      <c r="GHL52" s="556"/>
      <c r="GHM52" s="556"/>
      <c r="GHN52" s="556"/>
      <c r="GHO52" s="556"/>
      <c r="GHP52" s="556"/>
      <c r="GHQ52" s="556"/>
      <c r="GHR52" s="556"/>
      <c r="GHS52" s="556"/>
      <c r="GHT52" s="556"/>
      <c r="GHU52" s="556"/>
      <c r="GHV52" s="556"/>
      <c r="GHW52" s="556"/>
      <c r="GHX52" s="556"/>
      <c r="GHY52" s="556"/>
      <c r="GHZ52" s="556"/>
      <c r="GIA52" s="556"/>
      <c r="GIB52" s="556"/>
      <c r="GIC52" s="556"/>
      <c r="GID52" s="556"/>
      <c r="GIE52" s="556"/>
      <c r="GIF52" s="556"/>
      <c r="GIG52" s="556"/>
      <c r="GIH52" s="556"/>
      <c r="GII52" s="556"/>
      <c r="GIJ52" s="556"/>
      <c r="GIK52" s="556"/>
      <c r="GIL52" s="556"/>
      <c r="GIM52" s="556"/>
      <c r="GIN52" s="556"/>
      <c r="GIO52" s="556"/>
      <c r="GIP52" s="556"/>
      <c r="GIQ52" s="556"/>
      <c r="GIR52" s="556"/>
      <c r="GIS52" s="556"/>
      <c r="GIT52" s="556"/>
      <c r="GIU52" s="556"/>
      <c r="GIV52" s="556"/>
      <c r="GIW52" s="556"/>
      <c r="GIX52" s="556"/>
      <c r="GIY52" s="556"/>
      <c r="GIZ52" s="556"/>
      <c r="GJA52" s="556"/>
      <c r="GJB52" s="556"/>
      <c r="GJC52" s="556"/>
      <c r="GJD52" s="556"/>
      <c r="GJE52" s="556"/>
      <c r="GJF52" s="556"/>
      <c r="GJG52" s="556"/>
      <c r="GJH52" s="556"/>
      <c r="GJI52" s="556"/>
      <c r="GJJ52" s="556"/>
      <c r="GJK52" s="556"/>
      <c r="GJL52" s="556"/>
      <c r="GJM52" s="556"/>
      <c r="GJN52" s="556"/>
      <c r="GJO52" s="556"/>
      <c r="GJP52" s="556"/>
      <c r="GJQ52" s="556"/>
      <c r="GJR52" s="556"/>
      <c r="GJS52" s="556"/>
      <c r="GJT52" s="556"/>
      <c r="GJU52" s="556"/>
      <c r="GJV52" s="556"/>
      <c r="GJW52" s="556"/>
      <c r="GJX52" s="556"/>
      <c r="GJY52" s="556"/>
      <c r="GJZ52" s="556"/>
      <c r="GKA52" s="556"/>
      <c r="GKB52" s="556"/>
      <c r="GKC52" s="556"/>
      <c r="GKD52" s="556"/>
      <c r="GKE52" s="556"/>
      <c r="GKF52" s="556"/>
      <c r="GKG52" s="556"/>
      <c r="GKH52" s="556"/>
      <c r="GKI52" s="556"/>
      <c r="GKJ52" s="556"/>
      <c r="GKK52" s="556"/>
      <c r="GKL52" s="556"/>
      <c r="GKM52" s="556"/>
      <c r="GKN52" s="556"/>
      <c r="GKO52" s="556"/>
      <c r="GKP52" s="556"/>
      <c r="GKQ52" s="556"/>
      <c r="GKR52" s="556"/>
      <c r="GKS52" s="556"/>
      <c r="GKT52" s="556"/>
      <c r="GKU52" s="556"/>
      <c r="GKV52" s="556"/>
      <c r="GKW52" s="556"/>
      <c r="GKX52" s="556"/>
      <c r="GKY52" s="556"/>
      <c r="GKZ52" s="556"/>
      <c r="GLA52" s="556"/>
      <c r="GLB52" s="556"/>
      <c r="GLC52" s="556"/>
      <c r="GLD52" s="556"/>
      <c r="GLE52" s="556"/>
      <c r="GLF52" s="556"/>
      <c r="GLG52" s="556"/>
      <c r="GLH52" s="556"/>
      <c r="GLI52" s="556"/>
      <c r="GLJ52" s="556"/>
      <c r="GLK52" s="556"/>
      <c r="GLL52" s="556"/>
      <c r="GLM52" s="556"/>
      <c r="GLN52" s="556"/>
      <c r="GLO52" s="556"/>
      <c r="GLP52" s="556"/>
      <c r="GLQ52" s="556"/>
      <c r="GLR52" s="556"/>
      <c r="GLS52" s="556"/>
      <c r="GLT52" s="556"/>
      <c r="GLU52" s="556"/>
      <c r="GLV52" s="556"/>
      <c r="GLW52" s="556"/>
      <c r="GLX52" s="556"/>
      <c r="GLY52" s="556"/>
      <c r="GLZ52" s="556"/>
      <c r="GMA52" s="556"/>
      <c r="GMB52" s="556"/>
      <c r="GMC52" s="556"/>
      <c r="GMD52" s="556"/>
      <c r="GME52" s="556"/>
      <c r="GMF52" s="556"/>
      <c r="GMG52" s="556"/>
      <c r="GMH52" s="556"/>
      <c r="GMI52" s="556"/>
      <c r="GMJ52" s="556"/>
      <c r="GMK52" s="556"/>
      <c r="GML52" s="556"/>
      <c r="GMM52" s="556"/>
      <c r="GMN52" s="556"/>
      <c r="GMO52" s="556"/>
      <c r="GMP52" s="556"/>
      <c r="GMQ52" s="556"/>
      <c r="GMR52" s="556"/>
      <c r="GMS52" s="556"/>
      <c r="GMT52" s="556"/>
      <c r="GMU52" s="556"/>
      <c r="GMV52" s="556"/>
      <c r="GMW52" s="556"/>
      <c r="GMX52" s="556"/>
      <c r="GMY52" s="556"/>
      <c r="GMZ52" s="556"/>
      <c r="GNA52" s="556"/>
      <c r="GNB52" s="556"/>
      <c r="GNC52" s="556"/>
      <c r="GND52" s="556"/>
      <c r="GNE52" s="556"/>
      <c r="GNF52" s="556"/>
      <c r="GNG52" s="556"/>
      <c r="GNH52" s="556"/>
      <c r="GNI52" s="556"/>
      <c r="GNJ52" s="556"/>
      <c r="GNK52" s="556"/>
      <c r="GNL52" s="556"/>
      <c r="GNM52" s="556"/>
      <c r="GNN52" s="556"/>
      <c r="GNO52" s="556"/>
      <c r="GNP52" s="556"/>
      <c r="GNQ52" s="556"/>
      <c r="GNR52" s="556"/>
      <c r="GNS52" s="556"/>
      <c r="GNT52" s="556"/>
      <c r="GNU52" s="556"/>
      <c r="GNV52" s="556"/>
      <c r="GNW52" s="556"/>
      <c r="GNX52" s="556"/>
      <c r="GNY52" s="556"/>
      <c r="GNZ52" s="556"/>
      <c r="GOA52" s="556"/>
      <c r="GOB52" s="556"/>
      <c r="GOC52" s="556"/>
      <c r="GOD52" s="556"/>
      <c r="GOE52" s="556"/>
      <c r="GOF52" s="556"/>
      <c r="GOG52" s="556"/>
      <c r="GOH52" s="556"/>
      <c r="GOI52" s="556"/>
      <c r="GOJ52" s="556"/>
      <c r="GOK52" s="556"/>
      <c r="GOL52" s="556"/>
      <c r="GOM52" s="556"/>
      <c r="GON52" s="556"/>
      <c r="GOO52" s="556"/>
      <c r="GOP52" s="556"/>
      <c r="GOQ52" s="556"/>
      <c r="GOR52" s="556"/>
      <c r="GOS52" s="556"/>
      <c r="GOT52" s="556"/>
      <c r="GOU52" s="556"/>
      <c r="GOV52" s="556"/>
      <c r="GOW52" s="556"/>
      <c r="GOX52" s="556"/>
      <c r="GOY52" s="556"/>
      <c r="GOZ52" s="556"/>
      <c r="GPA52" s="556"/>
      <c r="GPB52" s="556"/>
      <c r="GPC52" s="556"/>
      <c r="GPD52" s="556"/>
      <c r="GPE52" s="556"/>
      <c r="GPF52" s="556"/>
      <c r="GPG52" s="556"/>
      <c r="GPH52" s="556"/>
      <c r="GPI52" s="556"/>
      <c r="GPJ52" s="556"/>
      <c r="GPK52" s="556"/>
      <c r="GPL52" s="556"/>
      <c r="GPM52" s="556"/>
      <c r="GPN52" s="556"/>
      <c r="GPO52" s="556"/>
      <c r="GPP52" s="556"/>
      <c r="GPQ52" s="556"/>
      <c r="GPR52" s="556"/>
      <c r="GPS52" s="556"/>
      <c r="GPT52" s="556"/>
      <c r="GPU52" s="556"/>
      <c r="GPV52" s="556"/>
      <c r="GPW52" s="556"/>
      <c r="GPX52" s="556"/>
      <c r="GPY52" s="556"/>
      <c r="GPZ52" s="556"/>
      <c r="GQA52" s="556"/>
      <c r="GQB52" s="556"/>
      <c r="GQC52" s="556"/>
      <c r="GQD52" s="556"/>
      <c r="GQE52" s="556"/>
      <c r="GQF52" s="556"/>
      <c r="GQG52" s="556"/>
      <c r="GQH52" s="556"/>
      <c r="GQI52" s="556"/>
      <c r="GQJ52" s="556"/>
      <c r="GQK52" s="556"/>
      <c r="GQL52" s="556"/>
      <c r="GQM52" s="556"/>
      <c r="GQN52" s="556"/>
      <c r="GQO52" s="556"/>
      <c r="GQP52" s="556"/>
      <c r="GQQ52" s="556"/>
      <c r="GQR52" s="556"/>
      <c r="GQS52" s="556"/>
      <c r="GQT52" s="556"/>
      <c r="GQU52" s="556"/>
      <c r="GQV52" s="556"/>
      <c r="GQW52" s="556"/>
      <c r="GQX52" s="556"/>
      <c r="GQY52" s="556"/>
      <c r="GQZ52" s="556"/>
      <c r="GRA52" s="556"/>
      <c r="GRB52" s="556"/>
      <c r="GRC52" s="556"/>
      <c r="GRD52" s="556"/>
      <c r="GRE52" s="556"/>
      <c r="GRF52" s="556"/>
      <c r="GRG52" s="556"/>
      <c r="GRH52" s="556"/>
      <c r="GRI52" s="556"/>
      <c r="GRJ52" s="556"/>
      <c r="GRK52" s="556"/>
      <c r="GRL52" s="556"/>
      <c r="GRM52" s="556"/>
      <c r="GRN52" s="556"/>
      <c r="GRO52" s="556"/>
      <c r="GRP52" s="556"/>
      <c r="GRQ52" s="556"/>
      <c r="GRR52" s="556"/>
      <c r="GRS52" s="556"/>
      <c r="GRT52" s="556"/>
      <c r="GRU52" s="556"/>
      <c r="GRV52" s="556"/>
      <c r="GRW52" s="556"/>
      <c r="GRX52" s="556"/>
      <c r="GRY52" s="556"/>
      <c r="GRZ52" s="556"/>
      <c r="GSA52" s="556"/>
      <c r="GSB52" s="556"/>
      <c r="GSC52" s="556"/>
      <c r="GSD52" s="556"/>
      <c r="GSE52" s="556"/>
      <c r="GSF52" s="556"/>
      <c r="GSG52" s="556"/>
      <c r="GSH52" s="556"/>
      <c r="GSI52" s="556"/>
      <c r="GSJ52" s="556"/>
      <c r="GSK52" s="556"/>
      <c r="GSL52" s="556"/>
      <c r="GSM52" s="556"/>
      <c r="GSN52" s="556"/>
      <c r="GSO52" s="556"/>
      <c r="GSP52" s="556"/>
      <c r="GSQ52" s="556"/>
      <c r="GSR52" s="556"/>
      <c r="GSS52" s="556"/>
      <c r="GST52" s="556"/>
      <c r="GSU52" s="556"/>
      <c r="GSV52" s="556"/>
      <c r="GSW52" s="556"/>
      <c r="GSX52" s="556"/>
      <c r="GSY52" s="556"/>
      <c r="GSZ52" s="556"/>
      <c r="GTA52" s="556"/>
      <c r="GTB52" s="556"/>
      <c r="GTC52" s="556"/>
      <c r="GTD52" s="556"/>
      <c r="GTE52" s="556"/>
      <c r="GTF52" s="556"/>
      <c r="GTG52" s="556"/>
      <c r="GTH52" s="556"/>
      <c r="GTI52" s="556"/>
      <c r="GTJ52" s="556"/>
      <c r="GTK52" s="556"/>
      <c r="GTL52" s="556"/>
      <c r="GTM52" s="556"/>
      <c r="GTN52" s="556"/>
      <c r="GTO52" s="556"/>
      <c r="GTP52" s="556"/>
      <c r="GTQ52" s="556"/>
      <c r="GTR52" s="556"/>
      <c r="GTS52" s="556"/>
      <c r="GTT52" s="556"/>
      <c r="GTU52" s="556"/>
      <c r="GTV52" s="556"/>
      <c r="GTW52" s="556"/>
      <c r="GTX52" s="556"/>
      <c r="GTY52" s="556"/>
      <c r="GTZ52" s="556"/>
      <c r="GUA52" s="556"/>
      <c r="GUB52" s="556"/>
      <c r="GUC52" s="556"/>
      <c r="GUD52" s="556"/>
      <c r="GUE52" s="556"/>
      <c r="GUF52" s="556"/>
      <c r="GUG52" s="556"/>
      <c r="GUH52" s="556"/>
      <c r="GUI52" s="556"/>
      <c r="GUJ52" s="556"/>
      <c r="GUK52" s="556"/>
      <c r="GUL52" s="556"/>
      <c r="GUM52" s="556"/>
      <c r="GUN52" s="556"/>
      <c r="GUO52" s="556"/>
      <c r="GUP52" s="556"/>
      <c r="GUQ52" s="556"/>
      <c r="GUR52" s="556"/>
      <c r="GUS52" s="556"/>
      <c r="GUT52" s="556"/>
      <c r="GUU52" s="556"/>
      <c r="GUV52" s="556"/>
      <c r="GUW52" s="556"/>
      <c r="GUX52" s="556"/>
      <c r="GUY52" s="556"/>
      <c r="GUZ52" s="556"/>
      <c r="GVA52" s="556"/>
      <c r="GVB52" s="556"/>
      <c r="GVC52" s="556"/>
      <c r="GVD52" s="556"/>
      <c r="GVE52" s="556"/>
      <c r="GVF52" s="556"/>
      <c r="GVG52" s="556"/>
      <c r="GVH52" s="556"/>
      <c r="GVI52" s="556"/>
      <c r="GVJ52" s="556"/>
      <c r="GVK52" s="556"/>
      <c r="GVL52" s="556"/>
      <c r="GVM52" s="556"/>
      <c r="GVN52" s="556"/>
      <c r="GVO52" s="556"/>
      <c r="GVP52" s="556"/>
      <c r="GVQ52" s="556"/>
      <c r="GVR52" s="556"/>
      <c r="GVS52" s="556"/>
      <c r="GVT52" s="556"/>
      <c r="GVU52" s="556"/>
      <c r="GVV52" s="556"/>
      <c r="GVW52" s="556"/>
      <c r="GVX52" s="556"/>
      <c r="GVY52" s="556"/>
      <c r="GVZ52" s="556"/>
      <c r="GWA52" s="556"/>
      <c r="GWB52" s="556"/>
      <c r="GWC52" s="556"/>
      <c r="GWD52" s="556"/>
      <c r="GWE52" s="556"/>
      <c r="GWF52" s="556"/>
      <c r="GWG52" s="556"/>
      <c r="GWH52" s="556"/>
      <c r="GWI52" s="556"/>
      <c r="GWJ52" s="556"/>
      <c r="GWK52" s="556"/>
      <c r="GWL52" s="556"/>
      <c r="GWM52" s="556"/>
      <c r="GWN52" s="556"/>
      <c r="GWO52" s="556"/>
      <c r="GWP52" s="556"/>
      <c r="GWQ52" s="556"/>
      <c r="GWR52" s="556"/>
      <c r="GWS52" s="556"/>
      <c r="GWT52" s="556"/>
      <c r="GWU52" s="556"/>
      <c r="GWV52" s="556"/>
      <c r="GWW52" s="556"/>
      <c r="GWX52" s="556"/>
      <c r="GWY52" s="556"/>
      <c r="GWZ52" s="556"/>
      <c r="GXA52" s="556"/>
      <c r="GXB52" s="556"/>
      <c r="GXC52" s="556"/>
      <c r="GXD52" s="556"/>
      <c r="GXE52" s="556"/>
      <c r="GXF52" s="556"/>
      <c r="GXG52" s="556"/>
      <c r="GXH52" s="556"/>
      <c r="GXI52" s="556"/>
      <c r="GXJ52" s="556"/>
      <c r="GXK52" s="556"/>
      <c r="GXL52" s="556"/>
      <c r="GXM52" s="556"/>
      <c r="GXN52" s="556"/>
      <c r="GXO52" s="556"/>
      <c r="GXP52" s="556"/>
      <c r="GXQ52" s="556"/>
      <c r="GXR52" s="556"/>
      <c r="GXS52" s="556"/>
      <c r="GXT52" s="556"/>
      <c r="GXU52" s="556"/>
      <c r="GXV52" s="556"/>
      <c r="GXW52" s="556"/>
      <c r="GXX52" s="556"/>
      <c r="GXY52" s="556"/>
      <c r="GXZ52" s="556"/>
      <c r="GYA52" s="556"/>
      <c r="GYB52" s="556"/>
      <c r="GYC52" s="556"/>
      <c r="GYD52" s="556"/>
      <c r="GYE52" s="556"/>
      <c r="GYF52" s="556"/>
      <c r="GYG52" s="556"/>
      <c r="GYH52" s="556"/>
      <c r="GYI52" s="556"/>
      <c r="GYJ52" s="556"/>
      <c r="GYK52" s="556"/>
      <c r="GYL52" s="556"/>
      <c r="GYM52" s="556"/>
      <c r="GYN52" s="556"/>
      <c r="GYO52" s="556"/>
      <c r="GYP52" s="556"/>
      <c r="GYQ52" s="556"/>
      <c r="GYR52" s="556"/>
      <c r="GYS52" s="556"/>
      <c r="GYT52" s="556"/>
      <c r="GYU52" s="556"/>
      <c r="GYV52" s="556"/>
      <c r="GYW52" s="556"/>
      <c r="GYX52" s="556"/>
      <c r="GYY52" s="556"/>
      <c r="GYZ52" s="556"/>
      <c r="GZA52" s="556"/>
      <c r="GZB52" s="556"/>
      <c r="GZC52" s="556"/>
      <c r="GZD52" s="556"/>
      <c r="GZE52" s="556"/>
      <c r="GZF52" s="556"/>
      <c r="GZG52" s="556"/>
      <c r="GZH52" s="556"/>
      <c r="GZI52" s="556"/>
      <c r="GZJ52" s="556"/>
      <c r="GZK52" s="556"/>
      <c r="GZL52" s="556"/>
      <c r="GZM52" s="556"/>
      <c r="GZN52" s="556"/>
      <c r="GZO52" s="556"/>
      <c r="GZP52" s="556"/>
      <c r="GZQ52" s="556"/>
      <c r="GZR52" s="556"/>
      <c r="GZS52" s="556"/>
      <c r="GZT52" s="556"/>
      <c r="GZU52" s="556"/>
      <c r="GZV52" s="556"/>
      <c r="GZW52" s="556"/>
      <c r="GZX52" s="556"/>
      <c r="GZY52" s="556"/>
      <c r="GZZ52" s="556"/>
      <c r="HAA52" s="556"/>
      <c r="HAB52" s="556"/>
      <c r="HAC52" s="556"/>
      <c r="HAD52" s="556"/>
      <c r="HAE52" s="556"/>
      <c r="HAF52" s="556"/>
      <c r="HAG52" s="556"/>
      <c r="HAH52" s="556"/>
      <c r="HAI52" s="556"/>
      <c r="HAJ52" s="556"/>
      <c r="HAK52" s="556"/>
      <c r="HAL52" s="556"/>
      <c r="HAM52" s="556"/>
      <c r="HAN52" s="556"/>
      <c r="HAO52" s="556"/>
      <c r="HAP52" s="556"/>
      <c r="HAQ52" s="556"/>
      <c r="HAR52" s="556"/>
      <c r="HAS52" s="556"/>
      <c r="HAT52" s="556"/>
      <c r="HAU52" s="556"/>
      <c r="HAV52" s="556"/>
      <c r="HAW52" s="556"/>
      <c r="HAX52" s="556"/>
      <c r="HAY52" s="556"/>
      <c r="HAZ52" s="556"/>
      <c r="HBA52" s="556"/>
      <c r="HBB52" s="556"/>
      <c r="HBC52" s="556"/>
      <c r="HBD52" s="556"/>
      <c r="HBE52" s="556"/>
      <c r="HBF52" s="556"/>
      <c r="HBG52" s="556"/>
      <c r="HBH52" s="556"/>
      <c r="HBI52" s="556"/>
      <c r="HBJ52" s="556"/>
      <c r="HBK52" s="556"/>
      <c r="HBL52" s="556"/>
      <c r="HBM52" s="556"/>
      <c r="HBN52" s="556"/>
      <c r="HBO52" s="556"/>
      <c r="HBP52" s="556"/>
      <c r="HBQ52" s="556"/>
      <c r="HBR52" s="556"/>
      <c r="HBS52" s="556"/>
      <c r="HBT52" s="556"/>
      <c r="HBU52" s="556"/>
      <c r="HBV52" s="556"/>
      <c r="HBW52" s="556"/>
      <c r="HBX52" s="556"/>
      <c r="HBY52" s="556"/>
      <c r="HBZ52" s="556"/>
      <c r="HCA52" s="556"/>
      <c r="HCB52" s="556"/>
      <c r="HCC52" s="556"/>
      <c r="HCD52" s="556"/>
      <c r="HCE52" s="556"/>
      <c r="HCF52" s="556"/>
      <c r="HCG52" s="556"/>
      <c r="HCH52" s="556"/>
      <c r="HCI52" s="556"/>
      <c r="HCJ52" s="556"/>
      <c r="HCK52" s="556"/>
      <c r="HCL52" s="556"/>
      <c r="HCM52" s="556"/>
      <c r="HCN52" s="556"/>
      <c r="HCO52" s="556"/>
      <c r="HCP52" s="556"/>
      <c r="HCQ52" s="556"/>
      <c r="HCR52" s="556"/>
      <c r="HCS52" s="556"/>
      <c r="HCT52" s="556"/>
      <c r="HCU52" s="556"/>
      <c r="HCV52" s="556"/>
      <c r="HCW52" s="556"/>
      <c r="HCX52" s="556"/>
      <c r="HCY52" s="556"/>
      <c r="HCZ52" s="556"/>
      <c r="HDA52" s="556"/>
      <c r="HDB52" s="556"/>
      <c r="HDC52" s="556"/>
      <c r="HDD52" s="556"/>
      <c r="HDE52" s="556"/>
      <c r="HDF52" s="556"/>
      <c r="HDG52" s="556"/>
      <c r="HDH52" s="556"/>
      <c r="HDI52" s="556"/>
      <c r="HDJ52" s="556"/>
      <c r="HDK52" s="556"/>
      <c r="HDL52" s="556"/>
      <c r="HDM52" s="556"/>
      <c r="HDN52" s="556"/>
      <c r="HDO52" s="556"/>
      <c r="HDP52" s="556"/>
      <c r="HDQ52" s="556"/>
      <c r="HDR52" s="556"/>
      <c r="HDS52" s="556"/>
      <c r="HDT52" s="556"/>
      <c r="HDU52" s="556"/>
      <c r="HDV52" s="556"/>
      <c r="HDW52" s="556"/>
      <c r="HDX52" s="556"/>
      <c r="HDY52" s="556"/>
      <c r="HDZ52" s="556"/>
      <c r="HEA52" s="556"/>
      <c r="HEB52" s="556"/>
      <c r="HEC52" s="556"/>
      <c r="HED52" s="556"/>
      <c r="HEE52" s="556"/>
      <c r="HEF52" s="556"/>
      <c r="HEG52" s="556"/>
      <c r="HEH52" s="556"/>
      <c r="HEI52" s="556"/>
      <c r="HEJ52" s="556"/>
      <c r="HEK52" s="556"/>
      <c r="HEL52" s="556"/>
      <c r="HEM52" s="556"/>
      <c r="HEN52" s="556"/>
      <c r="HEO52" s="556"/>
      <c r="HEP52" s="556"/>
      <c r="HEQ52" s="556"/>
      <c r="HER52" s="556"/>
      <c r="HES52" s="556"/>
      <c r="HET52" s="556"/>
      <c r="HEU52" s="556"/>
      <c r="HEV52" s="556"/>
      <c r="HEW52" s="556"/>
      <c r="HEX52" s="556"/>
      <c r="HEY52" s="556"/>
      <c r="HEZ52" s="556"/>
      <c r="HFA52" s="556"/>
      <c r="HFB52" s="556"/>
      <c r="HFC52" s="556"/>
      <c r="HFD52" s="556"/>
      <c r="HFE52" s="556"/>
      <c r="HFF52" s="556"/>
      <c r="HFG52" s="556"/>
      <c r="HFH52" s="556"/>
      <c r="HFI52" s="556"/>
      <c r="HFJ52" s="556"/>
      <c r="HFK52" s="556"/>
      <c r="HFL52" s="556"/>
      <c r="HFM52" s="556"/>
      <c r="HFN52" s="556"/>
      <c r="HFO52" s="556"/>
      <c r="HFP52" s="556"/>
      <c r="HFQ52" s="556"/>
      <c r="HFR52" s="556"/>
      <c r="HFS52" s="556"/>
      <c r="HFT52" s="556"/>
      <c r="HFU52" s="556"/>
      <c r="HFV52" s="556"/>
      <c r="HFW52" s="556"/>
      <c r="HFX52" s="556"/>
      <c r="HFY52" s="556"/>
      <c r="HFZ52" s="556"/>
      <c r="HGA52" s="556"/>
      <c r="HGB52" s="556"/>
      <c r="HGC52" s="556"/>
      <c r="HGD52" s="556"/>
      <c r="HGE52" s="556"/>
      <c r="HGF52" s="556"/>
      <c r="HGG52" s="556"/>
      <c r="HGH52" s="556"/>
      <c r="HGI52" s="556"/>
      <c r="HGJ52" s="556"/>
      <c r="HGK52" s="556"/>
      <c r="HGL52" s="556"/>
      <c r="HGM52" s="556"/>
      <c r="HGN52" s="556"/>
      <c r="HGO52" s="556"/>
      <c r="HGP52" s="556"/>
      <c r="HGQ52" s="556"/>
      <c r="HGR52" s="556"/>
      <c r="HGS52" s="556"/>
      <c r="HGT52" s="556"/>
      <c r="HGU52" s="556"/>
      <c r="HGV52" s="556"/>
      <c r="HGW52" s="556"/>
      <c r="HGX52" s="556"/>
      <c r="HGY52" s="556"/>
      <c r="HGZ52" s="556"/>
      <c r="HHA52" s="556"/>
      <c r="HHB52" s="556"/>
      <c r="HHC52" s="556"/>
      <c r="HHD52" s="556"/>
      <c r="HHE52" s="556"/>
      <c r="HHF52" s="556"/>
      <c r="HHG52" s="556"/>
      <c r="HHH52" s="556"/>
      <c r="HHI52" s="556"/>
      <c r="HHJ52" s="556"/>
      <c r="HHK52" s="556"/>
      <c r="HHL52" s="556"/>
      <c r="HHM52" s="556"/>
      <c r="HHN52" s="556"/>
      <c r="HHO52" s="556"/>
      <c r="HHP52" s="556"/>
      <c r="HHQ52" s="556"/>
      <c r="HHR52" s="556"/>
      <c r="HHS52" s="556"/>
      <c r="HHT52" s="556"/>
      <c r="HHU52" s="556"/>
      <c r="HHV52" s="556"/>
      <c r="HHW52" s="556"/>
      <c r="HHX52" s="556"/>
      <c r="HHY52" s="556"/>
      <c r="HHZ52" s="556"/>
      <c r="HIA52" s="556"/>
      <c r="HIB52" s="556"/>
      <c r="HIC52" s="556"/>
      <c r="HID52" s="556"/>
      <c r="HIE52" s="556"/>
      <c r="HIF52" s="556"/>
      <c r="HIG52" s="556"/>
      <c r="HIH52" s="556"/>
      <c r="HII52" s="556"/>
      <c r="HIJ52" s="556"/>
      <c r="HIK52" s="556"/>
      <c r="HIL52" s="556"/>
      <c r="HIM52" s="556"/>
      <c r="HIN52" s="556"/>
      <c r="HIO52" s="556"/>
      <c r="HIP52" s="556"/>
      <c r="HIQ52" s="556"/>
      <c r="HIR52" s="556"/>
      <c r="HIS52" s="556"/>
      <c r="HIT52" s="556"/>
      <c r="HIU52" s="556"/>
      <c r="HIV52" s="556"/>
      <c r="HIW52" s="556"/>
      <c r="HIX52" s="556"/>
      <c r="HIY52" s="556"/>
      <c r="HIZ52" s="556"/>
      <c r="HJA52" s="556"/>
      <c r="HJB52" s="556"/>
      <c r="HJC52" s="556"/>
      <c r="HJD52" s="556"/>
      <c r="HJE52" s="556"/>
      <c r="HJF52" s="556"/>
      <c r="HJG52" s="556"/>
      <c r="HJH52" s="556"/>
      <c r="HJI52" s="556"/>
      <c r="HJJ52" s="556"/>
      <c r="HJK52" s="556"/>
      <c r="HJL52" s="556"/>
      <c r="HJM52" s="556"/>
      <c r="HJN52" s="556"/>
      <c r="HJO52" s="556"/>
      <c r="HJP52" s="556"/>
      <c r="HJQ52" s="556"/>
      <c r="HJR52" s="556"/>
      <c r="HJS52" s="556"/>
      <c r="HJT52" s="556"/>
      <c r="HJU52" s="556"/>
      <c r="HJV52" s="556"/>
      <c r="HJW52" s="556"/>
      <c r="HJX52" s="556"/>
      <c r="HJY52" s="556"/>
      <c r="HJZ52" s="556"/>
      <c r="HKA52" s="556"/>
      <c r="HKB52" s="556"/>
      <c r="HKC52" s="556"/>
      <c r="HKD52" s="556"/>
      <c r="HKE52" s="556"/>
      <c r="HKF52" s="556"/>
      <c r="HKG52" s="556"/>
      <c r="HKH52" s="556"/>
      <c r="HKI52" s="556"/>
      <c r="HKJ52" s="556"/>
      <c r="HKK52" s="556"/>
      <c r="HKL52" s="556"/>
      <c r="HKM52" s="556"/>
      <c r="HKN52" s="556"/>
      <c r="HKO52" s="556"/>
      <c r="HKP52" s="556"/>
      <c r="HKQ52" s="556"/>
      <c r="HKR52" s="556"/>
      <c r="HKS52" s="556"/>
      <c r="HKT52" s="556"/>
      <c r="HKU52" s="556"/>
      <c r="HKV52" s="556"/>
      <c r="HKW52" s="556"/>
      <c r="HKX52" s="556"/>
      <c r="HKY52" s="556"/>
      <c r="HKZ52" s="556"/>
      <c r="HLA52" s="556"/>
      <c r="HLB52" s="556"/>
      <c r="HLC52" s="556"/>
      <c r="HLD52" s="556"/>
      <c r="HLE52" s="556"/>
      <c r="HLF52" s="556"/>
      <c r="HLG52" s="556"/>
      <c r="HLH52" s="556"/>
      <c r="HLI52" s="556"/>
      <c r="HLJ52" s="556"/>
      <c r="HLK52" s="556"/>
      <c r="HLL52" s="556"/>
      <c r="HLM52" s="556"/>
      <c r="HLN52" s="556"/>
      <c r="HLO52" s="556"/>
      <c r="HLP52" s="556"/>
      <c r="HLQ52" s="556"/>
      <c r="HLR52" s="556"/>
      <c r="HLS52" s="556"/>
      <c r="HLT52" s="556"/>
      <c r="HLU52" s="556"/>
      <c r="HLV52" s="556"/>
      <c r="HLW52" s="556"/>
      <c r="HLX52" s="556"/>
      <c r="HLY52" s="556"/>
      <c r="HLZ52" s="556"/>
      <c r="HMA52" s="556"/>
      <c r="HMB52" s="556"/>
      <c r="HMC52" s="556"/>
      <c r="HMD52" s="556"/>
      <c r="HME52" s="556"/>
      <c r="HMF52" s="556"/>
      <c r="HMG52" s="556"/>
      <c r="HMH52" s="556"/>
      <c r="HMI52" s="556"/>
      <c r="HMJ52" s="556"/>
      <c r="HMK52" s="556"/>
      <c r="HML52" s="556"/>
      <c r="HMM52" s="556"/>
      <c r="HMN52" s="556"/>
      <c r="HMO52" s="556"/>
      <c r="HMP52" s="556"/>
      <c r="HMQ52" s="556"/>
      <c r="HMR52" s="556"/>
      <c r="HMS52" s="556"/>
      <c r="HMT52" s="556"/>
      <c r="HMU52" s="556"/>
      <c r="HMV52" s="556"/>
      <c r="HMW52" s="556"/>
      <c r="HMX52" s="556"/>
      <c r="HMY52" s="556"/>
      <c r="HMZ52" s="556"/>
      <c r="HNA52" s="556"/>
      <c r="HNB52" s="556"/>
      <c r="HNC52" s="556"/>
      <c r="HND52" s="556"/>
      <c r="HNE52" s="556"/>
      <c r="HNF52" s="556"/>
      <c r="HNG52" s="556"/>
      <c r="HNH52" s="556"/>
      <c r="HNI52" s="556"/>
      <c r="HNJ52" s="556"/>
      <c r="HNK52" s="556"/>
      <c r="HNL52" s="556"/>
      <c r="HNM52" s="556"/>
      <c r="HNN52" s="556"/>
      <c r="HNO52" s="556"/>
      <c r="HNP52" s="556"/>
      <c r="HNQ52" s="556"/>
      <c r="HNR52" s="556"/>
      <c r="HNS52" s="556"/>
      <c r="HNT52" s="556"/>
      <c r="HNU52" s="556"/>
      <c r="HNV52" s="556"/>
      <c r="HNW52" s="556"/>
      <c r="HNX52" s="556"/>
      <c r="HNY52" s="556"/>
      <c r="HNZ52" s="556"/>
      <c r="HOA52" s="556"/>
      <c r="HOB52" s="556"/>
      <c r="HOC52" s="556"/>
      <c r="HOD52" s="556"/>
      <c r="HOE52" s="556"/>
      <c r="HOF52" s="556"/>
      <c r="HOG52" s="556"/>
      <c r="HOH52" s="556"/>
      <c r="HOI52" s="556"/>
      <c r="HOJ52" s="556"/>
      <c r="HOK52" s="556"/>
      <c r="HOL52" s="556"/>
      <c r="HOM52" s="556"/>
      <c r="HON52" s="556"/>
      <c r="HOO52" s="556"/>
      <c r="HOP52" s="556"/>
      <c r="HOQ52" s="556"/>
      <c r="HOR52" s="556"/>
      <c r="HOS52" s="556"/>
      <c r="HOT52" s="556"/>
      <c r="HOU52" s="556"/>
      <c r="HOV52" s="556"/>
      <c r="HOW52" s="556"/>
      <c r="HOX52" s="556"/>
      <c r="HOY52" s="556"/>
      <c r="HOZ52" s="556"/>
      <c r="HPA52" s="556"/>
      <c r="HPB52" s="556"/>
      <c r="HPC52" s="556"/>
      <c r="HPD52" s="556"/>
      <c r="HPE52" s="556"/>
      <c r="HPF52" s="556"/>
      <c r="HPG52" s="556"/>
      <c r="HPH52" s="556"/>
      <c r="HPI52" s="556"/>
      <c r="HPJ52" s="556"/>
      <c r="HPK52" s="556"/>
      <c r="HPL52" s="556"/>
      <c r="HPM52" s="556"/>
      <c r="HPN52" s="556"/>
      <c r="HPO52" s="556"/>
      <c r="HPP52" s="556"/>
      <c r="HPQ52" s="556"/>
      <c r="HPR52" s="556"/>
      <c r="HPS52" s="556"/>
      <c r="HPT52" s="556"/>
      <c r="HPU52" s="556"/>
      <c r="HPV52" s="556"/>
      <c r="HPW52" s="556"/>
      <c r="HPX52" s="556"/>
      <c r="HPY52" s="556"/>
      <c r="HPZ52" s="556"/>
      <c r="HQA52" s="556"/>
      <c r="HQB52" s="556"/>
      <c r="HQC52" s="556"/>
      <c r="HQD52" s="556"/>
      <c r="HQE52" s="556"/>
      <c r="HQF52" s="556"/>
      <c r="HQG52" s="556"/>
      <c r="HQH52" s="556"/>
      <c r="HQI52" s="556"/>
      <c r="HQJ52" s="556"/>
      <c r="HQK52" s="556"/>
      <c r="HQL52" s="556"/>
      <c r="HQM52" s="556"/>
      <c r="HQN52" s="556"/>
      <c r="HQO52" s="556"/>
      <c r="HQP52" s="556"/>
      <c r="HQQ52" s="556"/>
      <c r="HQR52" s="556"/>
      <c r="HQS52" s="556"/>
      <c r="HQT52" s="556"/>
      <c r="HQU52" s="556"/>
      <c r="HQV52" s="556"/>
      <c r="HQW52" s="556"/>
      <c r="HQX52" s="556"/>
      <c r="HQY52" s="556"/>
      <c r="HQZ52" s="556"/>
      <c r="HRA52" s="556"/>
      <c r="HRB52" s="556"/>
      <c r="HRC52" s="556"/>
      <c r="HRD52" s="556"/>
      <c r="HRE52" s="556"/>
      <c r="HRF52" s="556"/>
      <c r="HRG52" s="556"/>
      <c r="HRH52" s="556"/>
      <c r="HRI52" s="556"/>
      <c r="HRJ52" s="556"/>
      <c r="HRK52" s="556"/>
      <c r="HRL52" s="556"/>
      <c r="HRM52" s="556"/>
      <c r="HRN52" s="556"/>
      <c r="HRO52" s="556"/>
      <c r="HRP52" s="556"/>
      <c r="HRQ52" s="556"/>
      <c r="HRR52" s="556"/>
      <c r="HRS52" s="556"/>
      <c r="HRT52" s="556"/>
      <c r="HRU52" s="556"/>
      <c r="HRV52" s="556"/>
      <c r="HRW52" s="556"/>
      <c r="HRX52" s="556"/>
      <c r="HRY52" s="556"/>
      <c r="HRZ52" s="556"/>
      <c r="HSA52" s="556"/>
      <c r="HSB52" s="556"/>
      <c r="HSC52" s="556"/>
      <c r="HSD52" s="556"/>
      <c r="HSE52" s="556"/>
      <c r="HSF52" s="556"/>
      <c r="HSG52" s="556"/>
      <c r="HSH52" s="556"/>
      <c r="HSI52" s="556"/>
      <c r="HSJ52" s="556"/>
      <c r="HSK52" s="556"/>
      <c r="HSL52" s="556"/>
      <c r="HSM52" s="556"/>
      <c r="HSN52" s="556"/>
      <c r="HSO52" s="556"/>
      <c r="HSP52" s="556"/>
      <c r="HSQ52" s="556"/>
      <c r="HSR52" s="556"/>
      <c r="HSS52" s="556"/>
      <c r="HST52" s="556"/>
      <c r="HSU52" s="556"/>
      <c r="HSV52" s="556"/>
      <c r="HSW52" s="556"/>
      <c r="HSX52" s="556"/>
      <c r="HSY52" s="556"/>
      <c r="HSZ52" s="556"/>
      <c r="HTA52" s="556"/>
      <c r="HTB52" s="556"/>
      <c r="HTC52" s="556"/>
      <c r="HTD52" s="556"/>
      <c r="HTE52" s="556"/>
      <c r="HTF52" s="556"/>
      <c r="HTG52" s="556"/>
      <c r="HTH52" s="556"/>
      <c r="HTI52" s="556"/>
      <c r="HTJ52" s="556"/>
      <c r="HTK52" s="556"/>
      <c r="HTL52" s="556"/>
      <c r="HTM52" s="556"/>
      <c r="HTN52" s="556"/>
      <c r="HTO52" s="556"/>
      <c r="HTP52" s="556"/>
      <c r="HTQ52" s="556"/>
      <c r="HTR52" s="556"/>
      <c r="HTS52" s="556"/>
      <c r="HTT52" s="556"/>
      <c r="HTU52" s="556"/>
      <c r="HTV52" s="556"/>
      <c r="HTW52" s="556"/>
      <c r="HTX52" s="556"/>
      <c r="HTY52" s="556"/>
      <c r="HTZ52" s="556"/>
      <c r="HUA52" s="556"/>
      <c r="HUB52" s="556"/>
      <c r="HUC52" s="556"/>
      <c r="HUD52" s="556"/>
      <c r="HUE52" s="556"/>
      <c r="HUF52" s="556"/>
      <c r="HUG52" s="556"/>
      <c r="HUH52" s="556"/>
      <c r="HUI52" s="556"/>
      <c r="HUJ52" s="556"/>
      <c r="HUK52" s="556"/>
      <c r="HUL52" s="556"/>
      <c r="HUM52" s="556"/>
      <c r="HUN52" s="556"/>
      <c r="HUO52" s="556"/>
      <c r="HUP52" s="556"/>
      <c r="HUQ52" s="556"/>
      <c r="HUR52" s="556"/>
      <c r="HUS52" s="556"/>
      <c r="HUT52" s="556"/>
      <c r="HUU52" s="556"/>
      <c r="HUV52" s="556"/>
      <c r="HUW52" s="556"/>
      <c r="HUX52" s="556"/>
      <c r="HUY52" s="556"/>
      <c r="HUZ52" s="556"/>
      <c r="HVA52" s="556"/>
      <c r="HVB52" s="556"/>
      <c r="HVC52" s="556"/>
      <c r="HVD52" s="556"/>
      <c r="HVE52" s="556"/>
      <c r="HVF52" s="556"/>
      <c r="HVG52" s="556"/>
      <c r="HVH52" s="556"/>
      <c r="HVI52" s="556"/>
      <c r="HVJ52" s="556"/>
      <c r="HVK52" s="556"/>
      <c r="HVL52" s="556"/>
      <c r="HVM52" s="556"/>
      <c r="HVN52" s="556"/>
      <c r="HVO52" s="556"/>
      <c r="HVP52" s="556"/>
      <c r="HVQ52" s="556"/>
      <c r="HVR52" s="556"/>
      <c r="HVS52" s="556"/>
      <c r="HVT52" s="556"/>
      <c r="HVU52" s="556"/>
      <c r="HVV52" s="556"/>
      <c r="HVW52" s="556"/>
      <c r="HVX52" s="556"/>
      <c r="HVY52" s="556"/>
      <c r="HVZ52" s="556"/>
      <c r="HWA52" s="556"/>
      <c r="HWB52" s="556"/>
      <c r="HWC52" s="556"/>
      <c r="HWD52" s="556"/>
      <c r="HWE52" s="556"/>
      <c r="HWF52" s="556"/>
      <c r="HWG52" s="556"/>
      <c r="HWH52" s="556"/>
      <c r="HWI52" s="556"/>
      <c r="HWJ52" s="556"/>
      <c r="HWK52" s="556"/>
      <c r="HWL52" s="556"/>
      <c r="HWM52" s="556"/>
      <c r="HWN52" s="556"/>
      <c r="HWO52" s="556"/>
      <c r="HWP52" s="556"/>
      <c r="HWQ52" s="556"/>
      <c r="HWR52" s="556"/>
      <c r="HWS52" s="556"/>
      <c r="HWT52" s="556"/>
      <c r="HWU52" s="556"/>
      <c r="HWV52" s="556"/>
      <c r="HWW52" s="556"/>
      <c r="HWX52" s="556"/>
      <c r="HWY52" s="556"/>
      <c r="HWZ52" s="556"/>
      <c r="HXA52" s="556"/>
      <c r="HXB52" s="556"/>
      <c r="HXC52" s="556"/>
      <c r="HXD52" s="556"/>
      <c r="HXE52" s="556"/>
      <c r="HXF52" s="556"/>
      <c r="HXG52" s="556"/>
      <c r="HXH52" s="556"/>
      <c r="HXI52" s="556"/>
      <c r="HXJ52" s="556"/>
      <c r="HXK52" s="556"/>
      <c r="HXL52" s="556"/>
      <c r="HXM52" s="556"/>
      <c r="HXN52" s="556"/>
      <c r="HXO52" s="556"/>
      <c r="HXP52" s="556"/>
      <c r="HXQ52" s="556"/>
      <c r="HXR52" s="556"/>
      <c r="HXS52" s="556"/>
      <c r="HXT52" s="556"/>
      <c r="HXU52" s="556"/>
      <c r="HXV52" s="556"/>
      <c r="HXW52" s="556"/>
      <c r="HXX52" s="556"/>
      <c r="HXY52" s="556"/>
      <c r="HXZ52" s="556"/>
      <c r="HYA52" s="556"/>
      <c r="HYB52" s="556"/>
      <c r="HYC52" s="556"/>
      <c r="HYD52" s="556"/>
      <c r="HYE52" s="556"/>
      <c r="HYF52" s="556"/>
      <c r="HYG52" s="556"/>
      <c r="HYH52" s="556"/>
      <c r="HYI52" s="556"/>
      <c r="HYJ52" s="556"/>
      <c r="HYK52" s="556"/>
      <c r="HYL52" s="556"/>
      <c r="HYM52" s="556"/>
      <c r="HYN52" s="556"/>
      <c r="HYO52" s="556"/>
      <c r="HYP52" s="556"/>
      <c r="HYQ52" s="556"/>
      <c r="HYR52" s="556"/>
      <c r="HYS52" s="556"/>
      <c r="HYT52" s="556"/>
      <c r="HYU52" s="556"/>
      <c r="HYV52" s="556"/>
      <c r="HYW52" s="556"/>
      <c r="HYX52" s="556"/>
      <c r="HYY52" s="556"/>
      <c r="HYZ52" s="556"/>
      <c r="HZA52" s="556"/>
      <c r="HZB52" s="556"/>
      <c r="HZC52" s="556"/>
      <c r="HZD52" s="556"/>
      <c r="HZE52" s="556"/>
      <c r="HZF52" s="556"/>
      <c r="HZG52" s="556"/>
      <c r="HZH52" s="556"/>
      <c r="HZI52" s="556"/>
      <c r="HZJ52" s="556"/>
      <c r="HZK52" s="556"/>
      <c r="HZL52" s="556"/>
      <c r="HZM52" s="556"/>
      <c r="HZN52" s="556"/>
      <c r="HZO52" s="556"/>
      <c r="HZP52" s="556"/>
      <c r="HZQ52" s="556"/>
      <c r="HZR52" s="556"/>
      <c r="HZS52" s="556"/>
      <c r="HZT52" s="556"/>
      <c r="HZU52" s="556"/>
      <c r="HZV52" s="556"/>
      <c r="HZW52" s="556"/>
      <c r="HZX52" s="556"/>
      <c r="HZY52" s="556"/>
      <c r="HZZ52" s="556"/>
      <c r="IAA52" s="556"/>
      <c r="IAB52" s="556"/>
      <c r="IAC52" s="556"/>
      <c r="IAD52" s="556"/>
      <c r="IAE52" s="556"/>
      <c r="IAF52" s="556"/>
      <c r="IAG52" s="556"/>
      <c r="IAH52" s="556"/>
      <c r="IAI52" s="556"/>
      <c r="IAJ52" s="556"/>
      <c r="IAK52" s="556"/>
      <c r="IAL52" s="556"/>
      <c r="IAM52" s="556"/>
      <c r="IAN52" s="556"/>
      <c r="IAO52" s="556"/>
      <c r="IAP52" s="556"/>
      <c r="IAQ52" s="556"/>
      <c r="IAR52" s="556"/>
      <c r="IAS52" s="556"/>
      <c r="IAT52" s="556"/>
      <c r="IAU52" s="556"/>
      <c r="IAV52" s="556"/>
      <c r="IAW52" s="556"/>
      <c r="IAX52" s="556"/>
      <c r="IAY52" s="556"/>
      <c r="IAZ52" s="556"/>
      <c r="IBA52" s="556"/>
      <c r="IBB52" s="556"/>
      <c r="IBC52" s="556"/>
      <c r="IBD52" s="556"/>
      <c r="IBE52" s="556"/>
      <c r="IBF52" s="556"/>
      <c r="IBG52" s="556"/>
      <c r="IBH52" s="556"/>
      <c r="IBI52" s="556"/>
      <c r="IBJ52" s="556"/>
      <c r="IBK52" s="556"/>
      <c r="IBL52" s="556"/>
      <c r="IBM52" s="556"/>
      <c r="IBN52" s="556"/>
      <c r="IBO52" s="556"/>
      <c r="IBP52" s="556"/>
      <c r="IBQ52" s="556"/>
      <c r="IBR52" s="556"/>
      <c r="IBS52" s="556"/>
      <c r="IBT52" s="556"/>
      <c r="IBU52" s="556"/>
      <c r="IBV52" s="556"/>
      <c r="IBW52" s="556"/>
      <c r="IBX52" s="556"/>
      <c r="IBY52" s="556"/>
      <c r="IBZ52" s="556"/>
      <c r="ICA52" s="556"/>
      <c r="ICB52" s="556"/>
      <c r="ICC52" s="556"/>
      <c r="ICD52" s="556"/>
      <c r="ICE52" s="556"/>
      <c r="ICF52" s="556"/>
      <c r="ICG52" s="556"/>
      <c r="ICH52" s="556"/>
      <c r="ICI52" s="556"/>
      <c r="ICJ52" s="556"/>
      <c r="ICK52" s="556"/>
      <c r="ICL52" s="556"/>
      <c r="ICM52" s="556"/>
      <c r="ICN52" s="556"/>
      <c r="ICO52" s="556"/>
      <c r="ICP52" s="556"/>
      <c r="ICQ52" s="556"/>
      <c r="ICR52" s="556"/>
      <c r="ICS52" s="556"/>
      <c r="ICT52" s="556"/>
      <c r="ICU52" s="556"/>
      <c r="ICV52" s="556"/>
      <c r="ICW52" s="556"/>
      <c r="ICX52" s="556"/>
      <c r="ICY52" s="556"/>
      <c r="ICZ52" s="556"/>
      <c r="IDA52" s="556"/>
      <c r="IDB52" s="556"/>
      <c r="IDC52" s="556"/>
      <c r="IDD52" s="556"/>
      <c r="IDE52" s="556"/>
      <c r="IDF52" s="556"/>
      <c r="IDG52" s="556"/>
      <c r="IDH52" s="556"/>
      <c r="IDI52" s="556"/>
      <c r="IDJ52" s="556"/>
      <c r="IDK52" s="556"/>
      <c r="IDL52" s="556"/>
      <c r="IDM52" s="556"/>
      <c r="IDN52" s="556"/>
      <c r="IDO52" s="556"/>
      <c r="IDP52" s="556"/>
      <c r="IDQ52" s="556"/>
      <c r="IDR52" s="556"/>
      <c r="IDS52" s="556"/>
      <c r="IDT52" s="556"/>
      <c r="IDU52" s="556"/>
      <c r="IDV52" s="556"/>
      <c r="IDW52" s="556"/>
      <c r="IDX52" s="556"/>
      <c r="IDY52" s="556"/>
      <c r="IDZ52" s="556"/>
      <c r="IEA52" s="556"/>
      <c r="IEB52" s="556"/>
      <c r="IEC52" s="556"/>
      <c r="IED52" s="556"/>
      <c r="IEE52" s="556"/>
      <c r="IEF52" s="556"/>
      <c r="IEG52" s="556"/>
      <c r="IEH52" s="556"/>
      <c r="IEI52" s="556"/>
      <c r="IEJ52" s="556"/>
      <c r="IEK52" s="556"/>
      <c r="IEL52" s="556"/>
      <c r="IEM52" s="556"/>
      <c r="IEN52" s="556"/>
      <c r="IEO52" s="556"/>
      <c r="IEP52" s="556"/>
      <c r="IEQ52" s="556"/>
      <c r="IER52" s="556"/>
      <c r="IES52" s="556"/>
      <c r="IET52" s="556"/>
      <c r="IEU52" s="556"/>
      <c r="IEV52" s="556"/>
      <c r="IEW52" s="556"/>
      <c r="IEX52" s="556"/>
      <c r="IEY52" s="556"/>
      <c r="IEZ52" s="556"/>
      <c r="IFA52" s="556"/>
      <c r="IFB52" s="556"/>
      <c r="IFC52" s="556"/>
      <c r="IFD52" s="556"/>
      <c r="IFE52" s="556"/>
      <c r="IFF52" s="556"/>
      <c r="IFG52" s="556"/>
      <c r="IFH52" s="556"/>
      <c r="IFI52" s="556"/>
      <c r="IFJ52" s="556"/>
      <c r="IFK52" s="556"/>
      <c r="IFL52" s="556"/>
      <c r="IFM52" s="556"/>
      <c r="IFN52" s="556"/>
      <c r="IFO52" s="556"/>
      <c r="IFP52" s="556"/>
      <c r="IFQ52" s="556"/>
      <c r="IFR52" s="556"/>
      <c r="IFS52" s="556"/>
      <c r="IFT52" s="556"/>
      <c r="IFU52" s="556"/>
      <c r="IFV52" s="556"/>
      <c r="IFW52" s="556"/>
      <c r="IFX52" s="556"/>
      <c r="IFY52" s="556"/>
      <c r="IFZ52" s="556"/>
      <c r="IGA52" s="556"/>
      <c r="IGB52" s="556"/>
      <c r="IGC52" s="556"/>
      <c r="IGD52" s="556"/>
      <c r="IGE52" s="556"/>
      <c r="IGF52" s="556"/>
      <c r="IGG52" s="556"/>
      <c r="IGH52" s="556"/>
      <c r="IGI52" s="556"/>
      <c r="IGJ52" s="556"/>
      <c r="IGK52" s="556"/>
      <c r="IGL52" s="556"/>
      <c r="IGM52" s="556"/>
      <c r="IGN52" s="556"/>
      <c r="IGO52" s="556"/>
      <c r="IGP52" s="556"/>
      <c r="IGQ52" s="556"/>
      <c r="IGR52" s="556"/>
      <c r="IGS52" s="556"/>
      <c r="IGT52" s="556"/>
      <c r="IGU52" s="556"/>
      <c r="IGV52" s="556"/>
      <c r="IGW52" s="556"/>
      <c r="IGX52" s="556"/>
      <c r="IGY52" s="556"/>
      <c r="IGZ52" s="556"/>
      <c r="IHA52" s="556"/>
      <c r="IHB52" s="556"/>
      <c r="IHC52" s="556"/>
      <c r="IHD52" s="556"/>
      <c r="IHE52" s="556"/>
      <c r="IHF52" s="556"/>
      <c r="IHG52" s="556"/>
      <c r="IHH52" s="556"/>
      <c r="IHI52" s="556"/>
      <c r="IHJ52" s="556"/>
      <c r="IHK52" s="556"/>
      <c r="IHL52" s="556"/>
      <c r="IHM52" s="556"/>
      <c r="IHN52" s="556"/>
      <c r="IHO52" s="556"/>
      <c r="IHP52" s="556"/>
      <c r="IHQ52" s="556"/>
      <c r="IHR52" s="556"/>
      <c r="IHS52" s="556"/>
      <c r="IHT52" s="556"/>
      <c r="IHU52" s="556"/>
      <c r="IHV52" s="556"/>
      <c r="IHW52" s="556"/>
      <c r="IHX52" s="556"/>
      <c r="IHY52" s="556"/>
      <c r="IHZ52" s="556"/>
      <c r="IIA52" s="556"/>
      <c r="IIB52" s="556"/>
      <c r="IIC52" s="556"/>
      <c r="IID52" s="556"/>
      <c r="IIE52" s="556"/>
      <c r="IIF52" s="556"/>
      <c r="IIG52" s="556"/>
      <c r="IIH52" s="556"/>
      <c r="III52" s="556"/>
      <c r="IIJ52" s="556"/>
      <c r="IIK52" s="556"/>
      <c r="IIL52" s="556"/>
      <c r="IIM52" s="556"/>
      <c r="IIN52" s="556"/>
      <c r="IIO52" s="556"/>
      <c r="IIP52" s="556"/>
      <c r="IIQ52" s="556"/>
      <c r="IIR52" s="556"/>
      <c r="IIS52" s="556"/>
      <c r="IIT52" s="556"/>
      <c r="IIU52" s="556"/>
      <c r="IIV52" s="556"/>
      <c r="IIW52" s="556"/>
      <c r="IIX52" s="556"/>
      <c r="IIY52" s="556"/>
      <c r="IIZ52" s="556"/>
      <c r="IJA52" s="556"/>
      <c r="IJB52" s="556"/>
      <c r="IJC52" s="556"/>
      <c r="IJD52" s="556"/>
      <c r="IJE52" s="556"/>
      <c r="IJF52" s="556"/>
      <c r="IJG52" s="556"/>
      <c r="IJH52" s="556"/>
      <c r="IJI52" s="556"/>
      <c r="IJJ52" s="556"/>
      <c r="IJK52" s="556"/>
      <c r="IJL52" s="556"/>
      <c r="IJM52" s="556"/>
      <c r="IJN52" s="556"/>
      <c r="IJO52" s="556"/>
      <c r="IJP52" s="556"/>
      <c r="IJQ52" s="556"/>
      <c r="IJR52" s="556"/>
      <c r="IJS52" s="556"/>
      <c r="IJT52" s="556"/>
      <c r="IJU52" s="556"/>
      <c r="IJV52" s="556"/>
      <c r="IJW52" s="556"/>
      <c r="IJX52" s="556"/>
      <c r="IJY52" s="556"/>
      <c r="IJZ52" s="556"/>
      <c r="IKA52" s="556"/>
      <c r="IKB52" s="556"/>
      <c r="IKC52" s="556"/>
      <c r="IKD52" s="556"/>
      <c r="IKE52" s="556"/>
      <c r="IKF52" s="556"/>
      <c r="IKG52" s="556"/>
      <c r="IKH52" s="556"/>
      <c r="IKI52" s="556"/>
      <c r="IKJ52" s="556"/>
      <c r="IKK52" s="556"/>
      <c r="IKL52" s="556"/>
      <c r="IKM52" s="556"/>
      <c r="IKN52" s="556"/>
      <c r="IKO52" s="556"/>
      <c r="IKP52" s="556"/>
      <c r="IKQ52" s="556"/>
      <c r="IKR52" s="556"/>
      <c r="IKS52" s="556"/>
      <c r="IKT52" s="556"/>
      <c r="IKU52" s="556"/>
      <c r="IKV52" s="556"/>
      <c r="IKW52" s="556"/>
      <c r="IKX52" s="556"/>
      <c r="IKY52" s="556"/>
      <c r="IKZ52" s="556"/>
      <c r="ILA52" s="556"/>
      <c r="ILB52" s="556"/>
      <c r="ILC52" s="556"/>
      <c r="ILD52" s="556"/>
      <c r="ILE52" s="556"/>
      <c r="ILF52" s="556"/>
      <c r="ILG52" s="556"/>
      <c r="ILH52" s="556"/>
      <c r="ILI52" s="556"/>
      <c r="ILJ52" s="556"/>
      <c r="ILK52" s="556"/>
      <c r="ILL52" s="556"/>
      <c r="ILM52" s="556"/>
      <c r="ILN52" s="556"/>
      <c r="ILO52" s="556"/>
      <c r="ILP52" s="556"/>
      <c r="ILQ52" s="556"/>
      <c r="ILR52" s="556"/>
      <c r="ILS52" s="556"/>
      <c r="ILT52" s="556"/>
      <c r="ILU52" s="556"/>
      <c r="ILV52" s="556"/>
      <c r="ILW52" s="556"/>
      <c r="ILX52" s="556"/>
      <c r="ILY52" s="556"/>
      <c r="ILZ52" s="556"/>
      <c r="IMA52" s="556"/>
      <c r="IMB52" s="556"/>
      <c r="IMC52" s="556"/>
      <c r="IMD52" s="556"/>
      <c r="IME52" s="556"/>
      <c r="IMF52" s="556"/>
      <c r="IMG52" s="556"/>
      <c r="IMH52" s="556"/>
      <c r="IMI52" s="556"/>
      <c r="IMJ52" s="556"/>
      <c r="IMK52" s="556"/>
      <c r="IML52" s="556"/>
      <c r="IMM52" s="556"/>
      <c r="IMN52" s="556"/>
      <c r="IMO52" s="556"/>
      <c r="IMP52" s="556"/>
      <c r="IMQ52" s="556"/>
      <c r="IMR52" s="556"/>
      <c r="IMS52" s="556"/>
      <c r="IMT52" s="556"/>
      <c r="IMU52" s="556"/>
      <c r="IMV52" s="556"/>
      <c r="IMW52" s="556"/>
      <c r="IMX52" s="556"/>
      <c r="IMY52" s="556"/>
      <c r="IMZ52" s="556"/>
      <c r="INA52" s="556"/>
      <c r="INB52" s="556"/>
      <c r="INC52" s="556"/>
      <c r="IND52" s="556"/>
      <c r="INE52" s="556"/>
      <c r="INF52" s="556"/>
      <c r="ING52" s="556"/>
      <c r="INH52" s="556"/>
      <c r="INI52" s="556"/>
      <c r="INJ52" s="556"/>
      <c r="INK52" s="556"/>
      <c r="INL52" s="556"/>
      <c r="INM52" s="556"/>
      <c r="INN52" s="556"/>
      <c r="INO52" s="556"/>
      <c r="INP52" s="556"/>
      <c r="INQ52" s="556"/>
      <c r="INR52" s="556"/>
      <c r="INS52" s="556"/>
      <c r="INT52" s="556"/>
      <c r="INU52" s="556"/>
      <c r="INV52" s="556"/>
      <c r="INW52" s="556"/>
      <c r="INX52" s="556"/>
      <c r="INY52" s="556"/>
      <c r="INZ52" s="556"/>
      <c r="IOA52" s="556"/>
      <c r="IOB52" s="556"/>
      <c r="IOC52" s="556"/>
      <c r="IOD52" s="556"/>
      <c r="IOE52" s="556"/>
      <c r="IOF52" s="556"/>
      <c r="IOG52" s="556"/>
      <c r="IOH52" s="556"/>
      <c r="IOI52" s="556"/>
      <c r="IOJ52" s="556"/>
      <c r="IOK52" s="556"/>
      <c r="IOL52" s="556"/>
      <c r="IOM52" s="556"/>
      <c r="ION52" s="556"/>
      <c r="IOO52" s="556"/>
      <c r="IOP52" s="556"/>
      <c r="IOQ52" s="556"/>
      <c r="IOR52" s="556"/>
      <c r="IOS52" s="556"/>
      <c r="IOT52" s="556"/>
      <c r="IOU52" s="556"/>
      <c r="IOV52" s="556"/>
      <c r="IOW52" s="556"/>
      <c r="IOX52" s="556"/>
      <c r="IOY52" s="556"/>
      <c r="IOZ52" s="556"/>
      <c r="IPA52" s="556"/>
      <c r="IPB52" s="556"/>
      <c r="IPC52" s="556"/>
      <c r="IPD52" s="556"/>
      <c r="IPE52" s="556"/>
      <c r="IPF52" s="556"/>
      <c r="IPG52" s="556"/>
      <c r="IPH52" s="556"/>
      <c r="IPI52" s="556"/>
      <c r="IPJ52" s="556"/>
      <c r="IPK52" s="556"/>
      <c r="IPL52" s="556"/>
      <c r="IPM52" s="556"/>
      <c r="IPN52" s="556"/>
      <c r="IPO52" s="556"/>
      <c r="IPP52" s="556"/>
      <c r="IPQ52" s="556"/>
      <c r="IPR52" s="556"/>
      <c r="IPS52" s="556"/>
      <c r="IPT52" s="556"/>
      <c r="IPU52" s="556"/>
      <c r="IPV52" s="556"/>
      <c r="IPW52" s="556"/>
      <c r="IPX52" s="556"/>
      <c r="IPY52" s="556"/>
      <c r="IPZ52" s="556"/>
      <c r="IQA52" s="556"/>
      <c r="IQB52" s="556"/>
      <c r="IQC52" s="556"/>
      <c r="IQD52" s="556"/>
      <c r="IQE52" s="556"/>
      <c r="IQF52" s="556"/>
      <c r="IQG52" s="556"/>
      <c r="IQH52" s="556"/>
      <c r="IQI52" s="556"/>
      <c r="IQJ52" s="556"/>
      <c r="IQK52" s="556"/>
      <c r="IQL52" s="556"/>
      <c r="IQM52" s="556"/>
      <c r="IQN52" s="556"/>
      <c r="IQO52" s="556"/>
      <c r="IQP52" s="556"/>
      <c r="IQQ52" s="556"/>
      <c r="IQR52" s="556"/>
      <c r="IQS52" s="556"/>
      <c r="IQT52" s="556"/>
      <c r="IQU52" s="556"/>
      <c r="IQV52" s="556"/>
      <c r="IQW52" s="556"/>
      <c r="IQX52" s="556"/>
      <c r="IQY52" s="556"/>
      <c r="IQZ52" s="556"/>
      <c r="IRA52" s="556"/>
      <c r="IRB52" s="556"/>
      <c r="IRC52" s="556"/>
      <c r="IRD52" s="556"/>
      <c r="IRE52" s="556"/>
      <c r="IRF52" s="556"/>
      <c r="IRG52" s="556"/>
      <c r="IRH52" s="556"/>
      <c r="IRI52" s="556"/>
      <c r="IRJ52" s="556"/>
      <c r="IRK52" s="556"/>
      <c r="IRL52" s="556"/>
      <c r="IRM52" s="556"/>
      <c r="IRN52" s="556"/>
      <c r="IRO52" s="556"/>
      <c r="IRP52" s="556"/>
      <c r="IRQ52" s="556"/>
      <c r="IRR52" s="556"/>
      <c r="IRS52" s="556"/>
      <c r="IRT52" s="556"/>
      <c r="IRU52" s="556"/>
      <c r="IRV52" s="556"/>
      <c r="IRW52" s="556"/>
      <c r="IRX52" s="556"/>
      <c r="IRY52" s="556"/>
      <c r="IRZ52" s="556"/>
      <c r="ISA52" s="556"/>
      <c r="ISB52" s="556"/>
      <c r="ISC52" s="556"/>
      <c r="ISD52" s="556"/>
      <c r="ISE52" s="556"/>
      <c r="ISF52" s="556"/>
      <c r="ISG52" s="556"/>
      <c r="ISH52" s="556"/>
      <c r="ISI52" s="556"/>
      <c r="ISJ52" s="556"/>
      <c r="ISK52" s="556"/>
      <c r="ISL52" s="556"/>
      <c r="ISM52" s="556"/>
      <c r="ISN52" s="556"/>
      <c r="ISO52" s="556"/>
      <c r="ISP52" s="556"/>
      <c r="ISQ52" s="556"/>
      <c r="ISR52" s="556"/>
      <c r="ISS52" s="556"/>
      <c r="IST52" s="556"/>
      <c r="ISU52" s="556"/>
      <c r="ISV52" s="556"/>
      <c r="ISW52" s="556"/>
      <c r="ISX52" s="556"/>
      <c r="ISY52" s="556"/>
      <c r="ISZ52" s="556"/>
      <c r="ITA52" s="556"/>
      <c r="ITB52" s="556"/>
      <c r="ITC52" s="556"/>
      <c r="ITD52" s="556"/>
      <c r="ITE52" s="556"/>
      <c r="ITF52" s="556"/>
      <c r="ITG52" s="556"/>
      <c r="ITH52" s="556"/>
      <c r="ITI52" s="556"/>
      <c r="ITJ52" s="556"/>
      <c r="ITK52" s="556"/>
      <c r="ITL52" s="556"/>
      <c r="ITM52" s="556"/>
      <c r="ITN52" s="556"/>
      <c r="ITO52" s="556"/>
      <c r="ITP52" s="556"/>
      <c r="ITQ52" s="556"/>
      <c r="ITR52" s="556"/>
      <c r="ITS52" s="556"/>
      <c r="ITT52" s="556"/>
      <c r="ITU52" s="556"/>
      <c r="ITV52" s="556"/>
      <c r="ITW52" s="556"/>
      <c r="ITX52" s="556"/>
      <c r="ITY52" s="556"/>
      <c r="ITZ52" s="556"/>
      <c r="IUA52" s="556"/>
      <c r="IUB52" s="556"/>
      <c r="IUC52" s="556"/>
      <c r="IUD52" s="556"/>
      <c r="IUE52" s="556"/>
      <c r="IUF52" s="556"/>
      <c r="IUG52" s="556"/>
      <c r="IUH52" s="556"/>
      <c r="IUI52" s="556"/>
      <c r="IUJ52" s="556"/>
      <c r="IUK52" s="556"/>
      <c r="IUL52" s="556"/>
      <c r="IUM52" s="556"/>
      <c r="IUN52" s="556"/>
      <c r="IUO52" s="556"/>
      <c r="IUP52" s="556"/>
      <c r="IUQ52" s="556"/>
      <c r="IUR52" s="556"/>
      <c r="IUS52" s="556"/>
      <c r="IUT52" s="556"/>
      <c r="IUU52" s="556"/>
      <c r="IUV52" s="556"/>
      <c r="IUW52" s="556"/>
      <c r="IUX52" s="556"/>
      <c r="IUY52" s="556"/>
      <c r="IUZ52" s="556"/>
      <c r="IVA52" s="556"/>
      <c r="IVB52" s="556"/>
      <c r="IVC52" s="556"/>
      <c r="IVD52" s="556"/>
      <c r="IVE52" s="556"/>
      <c r="IVF52" s="556"/>
      <c r="IVG52" s="556"/>
      <c r="IVH52" s="556"/>
      <c r="IVI52" s="556"/>
      <c r="IVJ52" s="556"/>
      <c r="IVK52" s="556"/>
      <c r="IVL52" s="556"/>
      <c r="IVM52" s="556"/>
      <c r="IVN52" s="556"/>
      <c r="IVO52" s="556"/>
      <c r="IVP52" s="556"/>
      <c r="IVQ52" s="556"/>
      <c r="IVR52" s="556"/>
      <c r="IVS52" s="556"/>
      <c r="IVT52" s="556"/>
      <c r="IVU52" s="556"/>
      <c r="IVV52" s="556"/>
      <c r="IVW52" s="556"/>
      <c r="IVX52" s="556"/>
      <c r="IVY52" s="556"/>
      <c r="IVZ52" s="556"/>
      <c r="IWA52" s="556"/>
      <c r="IWB52" s="556"/>
      <c r="IWC52" s="556"/>
      <c r="IWD52" s="556"/>
      <c r="IWE52" s="556"/>
      <c r="IWF52" s="556"/>
      <c r="IWG52" s="556"/>
      <c r="IWH52" s="556"/>
      <c r="IWI52" s="556"/>
      <c r="IWJ52" s="556"/>
      <c r="IWK52" s="556"/>
      <c r="IWL52" s="556"/>
      <c r="IWM52" s="556"/>
      <c r="IWN52" s="556"/>
      <c r="IWO52" s="556"/>
      <c r="IWP52" s="556"/>
      <c r="IWQ52" s="556"/>
      <c r="IWR52" s="556"/>
      <c r="IWS52" s="556"/>
      <c r="IWT52" s="556"/>
      <c r="IWU52" s="556"/>
      <c r="IWV52" s="556"/>
      <c r="IWW52" s="556"/>
      <c r="IWX52" s="556"/>
      <c r="IWY52" s="556"/>
      <c r="IWZ52" s="556"/>
      <c r="IXA52" s="556"/>
      <c r="IXB52" s="556"/>
      <c r="IXC52" s="556"/>
      <c r="IXD52" s="556"/>
      <c r="IXE52" s="556"/>
      <c r="IXF52" s="556"/>
      <c r="IXG52" s="556"/>
      <c r="IXH52" s="556"/>
      <c r="IXI52" s="556"/>
      <c r="IXJ52" s="556"/>
      <c r="IXK52" s="556"/>
      <c r="IXL52" s="556"/>
      <c r="IXM52" s="556"/>
      <c r="IXN52" s="556"/>
      <c r="IXO52" s="556"/>
      <c r="IXP52" s="556"/>
      <c r="IXQ52" s="556"/>
      <c r="IXR52" s="556"/>
      <c r="IXS52" s="556"/>
      <c r="IXT52" s="556"/>
      <c r="IXU52" s="556"/>
      <c r="IXV52" s="556"/>
      <c r="IXW52" s="556"/>
      <c r="IXX52" s="556"/>
      <c r="IXY52" s="556"/>
      <c r="IXZ52" s="556"/>
      <c r="IYA52" s="556"/>
      <c r="IYB52" s="556"/>
      <c r="IYC52" s="556"/>
      <c r="IYD52" s="556"/>
      <c r="IYE52" s="556"/>
      <c r="IYF52" s="556"/>
      <c r="IYG52" s="556"/>
      <c r="IYH52" s="556"/>
      <c r="IYI52" s="556"/>
      <c r="IYJ52" s="556"/>
      <c r="IYK52" s="556"/>
      <c r="IYL52" s="556"/>
      <c r="IYM52" s="556"/>
      <c r="IYN52" s="556"/>
      <c r="IYO52" s="556"/>
      <c r="IYP52" s="556"/>
      <c r="IYQ52" s="556"/>
      <c r="IYR52" s="556"/>
      <c r="IYS52" s="556"/>
      <c r="IYT52" s="556"/>
      <c r="IYU52" s="556"/>
      <c r="IYV52" s="556"/>
      <c r="IYW52" s="556"/>
      <c r="IYX52" s="556"/>
      <c r="IYY52" s="556"/>
      <c r="IYZ52" s="556"/>
      <c r="IZA52" s="556"/>
      <c r="IZB52" s="556"/>
      <c r="IZC52" s="556"/>
      <c r="IZD52" s="556"/>
      <c r="IZE52" s="556"/>
      <c r="IZF52" s="556"/>
      <c r="IZG52" s="556"/>
      <c r="IZH52" s="556"/>
      <c r="IZI52" s="556"/>
      <c r="IZJ52" s="556"/>
      <c r="IZK52" s="556"/>
      <c r="IZL52" s="556"/>
      <c r="IZM52" s="556"/>
      <c r="IZN52" s="556"/>
      <c r="IZO52" s="556"/>
      <c r="IZP52" s="556"/>
      <c r="IZQ52" s="556"/>
      <c r="IZR52" s="556"/>
      <c r="IZS52" s="556"/>
      <c r="IZT52" s="556"/>
      <c r="IZU52" s="556"/>
      <c r="IZV52" s="556"/>
      <c r="IZW52" s="556"/>
      <c r="IZX52" s="556"/>
      <c r="IZY52" s="556"/>
      <c r="IZZ52" s="556"/>
      <c r="JAA52" s="556"/>
      <c r="JAB52" s="556"/>
      <c r="JAC52" s="556"/>
      <c r="JAD52" s="556"/>
      <c r="JAE52" s="556"/>
      <c r="JAF52" s="556"/>
      <c r="JAG52" s="556"/>
      <c r="JAH52" s="556"/>
      <c r="JAI52" s="556"/>
      <c r="JAJ52" s="556"/>
      <c r="JAK52" s="556"/>
      <c r="JAL52" s="556"/>
      <c r="JAM52" s="556"/>
      <c r="JAN52" s="556"/>
      <c r="JAO52" s="556"/>
      <c r="JAP52" s="556"/>
      <c r="JAQ52" s="556"/>
      <c r="JAR52" s="556"/>
      <c r="JAS52" s="556"/>
      <c r="JAT52" s="556"/>
      <c r="JAU52" s="556"/>
      <c r="JAV52" s="556"/>
      <c r="JAW52" s="556"/>
      <c r="JAX52" s="556"/>
      <c r="JAY52" s="556"/>
      <c r="JAZ52" s="556"/>
      <c r="JBA52" s="556"/>
      <c r="JBB52" s="556"/>
      <c r="JBC52" s="556"/>
      <c r="JBD52" s="556"/>
      <c r="JBE52" s="556"/>
      <c r="JBF52" s="556"/>
      <c r="JBG52" s="556"/>
      <c r="JBH52" s="556"/>
      <c r="JBI52" s="556"/>
      <c r="JBJ52" s="556"/>
      <c r="JBK52" s="556"/>
      <c r="JBL52" s="556"/>
      <c r="JBM52" s="556"/>
      <c r="JBN52" s="556"/>
      <c r="JBO52" s="556"/>
      <c r="JBP52" s="556"/>
      <c r="JBQ52" s="556"/>
      <c r="JBR52" s="556"/>
      <c r="JBS52" s="556"/>
      <c r="JBT52" s="556"/>
      <c r="JBU52" s="556"/>
      <c r="JBV52" s="556"/>
      <c r="JBW52" s="556"/>
      <c r="JBX52" s="556"/>
      <c r="JBY52" s="556"/>
      <c r="JBZ52" s="556"/>
      <c r="JCA52" s="556"/>
      <c r="JCB52" s="556"/>
      <c r="JCC52" s="556"/>
      <c r="JCD52" s="556"/>
      <c r="JCE52" s="556"/>
      <c r="JCF52" s="556"/>
      <c r="JCG52" s="556"/>
      <c r="JCH52" s="556"/>
      <c r="JCI52" s="556"/>
      <c r="JCJ52" s="556"/>
      <c r="JCK52" s="556"/>
      <c r="JCL52" s="556"/>
      <c r="JCM52" s="556"/>
      <c r="JCN52" s="556"/>
      <c r="JCO52" s="556"/>
      <c r="JCP52" s="556"/>
      <c r="JCQ52" s="556"/>
      <c r="JCR52" s="556"/>
      <c r="JCS52" s="556"/>
      <c r="JCT52" s="556"/>
      <c r="JCU52" s="556"/>
      <c r="JCV52" s="556"/>
      <c r="JCW52" s="556"/>
      <c r="JCX52" s="556"/>
      <c r="JCY52" s="556"/>
      <c r="JCZ52" s="556"/>
      <c r="JDA52" s="556"/>
      <c r="JDB52" s="556"/>
      <c r="JDC52" s="556"/>
      <c r="JDD52" s="556"/>
      <c r="JDE52" s="556"/>
      <c r="JDF52" s="556"/>
      <c r="JDG52" s="556"/>
      <c r="JDH52" s="556"/>
      <c r="JDI52" s="556"/>
      <c r="JDJ52" s="556"/>
      <c r="JDK52" s="556"/>
      <c r="JDL52" s="556"/>
      <c r="JDM52" s="556"/>
      <c r="JDN52" s="556"/>
      <c r="JDO52" s="556"/>
      <c r="JDP52" s="556"/>
      <c r="JDQ52" s="556"/>
      <c r="JDR52" s="556"/>
      <c r="JDS52" s="556"/>
      <c r="JDT52" s="556"/>
      <c r="JDU52" s="556"/>
      <c r="JDV52" s="556"/>
      <c r="JDW52" s="556"/>
      <c r="JDX52" s="556"/>
      <c r="JDY52" s="556"/>
      <c r="JDZ52" s="556"/>
      <c r="JEA52" s="556"/>
      <c r="JEB52" s="556"/>
      <c r="JEC52" s="556"/>
      <c r="JED52" s="556"/>
      <c r="JEE52" s="556"/>
      <c r="JEF52" s="556"/>
      <c r="JEG52" s="556"/>
      <c r="JEH52" s="556"/>
      <c r="JEI52" s="556"/>
      <c r="JEJ52" s="556"/>
      <c r="JEK52" s="556"/>
      <c r="JEL52" s="556"/>
      <c r="JEM52" s="556"/>
      <c r="JEN52" s="556"/>
      <c r="JEO52" s="556"/>
      <c r="JEP52" s="556"/>
      <c r="JEQ52" s="556"/>
      <c r="JER52" s="556"/>
      <c r="JES52" s="556"/>
      <c r="JET52" s="556"/>
      <c r="JEU52" s="556"/>
      <c r="JEV52" s="556"/>
      <c r="JEW52" s="556"/>
      <c r="JEX52" s="556"/>
      <c r="JEY52" s="556"/>
      <c r="JEZ52" s="556"/>
      <c r="JFA52" s="556"/>
      <c r="JFB52" s="556"/>
      <c r="JFC52" s="556"/>
      <c r="JFD52" s="556"/>
      <c r="JFE52" s="556"/>
      <c r="JFF52" s="556"/>
      <c r="JFG52" s="556"/>
      <c r="JFH52" s="556"/>
      <c r="JFI52" s="556"/>
      <c r="JFJ52" s="556"/>
      <c r="JFK52" s="556"/>
      <c r="JFL52" s="556"/>
      <c r="JFM52" s="556"/>
      <c r="JFN52" s="556"/>
      <c r="JFO52" s="556"/>
      <c r="JFP52" s="556"/>
      <c r="JFQ52" s="556"/>
      <c r="JFR52" s="556"/>
      <c r="JFS52" s="556"/>
      <c r="JFT52" s="556"/>
      <c r="JFU52" s="556"/>
      <c r="JFV52" s="556"/>
      <c r="JFW52" s="556"/>
      <c r="JFX52" s="556"/>
      <c r="JFY52" s="556"/>
      <c r="JFZ52" s="556"/>
      <c r="JGA52" s="556"/>
      <c r="JGB52" s="556"/>
      <c r="JGC52" s="556"/>
      <c r="JGD52" s="556"/>
      <c r="JGE52" s="556"/>
      <c r="JGF52" s="556"/>
      <c r="JGG52" s="556"/>
      <c r="JGH52" s="556"/>
      <c r="JGI52" s="556"/>
      <c r="JGJ52" s="556"/>
      <c r="JGK52" s="556"/>
      <c r="JGL52" s="556"/>
      <c r="JGM52" s="556"/>
      <c r="JGN52" s="556"/>
      <c r="JGO52" s="556"/>
      <c r="JGP52" s="556"/>
      <c r="JGQ52" s="556"/>
      <c r="JGR52" s="556"/>
      <c r="JGS52" s="556"/>
      <c r="JGT52" s="556"/>
      <c r="JGU52" s="556"/>
      <c r="JGV52" s="556"/>
      <c r="JGW52" s="556"/>
      <c r="JGX52" s="556"/>
      <c r="JGY52" s="556"/>
      <c r="JGZ52" s="556"/>
      <c r="JHA52" s="556"/>
      <c r="JHB52" s="556"/>
      <c r="JHC52" s="556"/>
      <c r="JHD52" s="556"/>
      <c r="JHE52" s="556"/>
      <c r="JHF52" s="556"/>
      <c r="JHG52" s="556"/>
      <c r="JHH52" s="556"/>
      <c r="JHI52" s="556"/>
      <c r="JHJ52" s="556"/>
      <c r="JHK52" s="556"/>
      <c r="JHL52" s="556"/>
      <c r="JHM52" s="556"/>
      <c r="JHN52" s="556"/>
      <c r="JHO52" s="556"/>
      <c r="JHP52" s="556"/>
      <c r="JHQ52" s="556"/>
      <c r="JHR52" s="556"/>
      <c r="JHS52" s="556"/>
      <c r="JHT52" s="556"/>
      <c r="JHU52" s="556"/>
      <c r="JHV52" s="556"/>
      <c r="JHW52" s="556"/>
      <c r="JHX52" s="556"/>
      <c r="JHY52" s="556"/>
      <c r="JHZ52" s="556"/>
      <c r="JIA52" s="556"/>
      <c r="JIB52" s="556"/>
      <c r="JIC52" s="556"/>
      <c r="JID52" s="556"/>
      <c r="JIE52" s="556"/>
      <c r="JIF52" s="556"/>
      <c r="JIG52" s="556"/>
      <c r="JIH52" s="556"/>
      <c r="JII52" s="556"/>
      <c r="JIJ52" s="556"/>
      <c r="JIK52" s="556"/>
      <c r="JIL52" s="556"/>
      <c r="JIM52" s="556"/>
      <c r="JIN52" s="556"/>
      <c r="JIO52" s="556"/>
      <c r="JIP52" s="556"/>
      <c r="JIQ52" s="556"/>
      <c r="JIR52" s="556"/>
      <c r="JIS52" s="556"/>
      <c r="JIT52" s="556"/>
      <c r="JIU52" s="556"/>
      <c r="JIV52" s="556"/>
      <c r="JIW52" s="556"/>
      <c r="JIX52" s="556"/>
      <c r="JIY52" s="556"/>
      <c r="JIZ52" s="556"/>
      <c r="JJA52" s="556"/>
      <c r="JJB52" s="556"/>
      <c r="JJC52" s="556"/>
      <c r="JJD52" s="556"/>
      <c r="JJE52" s="556"/>
      <c r="JJF52" s="556"/>
      <c r="JJG52" s="556"/>
      <c r="JJH52" s="556"/>
      <c r="JJI52" s="556"/>
      <c r="JJJ52" s="556"/>
      <c r="JJK52" s="556"/>
      <c r="JJL52" s="556"/>
      <c r="JJM52" s="556"/>
      <c r="JJN52" s="556"/>
      <c r="JJO52" s="556"/>
      <c r="JJP52" s="556"/>
      <c r="JJQ52" s="556"/>
      <c r="JJR52" s="556"/>
      <c r="JJS52" s="556"/>
      <c r="JJT52" s="556"/>
      <c r="JJU52" s="556"/>
      <c r="JJV52" s="556"/>
      <c r="JJW52" s="556"/>
      <c r="JJX52" s="556"/>
      <c r="JJY52" s="556"/>
      <c r="JJZ52" s="556"/>
      <c r="JKA52" s="556"/>
      <c r="JKB52" s="556"/>
      <c r="JKC52" s="556"/>
      <c r="JKD52" s="556"/>
      <c r="JKE52" s="556"/>
      <c r="JKF52" s="556"/>
      <c r="JKG52" s="556"/>
      <c r="JKH52" s="556"/>
      <c r="JKI52" s="556"/>
      <c r="JKJ52" s="556"/>
      <c r="JKK52" s="556"/>
      <c r="JKL52" s="556"/>
      <c r="JKM52" s="556"/>
      <c r="JKN52" s="556"/>
      <c r="JKO52" s="556"/>
      <c r="JKP52" s="556"/>
      <c r="JKQ52" s="556"/>
      <c r="JKR52" s="556"/>
      <c r="JKS52" s="556"/>
      <c r="JKT52" s="556"/>
      <c r="JKU52" s="556"/>
      <c r="JKV52" s="556"/>
      <c r="JKW52" s="556"/>
      <c r="JKX52" s="556"/>
      <c r="JKY52" s="556"/>
      <c r="JKZ52" s="556"/>
      <c r="JLA52" s="556"/>
      <c r="JLB52" s="556"/>
      <c r="JLC52" s="556"/>
      <c r="JLD52" s="556"/>
      <c r="JLE52" s="556"/>
      <c r="JLF52" s="556"/>
      <c r="JLG52" s="556"/>
      <c r="JLH52" s="556"/>
      <c r="JLI52" s="556"/>
      <c r="JLJ52" s="556"/>
      <c r="JLK52" s="556"/>
      <c r="JLL52" s="556"/>
      <c r="JLM52" s="556"/>
      <c r="JLN52" s="556"/>
      <c r="JLO52" s="556"/>
      <c r="JLP52" s="556"/>
      <c r="JLQ52" s="556"/>
      <c r="JLR52" s="556"/>
      <c r="JLS52" s="556"/>
      <c r="JLT52" s="556"/>
      <c r="JLU52" s="556"/>
      <c r="JLV52" s="556"/>
      <c r="JLW52" s="556"/>
      <c r="JLX52" s="556"/>
      <c r="JLY52" s="556"/>
      <c r="JLZ52" s="556"/>
      <c r="JMA52" s="556"/>
      <c r="JMB52" s="556"/>
      <c r="JMC52" s="556"/>
      <c r="JMD52" s="556"/>
      <c r="JME52" s="556"/>
      <c r="JMF52" s="556"/>
      <c r="JMG52" s="556"/>
      <c r="JMH52" s="556"/>
      <c r="JMI52" s="556"/>
      <c r="JMJ52" s="556"/>
      <c r="JMK52" s="556"/>
      <c r="JML52" s="556"/>
      <c r="JMM52" s="556"/>
      <c r="JMN52" s="556"/>
      <c r="JMO52" s="556"/>
      <c r="JMP52" s="556"/>
      <c r="JMQ52" s="556"/>
      <c r="JMR52" s="556"/>
      <c r="JMS52" s="556"/>
      <c r="JMT52" s="556"/>
      <c r="JMU52" s="556"/>
      <c r="JMV52" s="556"/>
      <c r="JMW52" s="556"/>
      <c r="JMX52" s="556"/>
      <c r="JMY52" s="556"/>
      <c r="JMZ52" s="556"/>
      <c r="JNA52" s="556"/>
      <c r="JNB52" s="556"/>
      <c r="JNC52" s="556"/>
      <c r="JND52" s="556"/>
      <c r="JNE52" s="556"/>
      <c r="JNF52" s="556"/>
      <c r="JNG52" s="556"/>
      <c r="JNH52" s="556"/>
      <c r="JNI52" s="556"/>
      <c r="JNJ52" s="556"/>
      <c r="JNK52" s="556"/>
      <c r="JNL52" s="556"/>
      <c r="JNM52" s="556"/>
      <c r="JNN52" s="556"/>
      <c r="JNO52" s="556"/>
      <c r="JNP52" s="556"/>
      <c r="JNQ52" s="556"/>
      <c r="JNR52" s="556"/>
      <c r="JNS52" s="556"/>
      <c r="JNT52" s="556"/>
      <c r="JNU52" s="556"/>
      <c r="JNV52" s="556"/>
      <c r="JNW52" s="556"/>
      <c r="JNX52" s="556"/>
      <c r="JNY52" s="556"/>
      <c r="JNZ52" s="556"/>
      <c r="JOA52" s="556"/>
      <c r="JOB52" s="556"/>
      <c r="JOC52" s="556"/>
      <c r="JOD52" s="556"/>
      <c r="JOE52" s="556"/>
      <c r="JOF52" s="556"/>
      <c r="JOG52" s="556"/>
      <c r="JOH52" s="556"/>
      <c r="JOI52" s="556"/>
      <c r="JOJ52" s="556"/>
      <c r="JOK52" s="556"/>
      <c r="JOL52" s="556"/>
      <c r="JOM52" s="556"/>
      <c r="JON52" s="556"/>
      <c r="JOO52" s="556"/>
      <c r="JOP52" s="556"/>
      <c r="JOQ52" s="556"/>
      <c r="JOR52" s="556"/>
      <c r="JOS52" s="556"/>
      <c r="JOT52" s="556"/>
      <c r="JOU52" s="556"/>
      <c r="JOV52" s="556"/>
      <c r="JOW52" s="556"/>
      <c r="JOX52" s="556"/>
      <c r="JOY52" s="556"/>
      <c r="JOZ52" s="556"/>
      <c r="JPA52" s="556"/>
      <c r="JPB52" s="556"/>
      <c r="JPC52" s="556"/>
      <c r="JPD52" s="556"/>
      <c r="JPE52" s="556"/>
      <c r="JPF52" s="556"/>
      <c r="JPG52" s="556"/>
      <c r="JPH52" s="556"/>
      <c r="JPI52" s="556"/>
      <c r="JPJ52" s="556"/>
      <c r="JPK52" s="556"/>
      <c r="JPL52" s="556"/>
      <c r="JPM52" s="556"/>
      <c r="JPN52" s="556"/>
      <c r="JPO52" s="556"/>
      <c r="JPP52" s="556"/>
      <c r="JPQ52" s="556"/>
      <c r="JPR52" s="556"/>
      <c r="JPS52" s="556"/>
      <c r="JPT52" s="556"/>
      <c r="JPU52" s="556"/>
      <c r="JPV52" s="556"/>
      <c r="JPW52" s="556"/>
      <c r="JPX52" s="556"/>
      <c r="JPY52" s="556"/>
      <c r="JPZ52" s="556"/>
      <c r="JQA52" s="556"/>
      <c r="JQB52" s="556"/>
      <c r="JQC52" s="556"/>
      <c r="JQD52" s="556"/>
      <c r="JQE52" s="556"/>
      <c r="JQF52" s="556"/>
      <c r="JQG52" s="556"/>
      <c r="JQH52" s="556"/>
      <c r="JQI52" s="556"/>
      <c r="JQJ52" s="556"/>
      <c r="JQK52" s="556"/>
      <c r="JQL52" s="556"/>
      <c r="JQM52" s="556"/>
      <c r="JQN52" s="556"/>
      <c r="JQO52" s="556"/>
      <c r="JQP52" s="556"/>
      <c r="JQQ52" s="556"/>
      <c r="JQR52" s="556"/>
      <c r="JQS52" s="556"/>
      <c r="JQT52" s="556"/>
      <c r="JQU52" s="556"/>
      <c r="JQV52" s="556"/>
      <c r="JQW52" s="556"/>
      <c r="JQX52" s="556"/>
      <c r="JQY52" s="556"/>
      <c r="JQZ52" s="556"/>
      <c r="JRA52" s="556"/>
      <c r="JRB52" s="556"/>
      <c r="JRC52" s="556"/>
      <c r="JRD52" s="556"/>
      <c r="JRE52" s="556"/>
      <c r="JRF52" s="556"/>
      <c r="JRG52" s="556"/>
      <c r="JRH52" s="556"/>
      <c r="JRI52" s="556"/>
      <c r="JRJ52" s="556"/>
      <c r="JRK52" s="556"/>
      <c r="JRL52" s="556"/>
      <c r="JRM52" s="556"/>
      <c r="JRN52" s="556"/>
      <c r="JRO52" s="556"/>
      <c r="JRP52" s="556"/>
      <c r="JRQ52" s="556"/>
      <c r="JRR52" s="556"/>
      <c r="JRS52" s="556"/>
      <c r="JRT52" s="556"/>
      <c r="JRU52" s="556"/>
      <c r="JRV52" s="556"/>
      <c r="JRW52" s="556"/>
      <c r="JRX52" s="556"/>
      <c r="JRY52" s="556"/>
      <c r="JRZ52" s="556"/>
      <c r="JSA52" s="556"/>
      <c r="JSB52" s="556"/>
      <c r="JSC52" s="556"/>
      <c r="JSD52" s="556"/>
      <c r="JSE52" s="556"/>
      <c r="JSF52" s="556"/>
      <c r="JSG52" s="556"/>
      <c r="JSH52" s="556"/>
      <c r="JSI52" s="556"/>
      <c r="JSJ52" s="556"/>
      <c r="JSK52" s="556"/>
      <c r="JSL52" s="556"/>
      <c r="JSM52" s="556"/>
      <c r="JSN52" s="556"/>
      <c r="JSO52" s="556"/>
      <c r="JSP52" s="556"/>
      <c r="JSQ52" s="556"/>
      <c r="JSR52" s="556"/>
      <c r="JSS52" s="556"/>
      <c r="JST52" s="556"/>
      <c r="JSU52" s="556"/>
      <c r="JSV52" s="556"/>
      <c r="JSW52" s="556"/>
      <c r="JSX52" s="556"/>
      <c r="JSY52" s="556"/>
      <c r="JSZ52" s="556"/>
      <c r="JTA52" s="556"/>
      <c r="JTB52" s="556"/>
      <c r="JTC52" s="556"/>
      <c r="JTD52" s="556"/>
      <c r="JTE52" s="556"/>
      <c r="JTF52" s="556"/>
      <c r="JTG52" s="556"/>
      <c r="JTH52" s="556"/>
      <c r="JTI52" s="556"/>
      <c r="JTJ52" s="556"/>
      <c r="JTK52" s="556"/>
      <c r="JTL52" s="556"/>
      <c r="JTM52" s="556"/>
      <c r="JTN52" s="556"/>
      <c r="JTO52" s="556"/>
      <c r="JTP52" s="556"/>
      <c r="JTQ52" s="556"/>
      <c r="JTR52" s="556"/>
      <c r="JTS52" s="556"/>
      <c r="JTT52" s="556"/>
      <c r="JTU52" s="556"/>
      <c r="JTV52" s="556"/>
      <c r="JTW52" s="556"/>
      <c r="JTX52" s="556"/>
      <c r="JTY52" s="556"/>
      <c r="JTZ52" s="556"/>
      <c r="JUA52" s="556"/>
      <c r="JUB52" s="556"/>
      <c r="JUC52" s="556"/>
      <c r="JUD52" s="556"/>
      <c r="JUE52" s="556"/>
      <c r="JUF52" s="556"/>
      <c r="JUG52" s="556"/>
      <c r="JUH52" s="556"/>
      <c r="JUI52" s="556"/>
      <c r="JUJ52" s="556"/>
      <c r="JUK52" s="556"/>
      <c r="JUL52" s="556"/>
      <c r="JUM52" s="556"/>
      <c r="JUN52" s="556"/>
      <c r="JUO52" s="556"/>
      <c r="JUP52" s="556"/>
      <c r="JUQ52" s="556"/>
      <c r="JUR52" s="556"/>
      <c r="JUS52" s="556"/>
      <c r="JUT52" s="556"/>
      <c r="JUU52" s="556"/>
      <c r="JUV52" s="556"/>
      <c r="JUW52" s="556"/>
      <c r="JUX52" s="556"/>
      <c r="JUY52" s="556"/>
      <c r="JUZ52" s="556"/>
      <c r="JVA52" s="556"/>
      <c r="JVB52" s="556"/>
      <c r="JVC52" s="556"/>
      <c r="JVD52" s="556"/>
      <c r="JVE52" s="556"/>
      <c r="JVF52" s="556"/>
      <c r="JVG52" s="556"/>
      <c r="JVH52" s="556"/>
      <c r="JVI52" s="556"/>
      <c r="JVJ52" s="556"/>
      <c r="JVK52" s="556"/>
      <c r="JVL52" s="556"/>
      <c r="JVM52" s="556"/>
      <c r="JVN52" s="556"/>
      <c r="JVO52" s="556"/>
      <c r="JVP52" s="556"/>
      <c r="JVQ52" s="556"/>
      <c r="JVR52" s="556"/>
      <c r="JVS52" s="556"/>
      <c r="JVT52" s="556"/>
      <c r="JVU52" s="556"/>
      <c r="JVV52" s="556"/>
      <c r="JVW52" s="556"/>
      <c r="JVX52" s="556"/>
      <c r="JVY52" s="556"/>
      <c r="JVZ52" s="556"/>
      <c r="JWA52" s="556"/>
      <c r="JWB52" s="556"/>
      <c r="JWC52" s="556"/>
      <c r="JWD52" s="556"/>
      <c r="JWE52" s="556"/>
      <c r="JWF52" s="556"/>
      <c r="JWG52" s="556"/>
      <c r="JWH52" s="556"/>
      <c r="JWI52" s="556"/>
      <c r="JWJ52" s="556"/>
      <c r="JWK52" s="556"/>
      <c r="JWL52" s="556"/>
      <c r="JWM52" s="556"/>
      <c r="JWN52" s="556"/>
      <c r="JWO52" s="556"/>
      <c r="JWP52" s="556"/>
      <c r="JWQ52" s="556"/>
      <c r="JWR52" s="556"/>
      <c r="JWS52" s="556"/>
      <c r="JWT52" s="556"/>
      <c r="JWU52" s="556"/>
      <c r="JWV52" s="556"/>
      <c r="JWW52" s="556"/>
      <c r="JWX52" s="556"/>
      <c r="JWY52" s="556"/>
      <c r="JWZ52" s="556"/>
      <c r="JXA52" s="556"/>
      <c r="JXB52" s="556"/>
      <c r="JXC52" s="556"/>
      <c r="JXD52" s="556"/>
      <c r="JXE52" s="556"/>
      <c r="JXF52" s="556"/>
      <c r="JXG52" s="556"/>
      <c r="JXH52" s="556"/>
      <c r="JXI52" s="556"/>
      <c r="JXJ52" s="556"/>
      <c r="JXK52" s="556"/>
      <c r="JXL52" s="556"/>
      <c r="JXM52" s="556"/>
      <c r="JXN52" s="556"/>
      <c r="JXO52" s="556"/>
      <c r="JXP52" s="556"/>
      <c r="JXQ52" s="556"/>
      <c r="JXR52" s="556"/>
      <c r="JXS52" s="556"/>
      <c r="JXT52" s="556"/>
      <c r="JXU52" s="556"/>
      <c r="JXV52" s="556"/>
      <c r="JXW52" s="556"/>
      <c r="JXX52" s="556"/>
      <c r="JXY52" s="556"/>
      <c r="JXZ52" s="556"/>
      <c r="JYA52" s="556"/>
      <c r="JYB52" s="556"/>
      <c r="JYC52" s="556"/>
      <c r="JYD52" s="556"/>
      <c r="JYE52" s="556"/>
      <c r="JYF52" s="556"/>
      <c r="JYG52" s="556"/>
      <c r="JYH52" s="556"/>
      <c r="JYI52" s="556"/>
      <c r="JYJ52" s="556"/>
      <c r="JYK52" s="556"/>
      <c r="JYL52" s="556"/>
      <c r="JYM52" s="556"/>
      <c r="JYN52" s="556"/>
      <c r="JYO52" s="556"/>
      <c r="JYP52" s="556"/>
      <c r="JYQ52" s="556"/>
      <c r="JYR52" s="556"/>
      <c r="JYS52" s="556"/>
      <c r="JYT52" s="556"/>
      <c r="JYU52" s="556"/>
      <c r="JYV52" s="556"/>
      <c r="JYW52" s="556"/>
      <c r="JYX52" s="556"/>
      <c r="JYY52" s="556"/>
      <c r="JYZ52" s="556"/>
      <c r="JZA52" s="556"/>
      <c r="JZB52" s="556"/>
      <c r="JZC52" s="556"/>
      <c r="JZD52" s="556"/>
      <c r="JZE52" s="556"/>
      <c r="JZF52" s="556"/>
      <c r="JZG52" s="556"/>
      <c r="JZH52" s="556"/>
      <c r="JZI52" s="556"/>
      <c r="JZJ52" s="556"/>
      <c r="JZK52" s="556"/>
      <c r="JZL52" s="556"/>
      <c r="JZM52" s="556"/>
      <c r="JZN52" s="556"/>
      <c r="JZO52" s="556"/>
      <c r="JZP52" s="556"/>
      <c r="JZQ52" s="556"/>
      <c r="JZR52" s="556"/>
      <c r="JZS52" s="556"/>
      <c r="JZT52" s="556"/>
      <c r="JZU52" s="556"/>
      <c r="JZV52" s="556"/>
      <c r="JZW52" s="556"/>
      <c r="JZX52" s="556"/>
      <c r="JZY52" s="556"/>
      <c r="JZZ52" s="556"/>
      <c r="KAA52" s="556"/>
      <c r="KAB52" s="556"/>
      <c r="KAC52" s="556"/>
      <c r="KAD52" s="556"/>
      <c r="KAE52" s="556"/>
      <c r="KAF52" s="556"/>
      <c r="KAG52" s="556"/>
      <c r="KAH52" s="556"/>
      <c r="KAI52" s="556"/>
      <c r="KAJ52" s="556"/>
      <c r="KAK52" s="556"/>
      <c r="KAL52" s="556"/>
      <c r="KAM52" s="556"/>
      <c r="KAN52" s="556"/>
      <c r="KAO52" s="556"/>
      <c r="KAP52" s="556"/>
      <c r="KAQ52" s="556"/>
      <c r="KAR52" s="556"/>
      <c r="KAS52" s="556"/>
      <c r="KAT52" s="556"/>
      <c r="KAU52" s="556"/>
      <c r="KAV52" s="556"/>
      <c r="KAW52" s="556"/>
      <c r="KAX52" s="556"/>
      <c r="KAY52" s="556"/>
      <c r="KAZ52" s="556"/>
      <c r="KBA52" s="556"/>
      <c r="KBB52" s="556"/>
      <c r="KBC52" s="556"/>
      <c r="KBD52" s="556"/>
      <c r="KBE52" s="556"/>
      <c r="KBF52" s="556"/>
      <c r="KBG52" s="556"/>
      <c r="KBH52" s="556"/>
      <c r="KBI52" s="556"/>
      <c r="KBJ52" s="556"/>
      <c r="KBK52" s="556"/>
      <c r="KBL52" s="556"/>
      <c r="KBM52" s="556"/>
      <c r="KBN52" s="556"/>
      <c r="KBO52" s="556"/>
      <c r="KBP52" s="556"/>
      <c r="KBQ52" s="556"/>
      <c r="KBR52" s="556"/>
      <c r="KBS52" s="556"/>
      <c r="KBT52" s="556"/>
      <c r="KBU52" s="556"/>
      <c r="KBV52" s="556"/>
      <c r="KBW52" s="556"/>
      <c r="KBX52" s="556"/>
      <c r="KBY52" s="556"/>
      <c r="KBZ52" s="556"/>
      <c r="KCA52" s="556"/>
      <c r="KCB52" s="556"/>
      <c r="KCC52" s="556"/>
      <c r="KCD52" s="556"/>
      <c r="KCE52" s="556"/>
      <c r="KCF52" s="556"/>
      <c r="KCG52" s="556"/>
      <c r="KCH52" s="556"/>
      <c r="KCI52" s="556"/>
      <c r="KCJ52" s="556"/>
      <c r="KCK52" s="556"/>
      <c r="KCL52" s="556"/>
      <c r="KCM52" s="556"/>
      <c r="KCN52" s="556"/>
      <c r="KCO52" s="556"/>
      <c r="KCP52" s="556"/>
      <c r="KCQ52" s="556"/>
      <c r="KCR52" s="556"/>
      <c r="KCS52" s="556"/>
      <c r="KCT52" s="556"/>
      <c r="KCU52" s="556"/>
      <c r="KCV52" s="556"/>
      <c r="KCW52" s="556"/>
      <c r="KCX52" s="556"/>
      <c r="KCY52" s="556"/>
      <c r="KCZ52" s="556"/>
      <c r="KDA52" s="556"/>
      <c r="KDB52" s="556"/>
      <c r="KDC52" s="556"/>
      <c r="KDD52" s="556"/>
      <c r="KDE52" s="556"/>
      <c r="KDF52" s="556"/>
      <c r="KDG52" s="556"/>
      <c r="KDH52" s="556"/>
      <c r="KDI52" s="556"/>
      <c r="KDJ52" s="556"/>
      <c r="KDK52" s="556"/>
      <c r="KDL52" s="556"/>
      <c r="KDM52" s="556"/>
      <c r="KDN52" s="556"/>
      <c r="KDO52" s="556"/>
      <c r="KDP52" s="556"/>
      <c r="KDQ52" s="556"/>
      <c r="KDR52" s="556"/>
      <c r="KDS52" s="556"/>
      <c r="KDT52" s="556"/>
      <c r="KDU52" s="556"/>
      <c r="KDV52" s="556"/>
      <c r="KDW52" s="556"/>
      <c r="KDX52" s="556"/>
      <c r="KDY52" s="556"/>
      <c r="KDZ52" s="556"/>
      <c r="KEA52" s="556"/>
      <c r="KEB52" s="556"/>
      <c r="KEC52" s="556"/>
      <c r="KED52" s="556"/>
      <c r="KEE52" s="556"/>
      <c r="KEF52" s="556"/>
      <c r="KEG52" s="556"/>
      <c r="KEH52" s="556"/>
      <c r="KEI52" s="556"/>
      <c r="KEJ52" s="556"/>
      <c r="KEK52" s="556"/>
      <c r="KEL52" s="556"/>
      <c r="KEM52" s="556"/>
      <c r="KEN52" s="556"/>
      <c r="KEO52" s="556"/>
      <c r="KEP52" s="556"/>
      <c r="KEQ52" s="556"/>
      <c r="KER52" s="556"/>
      <c r="KES52" s="556"/>
      <c r="KET52" s="556"/>
      <c r="KEU52" s="556"/>
      <c r="KEV52" s="556"/>
      <c r="KEW52" s="556"/>
      <c r="KEX52" s="556"/>
      <c r="KEY52" s="556"/>
      <c r="KEZ52" s="556"/>
      <c r="KFA52" s="556"/>
      <c r="KFB52" s="556"/>
      <c r="KFC52" s="556"/>
      <c r="KFD52" s="556"/>
      <c r="KFE52" s="556"/>
      <c r="KFF52" s="556"/>
      <c r="KFG52" s="556"/>
      <c r="KFH52" s="556"/>
      <c r="KFI52" s="556"/>
      <c r="KFJ52" s="556"/>
      <c r="KFK52" s="556"/>
      <c r="KFL52" s="556"/>
      <c r="KFM52" s="556"/>
      <c r="KFN52" s="556"/>
      <c r="KFO52" s="556"/>
      <c r="KFP52" s="556"/>
      <c r="KFQ52" s="556"/>
      <c r="KFR52" s="556"/>
      <c r="KFS52" s="556"/>
      <c r="KFT52" s="556"/>
      <c r="KFU52" s="556"/>
      <c r="KFV52" s="556"/>
      <c r="KFW52" s="556"/>
      <c r="KFX52" s="556"/>
      <c r="KFY52" s="556"/>
      <c r="KFZ52" s="556"/>
      <c r="KGA52" s="556"/>
      <c r="KGB52" s="556"/>
      <c r="KGC52" s="556"/>
      <c r="KGD52" s="556"/>
      <c r="KGE52" s="556"/>
      <c r="KGF52" s="556"/>
      <c r="KGG52" s="556"/>
      <c r="KGH52" s="556"/>
      <c r="KGI52" s="556"/>
      <c r="KGJ52" s="556"/>
      <c r="KGK52" s="556"/>
      <c r="KGL52" s="556"/>
      <c r="KGM52" s="556"/>
      <c r="KGN52" s="556"/>
      <c r="KGO52" s="556"/>
      <c r="KGP52" s="556"/>
      <c r="KGQ52" s="556"/>
      <c r="KGR52" s="556"/>
      <c r="KGS52" s="556"/>
      <c r="KGT52" s="556"/>
      <c r="KGU52" s="556"/>
      <c r="KGV52" s="556"/>
      <c r="KGW52" s="556"/>
      <c r="KGX52" s="556"/>
      <c r="KGY52" s="556"/>
      <c r="KGZ52" s="556"/>
      <c r="KHA52" s="556"/>
      <c r="KHB52" s="556"/>
      <c r="KHC52" s="556"/>
      <c r="KHD52" s="556"/>
      <c r="KHE52" s="556"/>
      <c r="KHF52" s="556"/>
      <c r="KHG52" s="556"/>
      <c r="KHH52" s="556"/>
      <c r="KHI52" s="556"/>
      <c r="KHJ52" s="556"/>
      <c r="KHK52" s="556"/>
      <c r="KHL52" s="556"/>
      <c r="KHM52" s="556"/>
      <c r="KHN52" s="556"/>
      <c r="KHO52" s="556"/>
      <c r="KHP52" s="556"/>
      <c r="KHQ52" s="556"/>
      <c r="KHR52" s="556"/>
      <c r="KHS52" s="556"/>
      <c r="KHT52" s="556"/>
      <c r="KHU52" s="556"/>
      <c r="KHV52" s="556"/>
      <c r="KHW52" s="556"/>
      <c r="KHX52" s="556"/>
      <c r="KHY52" s="556"/>
      <c r="KHZ52" s="556"/>
      <c r="KIA52" s="556"/>
      <c r="KIB52" s="556"/>
      <c r="KIC52" s="556"/>
      <c r="KID52" s="556"/>
      <c r="KIE52" s="556"/>
      <c r="KIF52" s="556"/>
      <c r="KIG52" s="556"/>
      <c r="KIH52" s="556"/>
      <c r="KII52" s="556"/>
      <c r="KIJ52" s="556"/>
      <c r="KIK52" s="556"/>
      <c r="KIL52" s="556"/>
      <c r="KIM52" s="556"/>
      <c r="KIN52" s="556"/>
      <c r="KIO52" s="556"/>
      <c r="KIP52" s="556"/>
      <c r="KIQ52" s="556"/>
      <c r="KIR52" s="556"/>
      <c r="KIS52" s="556"/>
      <c r="KIT52" s="556"/>
      <c r="KIU52" s="556"/>
      <c r="KIV52" s="556"/>
      <c r="KIW52" s="556"/>
      <c r="KIX52" s="556"/>
      <c r="KIY52" s="556"/>
      <c r="KIZ52" s="556"/>
      <c r="KJA52" s="556"/>
      <c r="KJB52" s="556"/>
      <c r="KJC52" s="556"/>
      <c r="KJD52" s="556"/>
      <c r="KJE52" s="556"/>
      <c r="KJF52" s="556"/>
      <c r="KJG52" s="556"/>
      <c r="KJH52" s="556"/>
      <c r="KJI52" s="556"/>
      <c r="KJJ52" s="556"/>
      <c r="KJK52" s="556"/>
      <c r="KJL52" s="556"/>
      <c r="KJM52" s="556"/>
      <c r="KJN52" s="556"/>
      <c r="KJO52" s="556"/>
      <c r="KJP52" s="556"/>
      <c r="KJQ52" s="556"/>
      <c r="KJR52" s="556"/>
      <c r="KJS52" s="556"/>
      <c r="KJT52" s="556"/>
      <c r="KJU52" s="556"/>
      <c r="KJV52" s="556"/>
      <c r="KJW52" s="556"/>
      <c r="KJX52" s="556"/>
      <c r="KJY52" s="556"/>
      <c r="KJZ52" s="556"/>
      <c r="KKA52" s="556"/>
      <c r="KKB52" s="556"/>
      <c r="KKC52" s="556"/>
      <c r="KKD52" s="556"/>
      <c r="KKE52" s="556"/>
      <c r="KKF52" s="556"/>
      <c r="KKG52" s="556"/>
      <c r="KKH52" s="556"/>
      <c r="KKI52" s="556"/>
      <c r="KKJ52" s="556"/>
      <c r="KKK52" s="556"/>
      <c r="KKL52" s="556"/>
      <c r="KKM52" s="556"/>
      <c r="KKN52" s="556"/>
      <c r="KKO52" s="556"/>
      <c r="KKP52" s="556"/>
      <c r="KKQ52" s="556"/>
      <c r="KKR52" s="556"/>
      <c r="KKS52" s="556"/>
      <c r="KKT52" s="556"/>
      <c r="KKU52" s="556"/>
      <c r="KKV52" s="556"/>
      <c r="KKW52" s="556"/>
      <c r="KKX52" s="556"/>
      <c r="KKY52" s="556"/>
      <c r="KKZ52" s="556"/>
      <c r="KLA52" s="556"/>
      <c r="KLB52" s="556"/>
      <c r="KLC52" s="556"/>
      <c r="KLD52" s="556"/>
      <c r="KLE52" s="556"/>
      <c r="KLF52" s="556"/>
      <c r="KLG52" s="556"/>
      <c r="KLH52" s="556"/>
      <c r="KLI52" s="556"/>
      <c r="KLJ52" s="556"/>
      <c r="KLK52" s="556"/>
      <c r="KLL52" s="556"/>
      <c r="KLM52" s="556"/>
      <c r="KLN52" s="556"/>
      <c r="KLO52" s="556"/>
      <c r="KLP52" s="556"/>
      <c r="KLQ52" s="556"/>
      <c r="KLR52" s="556"/>
      <c r="KLS52" s="556"/>
      <c r="KLT52" s="556"/>
      <c r="KLU52" s="556"/>
      <c r="KLV52" s="556"/>
      <c r="KLW52" s="556"/>
      <c r="KLX52" s="556"/>
      <c r="KLY52" s="556"/>
      <c r="KLZ52" s="556"/>
      <c r="KMA52" s="556"/>
      <c r="KMB52" s="556"/>
      <c r="KMC52" s="556"/>
      <c r="KMD52" s="556"/>
      <c r="KME52" s="556"/>
      <c r="KMF52" s="556"/>
      <c r="KMG52" s="556"/>
      <c r="KMH52" s="556"/>
      <c r="KMI52" s="556"/>
      <c r="KMJ52" s="556"/>
      <c r="KMK52" s="556"/>
      <c r="KML52" s="556"/>
      <c r="KMM52" s="556"/>
      <c r="KMN52" s="556"/>
      <c r="KMO52" s="556"/>
      <c r="KMP52" s="556"/>
      <c r="KMQ52" s="556"/>
      <c r="KMR52" s="556"/>
      <c r="KMS52" s="556"/>
      <c r="KMT52" s="556"/>
      <c r="KMU52" s="556"/>
      <c r="KMV52" s="556"/>
      <c r="KMW52" s="556"/>
      <c r="KMX52" s="556"/>
      <c r="KMY52" s="556"/>
      <c r="KMZ52" s="556"/>
      <c r="KNA52" s="556"/>
      <c r="KNB52" s="556"/>
      <c r="KNC52" s="556"/>
      <c r="KND52" s="556"/>
      <c r="KNE52" s="556"/>
      <c r="KNF52" s="556"/>
      <c r="KNG52" s="556"/>
      <c r="KNH52" s="556"/>
      <c r="KNI52" s="556"/>
      <c r="KNJ52" s="556"/>
      <c r="KNK52" s="556"/>
      <c r="KNL52" s="556"/>
      <c r="KNM52" s="556"/>
      <c r="KNN52" s="556"/>
      <c r="KNO52" s="556"/>
      <c r="KNP52" s="556"/>
      <c r="KNQ52" s="556"/>
      <c r="KNR52" s="556"/>
      <c r="KNS52" s="556"/>
      <c r="KNT52" s="556"/>
      <c r="KNU52" s="556"/>
      <c r="KNV52" s="556"/>
      <c r="KNW52" s="556"/>
      <c r="KNX52" s="556"/>
      <c r="KNY52" s="556"/>
      <c r="KNZ52" s="556"/>
      <c r="KOA52" s="556"/>
      <c r="KOB52" s="556"/>
      <c r="KOC52" s="556"/>
      <c r="KOD52" s="556"/>
      <c r="KOE52" s="556"/>
      <c r="KOF52" s="556"/>
      <c r="KOG52" s="556"/>
      <c r="KOH52" s="556"/>
      <c r="KOI52" s="556"/>
      <c r="KOJ52" s="556"/>
      <c r="KOK52" s="556"/>
      <c r="KOL52" s="556"/>
      <c r="KOM52" s="556"/>
      <c r="KON52" s="556"/>
      <c r="KOO52" s="556"/>
      <c r="KOP52" s="556"/>
      <c r="KOQ52" s="556"/>
      <c r="KOR52" s="556"/>
      <c r="KOS52" s="556"/>
      <c r="KOT52" s="556"/>
      <c r="KOU52" s="556"/>
      <c r="KOV52" s="556"/>
      <c r="KOW52" s="556"/>
      <c r="KOX52" s="556"/>
      <c r="KOY52" s="556"/>
      <c r="KOZ52" s="556"/>
      <c r="KPA52" s="556"/>
      <c r="KPB52" s="556"/>
      <c r="KPC52" s="556"/>
      <c r="KPD52" s="556"/>
      <c r="KPE52" s="556"/>
      <c r="KPF52" s="556"/>
      <c r="KPG52" s="556"/>
      <c r="KPH52" s="556"/>
      <c r="KPI52" s="556"/>
      <c r="KPJ52" s="556"/>
      <c r="KPK52" s="556"/>
      <c r="KPL52" s="556"/>
      <c r="KPM52" s="556"/>
      <c r="KPN52" s="556"/>
      <c r="KPO52" s="556"/>
      <c r="KPP52" s="556"/>
      <c r="KPQ52" s="556"/>
      <c r="KPR52" s="556"/>
      <c r="KPS52" s="556"/>
      <c r="KPT52" s="556"/>
      <c r="KPU52" s="556"/>
      <c r="KPV52" s="556"/>
      <c r="KPW52" s="556"/>
      <c r="KPX52" s="556"/>
      <c r="KPY52" s="556"/>
      <c r="KPZ52" s="556"/>
      <c r="KQA52" s="556"/>
      <c r="KQB52" s="556"/>
      <c r="KQC52" s="556"/>
      <c r="KQD52" s="556"/>
      <c r="KQE52" s="556"/>
      <c r="KQF52" s="556"/>
      <c r="KQG52" s="556"/>
      <c r="KQH52" s="556"/>
      <c r="KQI52" s="556"/>
      <c r="KQJ52" s="556"/>
      <c r="KQK52" s="556"/>
      <c r="KQL52" s="556"/>
      <c r="KQM52" s="556"/>
      <c r="KQN52" s="556"/>
      <c r="KQO52" s="556"/>
      <c r="KQP52" s="556"/>
      <c r="KQQ52" s="556"/>
      <c r="KQR52" s="556"/>
      <c r="KQS52" s="556"/>
      <c r="KQT52" s="556"/>
      <c r="KQU52" s="556"/>
      <c r="KQV52" s="556"/>
      <c r="KQW52" s="556"/>
      <c r="KQX52" s="556"/>
      <c r="KQY52" s="556"/>
      <c r="KQZ52" s="556"/>
      <c r="KRA52" s="556"/>
      <c r="KRB52" s="556"/>
      <c r="KRC52" s="556"/>
      <c r="KRD52" s="556"/>
      <c r="KRE52" s="556"/>
      <c r="KRF52" s="556"/>
      <c r="KRG52" s="556"/>
      <c r="KRH52" s="556"/>
      <c r="KRI52" s="556"/>
      <c r="KRJ52" s="556"/>
      <c r="KRK52" s="556"/>
      <c r="KRL52" s="556"/>
      <c r="KRM52" s="556"/>
      <c r="KRN52" s="556"/>
      <c r="KRO52" s="556"/>
      <c r="KRP52" s="556"/>
      <c r="KRQ52" s="556"/>
      <c r="KRR52" s="556"/>
      <c r="KRS52" s="556"/>
      <c r="KRT52" s="556"/>
      <c r="KRU52" s="556"/>
      <c r="KRV52" s="556"/>
      <c r="KRW52" s="556"/>
      <c r="KRX52" s="556"/>
      <c r="KRY52" s="556"/>
      <c r="KRZ52" s="556"/>
      <c r="KSA52" s="556"/>
      <c r="KSB52" s="556"/>
      <c r="KSC52" s="556"/>
      <c r="KSD52" s="556"/>
      <c r="KSE52" s="556"/>
      <c r="KSF52" s="556"/>
      <c r="KSG52" s="556"/>
      <c r="KSH52" s="556"/>
      <c r="KSI52" s="556"/>
      <c r="KSJ52" s="556"/>
      <c r="KSK52" s="556"/>
      <c r="KSL52" s="556"/>
      <c r="KSM52" s="556"/>
      <c r="KSN52" s="556"/>
      <c r="KSO52" s="556"/>
      <c r="KSP52" s="556"/>
      <c r="KSQ52" s="556"/>
      <c r="KSR52" s="556"/>
      <c r="KSS52" s="556"/>
      <c r="KST52" s="556"/>
      <c r="KSU52" s="556"/>
      <c r="KSV52" s="556"/>
      <c r="KSW52" s="556"/>
      <c r="KSX52" s="556"/>
      <c r="KSY52" s="556"/>
      <c r="KSZ52" s="556"/>
      <c r="KTA52" s="556"/>
      <c r="KTB52" s="556"/>
      <c r="KTC52" s="556"/>
      <c r="KTD52" s="556"/>
      <c r="KTE52" s="556"/>
      <c r="KTF52" s="556"/>
      <c r="KTG52" s="556"/>
      <c r="KTH52" s="556"/>
      <c r="KTI52" s="556"/>
      <c r="KTJ52" s="556"/>
      <c r="KTK52" s="556"/>
      <c r="KTL52" s="556"/>
      <c r="KTM52" s="556"/>
      <c r="KTN52" s="556"/>
      <c r="KTO52" s="556"/>
      <c r="KTP52" s="556"/>
      <c r="KTQ52" s="556"/>
      <c r="KTR52" s="556"/>
      <c r="KTS52" s="556"/>
      <c r="KTT52" s="556"/>
      <c r="KTU52" s="556"/>
      <c r="KTV52" s="556"/>
      <c r="KTW52" s="556"/>
      <c r="KTX52" s="556"/>
      <c r="KTY52" s="556"/>
      <c r="KTZ52" s="556"/>
      <c r="KUA52" s="556"/>
      <c r="KUB52" s="556"/>
      <c r="KUC52" s="556"/>
      <c r="KUD52" s="556"/>
      <c r="KUE52" s="556"/>
      <c r="KUF52" s="556"/>
      <c r="KUG52" s="556"/>
      <c r="KUH52" s="556"/>
      <c r="KUI52" s="556"/>
      <c r="KUJ52" s="556"/>
      <c r="KUK52" s="556"/>
      <c r="KUL52" s="556"/>
      <c r="KUM52" s="556"/>
      <c r="KUN52" s="556"/>
      <c r="KUO52" s="556"/>
      <c r="KUP52" s="556"/>
      <c r="KUQ52" s="556"/>
      <c r="KUR52" s="556"/>
      <c r="KUS52" s="556"/>
      <c r="KUT52" s="556"/>
      <c r="KUU52" s="556"/>
      <c r="KUV52" s="556"/>
      <c r="KUW52" s="556"/>
      <c r="KUX52" s="556"/>
      <c r="KUY52" s="556"/>
      <c r="KUZ52" s="556"/>
      <c r="KVA52" s="556"/>
      <c r="KVB52" s="556"/>
      <c r="KVC52" s="556"/>
      <c r="KVD52" s="556"/>
      <c r="KVE52" s="556"/>
      <c r="KVF52" s="556"/>
      <c r="KVG52" s="556"/>
      <c r="KVH52" s="556"/>
      <c r="KVI52" s="556"/>
      <c r="KVJ52" s="556"/>
      <c r="KVK52" s="556"/>
      <c r="KVL52" s="556"/>
      <c r="KVM52" s="556"/>
      <c r="KVN52" s="556"/>
      <c r="KVO52" s="556"/>
      <c r="KVP52" s="556"/>
      <c r="KVQ52" s="556"/>
      <c r="KVR52" s="556"/>
      <c r="KVS52" s="556"/>
      <c r="KVT52" s="556"/>
      <c r="KVU52" s="556"/>
      <c r="KVV52" s="556"/>
      <c r="KVW52" s="556"/>
      <c r="KVX52" s="556"/>
      <c r="KVY52" s="556"/>
      <c r="KVZ52" s="556"/>
      <c r="KWA52" s="556"/>
      <c r="KWB52" s="556"/>
      <c r="KWC52" s="556"/>
      <c r="KWD52" s="556"/>
      <c r="KWE52" s="556"/>
      <c r="KWF52" s="556"/>
      <c r="KWG52" s="556"/>
      <c r="KWH52" s="556"/>
      <c r="KWI52" s="556"/>
      <c r="KWJ52" s="556"/>
      <c r="KWK52" s="556"/>
      <c r="KWL52" s="556"/>
      <c r="KWM52" s="556"/>
      <c r="KWN52" s="556"/>
      <c r="KWO52" s="556"/>
      <c r="KWP52" s="556"/>
      <c r="KWQ52" s="556"/>
      <c r="KWR52" s="556"/>
      <c r="KWS52" s="556"/>
      <c r="KWT52" s="556"/>
      <c r="KWU52" s="556"/>
      <c r="KWV52" s="556"/>
      <c r="KWW52" s="556"/>
      <c r="KWX52" s="556"/>
      <c r="KWY52" s="556"/>
      <c r="KWZ52" s="556"/>
      <c r="KXA52" s="556"/>
      <c r="KXB52" s="556"/>
      <c r="KXC52" s="556"/>
      <c r="KXD52" s="556"/>
      <c r="KXE52" s="556"/>
      <c r="KXF52" s="556"/>
      <c r="KXG52" s="556"/>
      <c r="KXH52" s="556"/>
      <c r="KXI52" s="556"/>
      <c r="KXJ52" s="556"/>
      <c r="KXK52" s="556"/>
      <c r="KXL52" s="556"/>
      <c r="KXM52" s="556"/>
      <c r="KXN52" s="556"/>
      <c r="KXO52" s="556"/>
      <c r="KXP52" s="556"/>
      <c r="KXQ52" s="556"/>
      <c r="KXR52" s="556"/>
      <c r="KXS52" s="556"/>
      <c r="KXT52" s="556"/>
      <c r="KXU52" s="556"/>
      <c r="KXV52" s="556"/>
      <c r="KXW52" s="556"/>
      <c r="KXX52" s="556"/>
      <c r="KXY52" s="556"/>
      <c r="KXZ52" s="556"/>
      <c r="KYA52" s="556"/>
      <c r="KYB52" s="556"/>
      <c r="KYC52" s="556"/>
      <c r="KYD52" s="556"/>
      <c r="KYE52" s="556"/>
      <c r="KYF52" s="556"/>
      <c r="KYG52" s="556"/>
      <c r="KYH52" s="556"/>
      <c r="KYI52" s="556"/>
      <c r="KYJ52" s="556"/>
      <c r="KYK52" s="556"/>
      <c r="KYL52" s="556"/>
      <c r="KYM52" s="556"/>
      <c r="KYN52" s="556"/>
      <c r="KYO52" s="556"/>
      <c r="KYP52" s="556"/>
      <c r="KYQ52" s="556"/>
      <c r="KYR52" s="556"/>
      <c r="KYS52" s="556"/>
      <c r="KYT52" s="556"/>
      <c r="KYU52" s="556"/>
      <c r="KYV52" s="556"/>
      <c r="KYW52" s="556"/>
      <c r="KYX52" s="556"/>
      <c r="KYY52" s="556"/>
      <c r="KYZ52" s="556"/>
      <c r="KZA52" s="556"/>
      <c r="KZB52" s="556"/>
      <c r="KZC52" s="556"/>
      <c r="KZD52" s="556"/>
      <c r="KZE52" s="556"/>
      <c r="KZF52" s="556"/>
      <c r="KZG52" s="556"/>
      <c r="KZH52" s="556"/>
      <c r="KZI52" s="556"/>
      <c r="KZJ52" s="556"/>
      <c r="KZK52" s="556"/>
      <c r="KZL52" s="556"/>
      <c r="KZM52" s="556"/>
      <c r="KZN52" s="556"/>
      <c r="KZO52" s="556"/>
      <c r="KZP52" s="556"/>
      <c r="KZQ52" s="556"/>
      <c r="KZR52" s="556"/>
      <c r="KZS52" s="556"/>
      <c r="KZT52" s="556"/>
      <c r="KZU52" s="556"/>
      <c r="KZV52" s="556"/>
      <c r="KZW52" s="556"/>
      <c r="KZX52" s="556"/>
      <c r="KZY52" s="556"/>
      <c r="KZZ52" s="556"/>
      <c r="LAA52" s="556"/>
      <c r="LAB52" s="556"/>
      <c r="LAC52" s="556"/>
      <c r="LAD52" s="556"/>
      <c r="LAE52" s="556"/>
      <c r="LAF52" s="556"/>
      <c r="LAG52" s="556"/>
      <c r="LAH52" s="556"/>
      <c r="LAI52" s="556"/>
      <c r="LAJ52" s="556"/>
      <c r="LAK52" s="556"/>
      <c r="LAL52" s="556"/>
      <c r="LAM52" s="556"/>
      <c r="LAN52" s="556"/>
      <c r="LAO52" s="556"/>
      <c r="LAP52" s="556"/>
      <c r="LAQ52" s="556"/>
      <c r="LAR52" s="556"/>
      <c r="LAS52" s="556"/>
      <c r="LAT52" s="556"/>
      <c r="LAU52" s="556"/>
      <c r="LAV52" s="556"/>
      <c r="LAW52" s="556"/>
      <c r="LAX52" s="556"/>
      <c r="LAY52" s="556"/>
      <c r="LAZ52" s="556"/>
      <c r="LBA52" s="556"/>
      <c r="LBB52" s="556"/>
      <c r="LBC52" s="556"/>
      <c r="LBD52" s="556"/>
      <c r="LBE52" s="556"/>
      <c r="LBF52" s="556"/>
      <c r="LBG52" s="556"/>
      <c r="LBH52" s="556"/>
      <c r="LBI52" s="556"/>
      <c r="LBJ52" s="556"/>
      <c r="LBK52" s="556"/>
      <c r="LBL52" s="556"/>
      <c r="LBM52" s="556"/>
      <c r="LBN52" s="556"/>
      <c r="LBO52" s="556"/>
      <c r="LBP52" s="556"/>
      <c r="LBQ52" s="556"/>
      <c r="LBR52" s="556"/>
      <c r="LBS52" s="556"/>
      <c r="LBT52" s="556"/>
      <c r="LBU52" s="556"/>
      <c r="LBV52" s="556"/>
      <c r="LBW52" s="556"/>
      <c r="LBX52" s="556"/>
      <c r="LBY52" s="556"/>
      <c r="LBZ52" s="556"/>
      <c r="LCA52" s="556"/>
      <c r="LCB52" s="556"/>
      <c r="LCC52" s="556"/>
      <c r="LCD52" s="556"/>
      <c r="LCE52" s="556"/>
      <c r="LCF52" s="556"/>
      <c r="LCG52" s="556"/>
      <c r="LCH52" s="556"/>
      <c r="LCI52" s="556"/>
      <c r="LCJ52" s="556"/>
      <c r="LCK52" s="556"/>
      <c r="LCL52" s="556"/>
      <c r="LCM52" s="556"/>
      <c r="LCN52" s="556"/>
      <c r="LCO52" s="556"/>
      <c r="LCP52" s="556"/>
      <c r="LCQ52" s="556"/>
      <c r="LCR52" s="556"/>
      <c r="LCS52" s="556"/>
      <c r="LCT52" s="556"/>
      <c r="LCU52" s="556"/>
      <c r="LCV52" s="556"/>
      <c r="LCW52" s="556"/>
      <c r="LCX52" s="556"/>
      <c r="LCY52" s="556"/>
      <c r="LCZ52" s="556"/>
      <c r="LDA52" s="556"/>
      <c r="LDB52" s="556"/>
      <c r="LDC52" s="556"/>
      <c r="LDD52" s="556"/>
      <c r="LDE52" s="556"/>
      <c r="LDF52" s="556"/>
      <c r="LDG52" s="556"/>
      <c r="LDH52" s="556"/>
      <c r="LDI52" s="556"/>
      <c r="LDJ52" s="556"/>
      <c r="LDK52" s="556"/>
      <c r="LDL52" s="556"/>
      <c r="LDM52" s="556"/>
      <c r="LDN52" s="556"/>
      <c r="LDO52" s="556"/>
      <c r="LDP52" s="556"/>
      <c r="LDQ52" s="556"/>
      <c r="LDR52" s="556"/>
      <c r="LDS52" s="556"/>
      <c r="LDT52" s="556"/>
      <c r="LDU52" s="556"/>
      <c r="LDV52" s="556"/>
      <c r="LDW52" s="556"/>
      <c r="LDX52" s="556"/>
      <c r="LDY52" s="556"/>
      <c r="LDZ52" s="556"/>
      <c r="LEA52" s="556"/>
      <c r="LEB52" s="556"/>
      <c r="LEC52" s="556"/>
      <c r="LED52" s="556"/>
      <c r="LEE52" s="556"/>
      <c r="LEF52" s="556"/>
      <c r="LEG52" s="556"/>
      <c r="LEH52" s="556"/>
      <c r="LEI52" s="556"/>
      <c r="LEJ52" s="556"/>
      <c r="LEK52" s="556"/>
      <c r="LEL52" s="556"/>
      <c r="LEM52" s="556"/>
      <c r="LEN52" s="556"/>
      <c r="LEO52" s="556"/>
      <c r="LEP52" s="556"/>
      <c r="LEQ52" s="556"/>
      <c r="LER52" s="556"/>
      <c r="LES52" s="556"/>
      <c r="LET52" s="556"/>
      <c r="LEU52" s="556"/>
      <c r="LEV52" s="556"/>
      <c r="LEW52" s="556"/>
      <c r="LEX52" s="556"/>
      <c r="LEY52" s="556"/>
      <c r="LEZ52" s="556"/>
      <c r="LFA52" s="556"/>
      <c r="LFB52" s="556"/>
      <c r="LFC52" s="556"/>
      <c r="LFD52" s="556"/>
      <c r="LFE52" s="556"/>
      <c r="LFF52" s="556"/>
      <c r="LFG52" s="556"/>
      <c r="LFH52" s="556"/>
      <c r="LFI52" s="556"/>
      <c r="LFJ52" s="556"/>
      <c r="LFK52" s="556"/>
      <c r="LFL52" s="556"/>
      <c r="LFM52" s="556"/>
      <c r="LFN52" s="556"/>
      <c r="LFO52" s="556"/>
      <c r="LFP52" s="556"/>
      <c r="LFQ52" s="556"/>
      <c r="LFR52" s="556"/>
      <c r="LFS52" s="556"/>
      <c r="LFT52" s="556"/>
      <c r="LFU52" s="556"/>
      <c r="LFV52" s="556"/>
      <c r="LFW52" s="556"/>
      <c r="LFX52" s="556"/>
      <c r="LFY52" s="556"/>
      <c r="LFZ52" s="556"/>
      <c r="LGA52" s="556"/>
      <c r="LGB52" s="556"/>
      <c r="LGC52" s="556"/>
      <c r="LGD52" s="556"/>
      <c r="LGE52" s="556"/>
      <c r="LGF52" s="556"/>
      <c r="LGG52" s="556"/>
      <c r="LGH52" s="556"/>
      <c r="LGI52" s="556"/>
      <c r="LGJ52" s="556"/>
      <c r="LGK52" s="556"/>
      <c r="LGL52" s="556"/>
      <c r="LGM52" s="556"/>
      <c r="LGN52" s="556"/>
      <c r="LGO52" s="556"/>
      <c r="LGP52" s="556"/>
      <c r="LGQ52" s="556"/>
      <c r="LGR52" s="556"/>
      <c r="LGS52" s="556"/>
      <c r="LGT52" s="556"/>
      <c r="LGU52" s="556"/>
      <c r="LGV52" s="556"/>
      <c r="LGW52" s="556"/>
      <c r="LGX52" s="556"/>
      <c r="LGY52" s="556"/>
      <c r="LGZ52" s="556"/>
      <c r="LHA52" s="556"/>
      <c r="LHB52" s="556"/>
      <c r="LHC52" s="556"/>
      <c r="LHD52" s="556"/>
      <c r="LHE52" s="556"/>
      <c r="LHF52" s="556"/>
      <c r="LHG52" s="556"/>
      <c r="LHH52" s="556"/>
      <c r="LHI52" s="556"/>
      <c r="LHJ52" s="556"/>
      <c r="LHK52" s="556"/>
      <c r="LHL52" s="556"/>
      <c r="LHM52" s="556"/>
      <c r="LHN52" s="556"/>
      <c r="LHO52" s="556"/>
      <c r="LHP52" s="556"/>
      <c r="LHQ52" s="556"/>
      <c r="LHR52" s="556"/>
      <c r="LHS52" s="556"/>
      <c r="LHT52" s="556"/>
      <c r="LHU52" s="556"/>
      <c r="LHV52" s="556"/>
      <c r="LHW52" s="556"/>
      <c r="LHX52" s="556"/>
      <c r="LHY52" s="556"/>
      <c r="LHZ52" s="556"/>
      <c r="LIA52" s="556"/>
      <c r="LIB52" s="556"/>
      <c r="LIC52" s="556"/>
      <c r="LID52" s="556"/>
      <c r="LIE52" s="556"/>
      <c r="LIF52" s="556"/>
      <c r="LIG52" s="556"/>
      <c r="LIH52" s="556"/>
      <c r="LII52" s="556"/>
      <c r="LIJ52" s="556"/>
      <c r="LIK52" s="556"/>
      <c r="LIL52" s="556"/>
      <c r="LIM52" s="556"/>
      <c r="LIN52" s="556"/>
      <c r="LIO52" s="556"/>
      <c r="LIP52" s="556"/>
      <c r="LIQ52" s="556"/>
      <c r="LIR52" s="556"/>
      <c r="LIS52" s="556"/>
      <c r="LIT52" s="556"/>
      <c r="LIU52" s="556"/>
      <c r="LIV52" s="556"/>
      <c r="LIW52" s="556"/>
      <c r="LIX52" s="556"/>
      <c r="LIY52" s="556"/>
      <c r="LIZ52" s="556"/>
      <c r="LJA52" s="556"/>
      <c r="LJB52" s="556"/>
      <c r="LJC52" s="556"/>
      <c r="LJD52" s="556"/>
      <c r="LJE52" s="556"/>
      <c r="LJF52" s="556"/>
      <c r="LJG52" s="556"/>
      <c r="LJH52" s="556"/>
      <c r="LJI52" s="556"/>
      <c r="LJJ52" s="556"/>
      <c r="LJK52" s="556"/>
      <c r="LJL52" s="556"/>
      <c r="LJM52" s="556"/>
      <c r="LJN52" s="556"/>
      <c r="LJO52" s="556"/>
      <c r="LJP52" s="556"/>
      <c r="LJQ52" s="556"/>
      <c r="LJR52" s="556"/>
      <c r="LJS52" s="556"/>
      <c r="LJT52" s="556"/>
      <c r="LJU52" s="556"/>
      <c r="LJV52" s="556"/>
      <c r="LJW52" s="556"/>
      <c r="LJX52" s="556"/>
      <c r="LJY52" s="556"/>
      <c r="LJZ52" s="556"/>
      <c r="LKA52" s="556"/>
      <c r="LKB52" s="556"/>
      <c r="LKC52" s="556"/>
      <c r="LKD52" s="556"/>
      <c r="LKE52" s="556"/>
      <c r="LKF52" s="556"/>
      <c r="LKG52" s="556"/>
      <c r="LKH52" s="556"/>
      <c r="LKI52" s="556"/>
      <c r="LKJ52" s="556"/>
      <c r="LKK52" s="556"/>
      <c r="LKL52" s="556"/>
      <c r="LKM52" s="556"/>
      <c r="LKN52" s="556"/>
      <c r="LKO52" s="556"/>
      <c r="LKP52" s="556"/>
      <c r="LKQ52" s="556"/>
      <c r="LKR52" s="556"/>
      <c r="LKS52" s="556"/>
      <c r="LKT52" s="556"/>
      <c r="LKU52" s="556"/>
      <c r="LKV52" s="556"/>
      <c r="LKW52" s="556"/>
      <c r="LKX52" s="556"/>
      <c r="LKY52" s="556"/>
      <c r="LKZ52" s="556"/>
      <c r="LLA52" s="556"/>
      <c r="LLB52" s="556"/>
      <c r="LLC52" s="556"/>
      <c r="LLD52" s="556"/>
      <c r="LLE52" s="556"/>
      <c r="LLF52" s="556"/>
      <c r="LLG52" s="556"/>
      <c r="LLH52" s="556"/>
      <c r="LLI52" s="556"/>
      <c r="LLJ52" s="556"/>
      <c r="LLK52" s="556"/>
      <c r="LLL52" s="556"/>
      <c r="LLM52" s="556"/>
      <c r="LLN52" s="556"/>
      <c r="LLO52" s="556"/>
      <c r="LLP52" s="556"/>
      <c r="LLQ52" s="556"/>
      <c r="LLR52" s="556"/>
      <c r="LLS52" s="556"/>
      <c r="LLT52" s="556"/>
      <c r="LLU52" s="556"/>
      <c r="LLV52" s="556"/>
      <c r="LLW52" s="556"/>
      <c r="LLX52" s="556"/>
      <c r="LLY52" s="556"/>
      <c r="LLZ52" s="556"/>
      <c r="LMA52" s="556"/>
      <c r="LMB52" s="556"/>
      <c r="LMC52" s="556"/>
      <c r="LMD52" s="556"/>
      <c r="LME52" s="556"/>
      <c r="LMF52" s="556"/>
      <c r="LMG52" s="556"/>
      <c r="LMH52" s="556"/>
      <c r="LMI52" s="556"/>
      <c r="LMJ52" s="556"/>
      <c r="LMK52" s="556"/>
      <c r="LML52" s="556"/>
      <c r="LMM52" s="556"/>
      <c r="LMN52" s="556"/>
      <c r="LMO52" s="556"/>
      <c r="LMP52" s="556"/>
      <c r="LMQ52" s="556"/>
      <c r="LMR52" s="556"/>
      <c r="LMS52" s="556"/>
      <c r="LMT52" s="556"/>
      <c r="LMU52" s="556"/>
      <c r="LMV52" s="556"/>
      <c r="LMW52" s="556"/>
      <c r="LMX52" s="556"/>
      <c r="LMY52" s="556"/>
      <c r="LMZ52" s="556"/>
      <c r="LNA52" s="556"/>
      <c r="LNB52" s="556"/>
      <c r="LNC52" s="556"/>
      <c r="LND52" s="556"/>
      <c r="LNE52" s="556"/>
      <c r="LNF52" s="556"/>
      <c r="LNG52" s="556"/>
      <c r="LNH52" s="556"/>
      <c r="LNI52" s="556"/>
      <c r="LNJ52" s="556"/>
      <c r="LNK52" s="556"/>
      <c r="LNL52" s="556"/>
      <c r="LNM52" s="556"/>
      <c r="LNN52" s="556"/>
      <c r="LNO52" s="556"/>
      <c r="LNP52" s="556"/>
      <c r="LNQ52" s="556"/>
      <c r="LNR52" s="556"/>
      <c r="LNS52" s="556"/>
      <c r="LNT52" s="556"/>
      <c r="LNU52" s="556"/>
      <c r="LNV52" s="556"/>
      <c r="LNW52" s="556"/>
      <c r="LNX52" s="556"/>
      <c r="LNY52" s="556"/>
      <c r="LNZ52" s="556"/>
      <c r="LOA52" s="556"/>
      <c r="LOB52" s="556"/>
      <c r="LOC52" s="556"/>
      <c r="LOD52" s="556"/>
      <c r="LOE52" s="556"/>
      <c r="LOF52" s="556"/>
      <c r="LOG52" s="556"/>
      <c r="LOH52" s="556"/>
      <c r="LOI52" s="556"/>
      <c r="LOJ52" s="556"/>
      <c r="LOK52" s="556"/>
      <c r="LOL52" s="556"/>
      <c r="LOM52" s="556"/>
      <c r="LON52" s="556"/>
      <c r="LOO52" s="556"/>
      <c r="LOP52" s="556"/>
      <c r="LOQ52" s="556"/>
      <c r="LOR52" s="556"/>
      <c r="LOS52" s="556"/>
      <c r="LOT52" s="556"/>
      <c r="LOU52" s="556"/>
      <c r="LOV52" s="556"/>
      <c r="LOW52" s="556"/>
      <c r="LOX52" s="556"/>
      <c r="LOY52" s="556"/>
      <c r="LOZ52" s="556"/>
      <c r="LPA52" s="556"/>
      <c r="LPB52" s="556"/>
      <c r="LPC52" s="556"/>
      <c r="LPD52" s="556"/>
      <c r="LPE52" s="556"/>
      <c r="LPF52" s="556"/>
      <c r="LPG52" s="556"/>
      <c r="LPH52" s="556"/>
      <c r="LPI52" s="556"/>
      <c r="LPJ52" s="556"/>
      <c r="LPK52" s="556"/>
      <c r="LPL52" s="556"/>
      <c r="LPM52" s="556"/>
      <c r="LPN52" s="556"/>
      <c r="LPO52" s="556"/>
      <c r="LPP52" s="556"/>
      <c r="LPQ52" s="556"/>
      <c r="LPR52" s="556"/>
      <c r="LPS52" s="556"/>
      <c r="LPT52" s="556"/>
      <c r="LPU52" s="556"/>
      <c r="LPV52" s="556"/>
      <c r="LPW52" s="556"/>
      <c r="LPX52" s="556"/>
      <c r="LPY52" s="556"/>
      <c r="LPZ52" s="556"/>
      <c r="LQA52" s="556"/>
      <c r="LQB52" s="556"/>
      <c r="LQC52" s="556"/>
      <c r="LQD52" s="556"/>
      <c r="LQE52" s="556"/>
      <c r="LQF52" s="556"/>
      <c r="LQG52" s="556"/>
      <c r="LQH52" s="556"/>
      <c r="LQI52" s="556"/>
      <c r="LQJ52" s="556"/>
      <c r="LQK52" s="556"/>
      <c r="LQL52" s="556"/>
      <c r="LQM52" s="556"/>
      <c r="LQN52" s="556"/>
      <c r="LQO52" s="556"/>
      <c r="LQP52" s="556"/>
      <c r="LQQ52" s="556"/>
      <c r="LQR52" s="556"/>
      <c r="LQS52" s="556"/>
      <c r="LQT52" s="556"/>
      <c r="LQU52" s="556"/>
      <c r="LQV52" s="556"/>
      <c r="LQW52" s="556"/>
      <c r="LQX52" s="556"/>
      <c r="LQY52" s="556"/>
      <c r="LQZ52" s="556"/>
      <c r="LRA52" s="556"/>
      <c r="LRB52" s="556"/>
      <c r="LRC52" s="556"/>
      <c r="LRD52" s="556"/>
      <c r="LRE52" s="556"/>
      <c r="LRF52" s="556"/>
      <c r="LRG52" s="556"/>
      <c r="LRH52" s="556"/>
      <c r="LRI52" s="556"/>
      <c r="LRJ52" s="556"/>
      <c r="LRK52" s="556"/>
      <c r="LRL52" s="556"/>
      <c r="LRM52" s="556"/>
      <c r="LRN52" s="556"/>
      <c r="LRO52" s="556"/>
      <c r="LRP52" s="556"/>
      <c r="LRQ52" s="556"/>
      <c r="LRR52" s="556"/>
      <c r="LRS52" s="556"/>
      <c r="LRT52" s="556"/>
      <c r="LRU52" s="556"/>
      <c r="LRV52" s="556"/>
      <c r="LRW52" s="556"/>
      <c r="LRX52" s="556"/>
      <c r="LRY52" s="556"/>
      <c r="LRZ52" s="556"/>
      <c r="LSA52" s="556"/>
      <c r="LSB52" s="556"/>
      <c r="LSC52" s="556"/>
      <c r="LSD52" s="556"/>
      <c r="LSE52" s="556"/>
      <c r="LSF52" s="556"/>
      <c r="LSG52" s="556"/>
      <c r="LSH52" s="556"/>
      <c r="LSI52" s="556"/>
      <c r="LSJ52" s="556"/>
      <c r="LSK52" s="556"/>
      <c r="LSL52" s="556"/>
      <c r="LSM52" s="556"/>
      <c r="LSN52" s="556"/>
      <c r="LSO52" s="556"/>
      <c r="LSP52" s="556"/>
      <c r="LSQ52" s="556"/>
      <c r="LSR52" s="556"/>
      <c r="LSS52" s="556"/>
      <c r="LST52" s="556"/>
      <c r="LSU52" s="556"/>
      <c r="LSV52" s="556"/>
      <c r="LSW52" s="556"/>
      <c r="LSX52" s="556"/>
      <c r="LSY52" s="556"/>
      <c r="LSZ52" s="556"/>
      <c r="LTA52" s="556"/>
      <c r="LTB52" s="556"/>
      <c r="LTC52" s="556"/>
      <c r="LTD52" s="556"/>
      <c r="LTE52" s="556"/>
      <c r="LTF52" s="556"/>
      <c r="LTG52" s="556"/>
      <c r="LTH52" s="556"/>
      <c r="LTI52" s="556"/>
      <c r="LTJ52" s="556"/>
      <c r="LTK52" s="556"/>
      <c r="LTL52" s="556"/>
      <c r="LTM52" s="556"/>
      <c r="LTN52" s="556"/>
      <c r="LTO52" s="556"/>
      <c r="LTP52" s="556"/>
      <c r="LTQ52" s="556"/>
      <c r="LTR52" s="556"/>
      <c r="LTS52" s="556"/>
      <c r="LTT52" s="556"/>
      <c r="LTU52" s="556"/>
      <c r="LTV52" s="556"/>
      <c r="LTW52" s="556"/>
      <c r="LTX52" s="556"/>
      <c r="LTY52" s="556"/>
      <c r="LTZ52" s="556"/>
      <c r="LUA52" s="556"/>
      <c r="LUB52" s="556"/>
      <c r="LUC52" s="556"/>
      <c r="LUD52" s="556"/>
      <c r="LUE52" s="556"/>
      <c r="LUF52" s="556"/>
      <c r="LUG52" s="556"/>
      <c r="LUH52" s="556"/>
      <c r="LUI52" s="556"/>
      <c r="LUJ52" s="556"/>
      <c r="LUK52" s="556"/>
      <c r="LUL52" s="556"/>
      <c r="LUM52" s="556"/>
      <c r="LUN52" s="556"/>
      <c r="LUO52" s="556"/>
      <c r="LUP52" s="556"/>
      <c r="LUQ52" s="556"/>
      <c r="LUR52" s="556"/>
      <c r="LUS52" s="556"/>
      <c r="LUT52" s="556"/>
      <c r="LUU52" s="556"/>
      <c r="LUV52" s="556"/>
      <c r="LUW52" s="556"/>
      <c r="LUX52" s="556"/>
      <c r="LUY52" s="556"/>
      <c r="LUZ52" s="556"/>
      <c r="LVA52" s="556"/>
      <c r="LVB52" s="556"/>
      <c r="LVC52" s="556"/>
      <c r="LVD52" s="556"/>
      <c r="LVE52" s="556"/>
      <c r="LVF52" s="556"/>
      <c r="LVG52" s="556"/>
      <c r="LVH52" s="556"/>
      <c r="LVI52" s="556"/>
      <c r="LVJ52" s="556"/>
      <c r="LVK52" s="556"/>
      <c r="LVL52" s="556"/>
      <c r="LVM52" s="556"/>
      <c r="LVN52" s="556"/>
      <c r="LVO52" s="556"/>
      <c r="LVP52" s="556"/>
      <c r="LVQ52" s="556"/>
      <c r="LVR52" s="556"/>
      <c r="LVS52" s="556"/>
      <c r="LVT52" s="556"/>
      <c r="LVU52" s="556"/>
      <c r="LVV52" s="556"/>
      <c r="LVW52" s="556"/>
      <c r="LVX52" s="556"/>
      <c r="LVY52" s="556"/>
      <c r="LVZ52" s="556"/>
      <c r="LWA52" s="556"/>
      <c r="LWB52" s="556"/>
      <c r="LWC52" s="556"/>
      <c r="LWD52" s="556"/>
      <c r="LWE52" s="556"/>
      <c r="LWF52" s="556"/>
      <c r="LWG52" s="556"/>
      <c r="LWH52" s="556"/>
      <c r="LWI52" s="556"/>
      <c r="LWJ52" s="556"/>
      <c r="LWK52" s="556"/>
      <c r="LWL52" s="556"/>
      <c r="LWM52" s="556"/>
      <c r="LWN52" s="556"/>
      <c r="LWO52" s="556"/>
      <c r="LWP52" s="556"/>
      <c r="LWQ52" s="556"/>
      <c r="LWR52" s="556"/>
      <c r="LWS52" s="556"/>
      <c r="LWT52" s="556"/>
      <c r="LWU52" s="556"/>
      <c r="LWV52" s="556"/>
      <c r="LWW52" s="556"/>
      <c r="LWX52" s="556"/>
      <c r="LWY52" s="556"/>
      <c r="LWZ52" s="556"/>
      <c r="LXA52" s="556"/>
      <c r="LXB52" s="556"/>
      <c r="LXC52" s="556"/>
      <c r="LXD52" s="556"/>
      <c r="LXE52" s="556"/>
      <c r="LXF52" s="556"/>
      <c r="LXG52" s="556"/>
      <c r="LXH52" s="556"/>
      <c r="LXI52" s="556"/>
      <c r="LXJ52" s="556"/>
      <c r="LXK52" s="556"/>
      <c r="LXL52" s="556"/>
      <c r="LXM52" s="556"/>
      <c r="LXN52" s="556"/>
      <c r="LXO52" s="556"/>
      <c r="LXP52" s="556"/>
      <c r="LXQ52" s="556"/>
      <c r="LXR52" s="556"/>
      <c r="LXS52" s="556"/>
      <c r="LXT52" s="556"/>
      <c r="LXU52" s="556"/>
      <c r="LXV52" s="556"/>
      <c r="LXW52" s="556"/>
      <c r="LXX52" s="556"/>
      <c r="LXY52" s="556"/>
      <c r="LXZ52" s="556"/>
      <c r="LYA52" s="556"/>
      <c r="LYB52" s="556"/>
      <c r="LYC52" s="556"/>
      <c r="LYD52" s="556"/>
      <c r="LYE52" s="556"/>
      <c r="LYF52" s="556"/>
      <c r="LYG52" s="556"/>
      <c r="LYH52" s="556"/>
      <c r="LYI52" s="556"/>
      <c r="LYJ52" s="556"/>
      <c r="LYK52" s="556"/>
      <c r="LYL52" s="556"/>
      <c r="LYM52" s="556"/>
      <c r="LYN52" s="556"/>
      <c r="LYO52" s="556"/>
      <c r="LYP52" s="556"/>
      <c r="LYQ52" s="556"/>
      <c r="LYR52" s="556"/>
      <c r="LYS52" s="556"/>
      <c r="LYT52" s="556"/>
      <c r="LYU52" s="556"/>
      <c r="LYV52" s="556"/>
      <c r="LYW52" s="556"/>
      <c r="LYX52" s="556"/>
      <c r="LYY52" s="556"/>
      <c r="LYZ52" s="556"/>
      <c r="LZA52" s="556"/>
      <c r="LZB52" s="556"/>
      <c r="LZC52" s="556"/>
      <c r="LZD52" s="556"/>
      <c r="LZE52" s="556"/>
      <c r="LZF52" s="556"/>
      <c r="LZG52" s="556"/>
      <c r="LZH52" s="556"/>
      <c r="LZI52" s="556"/>
      <c r="LZJ52" s="556"/>
      <c r="LZK52" s="556"/>
      <c r="LZL52" s="556"/>
      <c r="LZM52" s="556"/>
      <c r="LZN52" s="556"/>
      <c r="LZO52" s="556"/>
      <c r="LZP52" s="556"/>
      <c r="LZQ52" s="556"/>
      <c r="LZR52" s="556"/>
      <c r="LZS52" s="556"/>
      <c r="LZT52" s="556"/>
      <c r="LZU52" s="556"/>
      <c r="LZV52" s="556"/>
      <c r="LZW52" s="556"/>
      <c r="LZX52" s="556"/>
      <c r="LZY52" s="556"/>
      <c r="LZZ52" s="556"/>
      <c r="MAA52" s="556"/>
      <c r="MAB52" s="556"/>
      <c r="MAC52" s="556"/>
      <c r="MAD52" s="556"/>
      <c r="MAE52" s="556"/>
      <c r="MAF52" s="556"/>
      <c r="MAG52" s="556"/>
      <c r="MAH52" s="556"/>
      <c r="MAI52" s="556"/>
      <c r="MAJ52" s="556"/>
      <c r="MAK52" s="556"/>
      <c r="MAL52" s="556"/>
      <c r="MAM52" s="556"/>
      <c r="MAN52" s="556"/>
      <c r="MAO52" s="556"/>
      <c r="MAP52" s="556"/>
      <c r="MAQ52" s="556"/>
      <c r="MAR52" s="556"/>
      <c r="MAS52" s="556"/>
      <c r="MAT52" s="556"/>
      <c r="MAU52" s="556"/>
      <c r="MAV52" s="556"/>
      <c r="MAW52" s="556"/>
      <c r="MAX52" s="556"/>
      <c r="MAY52" s="556"/>
      <c r="MAZ52" s="556"/>
      <c r="MBA52" s="556"/>
      <c r="MBB52" s="556"/>
      <c r="MBC52" s="556"/>
      <c r="MBD52" s="556"/>
      <c r="MBE52" s="556"/>
      <c r="MBF52" s="556"/>
      <c r="MBG52" s="556"/>
      <c r="MBH52" s="556"/>
      <c r="MBI52" s="556"/>
      <c r="MBJ52" s="556"/>
      <c r="MBK52" s="556"/>
      <c r="MBL52" s="556"/>
      <c r="MBM52" s="556"/>
      <c r="MBN52" s="556"/>
      <c r="MBO52" s="556"/>
      <c r="MBP52" s="556"/>
      <c r="MBQ52" s="556"/>
      <c r="MBR52" s="556"/>
      <c r="MBS52" s="556"/>
      <c r="MBT52" s="556"/>
      <c r="MBU52" s="556"/>
      <c r="MBV52" s="556"/>
      <c r="MBW52" s="556"/>
      <c r="MBX52" s="556"/>
      <c r="MBY52" s="556"/>
      <c r="MBZ52" s="556"/>
      <c r="MCA52" s="556"/>
      <c r="MCB52" s="556"/>
      <c r="MCC52" s="556"/>
      <c r="MCD52" s="556"/>
      <c r="MCE52" s="556"/>
      <c r="MCF52" s="556"/>
      <c r="MCG52" s="556"/>
      <c r="MCH52" s="556"/>
      <c r="MCI52" s="556"/>
      <c r="MCJ52" s="556"/>
      <c r="MCK52" s="556"/>
      <c r="MCL52" s="556"/>
      <c r="MCM52" s="556"/>
      <c r="MCN52" s="556"/>
      <c r="MCO52" s="556"/>
      <c r="MCP52" s="556"/>
      <c r="MCQ52" s="556"/>
      <c r="MCR52" s="556"/>
      <c r="MCS52" s="556"/>
      <c r="MCT52" s="556"/>
      <c r="MCU52" s="556"/>
      <c r="MCV52" s="556"/>
      <c r="MCW52" s="556"/>
      <c r="MCX52" s="556"/>
      <c r="MCY52" s="556"/>
      <c r="MCZ52" s="556"/>
      <c r="MDA52" s="556"/>
      <c r="MDB52" s="556"/>
      <c r="MDC52" s="556"/>
      <c r="MDD52" s="556"/>
      <c r="MDE52" s="556"/>
      <c r="MDF52" s="556"/>
      <c r="MDG52" s="556"/>
      <c r="MDH52" s="556"/>
      <c r="MDI52" s="556"/>
      <c r="MDJ52" s="556"/>
      <c r="MDK52" s="556"/>
      <c r="MDL52" s="556"/>
      <c r="MDM52" s="556"/>
      <c r="MDN52" s="556"/>
      <c r="MDO52" s="556"/>
      <c r="MDP52" s="556"/>
      <c r="MDQ52" s="556"/>
      <c r="MDR52" s="556"/>
      <c r="MDS52" s="556"/>
      <c r="MDT52" s="556"/>
      <c r="MDU52" s="556"/>
      <c r="MDV52" s="556"/>
      <c r="MDW52" s="556"/>
      <c r="MDX52" s="556"/>
      <c r="MDY52" s="556"/>
      <c r="MDZ52" s="556"/>
      <c r="MEA52" s="556"/>
      <c r="MEB52" s="556"/>
      <c r="MEC52" s="556"/>
      <c r="MED52" s="556"/>
      <c r="MEE52" s="556"/>
      <c r="MEF52" s="556"/>
      <c r="MEG52" s="556"/>
      <c r="MEH52" s="556"/>
      <c r="MEI52" s="556"/>
      <c r="MEJ52" s="556"/>
      <c r="MEK52" s="556"/>
      <c r="MEL52" s="556"/>
      <c r="MEM52" s="556"/>
      <c r="MEN52" s="556"/>
      <c r="MEO52" s="556"/>
      <c r="MEP52" s="556"/>
      <c r="MEQ52" s="556"/>
      <c r="MER52" s="556"/>
      <c r="MES52" s="556"/>
      <c r="MET52" s="556"/>
      <c r="MEU52" s="556"/>
      <c r="MEV52" s="556"/>
      <c r="MEW52" s="556"/>
      <c r="MEX52" s="556"/>
      <c r="MEY52" s="556"/>
      <c r="MEZ52" s="556"/>
      <c r="MFA52" s="556"/>
      <c r="MFB52" s="556"/>
      <c r="MFC52" s="556"/>
      <c r="MFD52" s="556"/>
      <c r="MFE52" s="556"/>
      <c r="MFF52" s="556"/>
      <c r="MFG52" s="556"/>
      <c r="MFH52" s="556"/>
      <c r="MFI52" s="556"/>
      <c r="MFJ52" s="556"/>
      <c r="MFK52" s="556"/>
      <c r="MFL52" s="556"/>
      <c r="MFM52" s="556"/>
      <c r="MFN52" s="556"/>
      <c r="MFO52" s="556"/>
      <c r="MFP52" s="556"/>
      <c r="MFQ52" s="556"/>
      <c r="MFR52" s="556"/>
      <c r="MFS52" s="556"/>
      <c r="MFT52" s="556"/>
      <c r="MFU52" s="556"/>
      <c r="MFV52" s="556"/>
      <c r="MFW52" s="556"/>
      <c r="MFX52" s="556"/>
      <c r="MFY52" s="556"/>
      <c r="MFZ52" s="556"/>
      <c r="MGA52" s="556"/>
      <c r="MGB52" s="556"/>
      <c r="MGC52" s="556"/>
      <c r="MGD52" s="556"/>
      <c r="MGE52" s="556"/>
      <c r="MGF52" s="556"/>
      <c r="MGG52" s="556"/>
      <c r="MGH52" s="556"/>
      <c r="MGI52" s="556"/>
      <c r="MGJ52" s="556"/>
      <c r="MGK52" s="556"/>
      <c r="MGL52" s="556"/>
      <c r="MGM52" s="556"/>
      <c r="MGN52" s="556"/>
      <c r="MGO52" s="556"/>
      <c r="MGP52" s="556"/>
      <c r="MGQ52" s="556"/>
      <c r="MGR52" s="556"/>
      <c r="MGS52" s="556"/>
      <c r="MGT52" s="556"/>
      <c r="MGU52" s="556"/>
      <c r="MGV52" s="556"/>
      <c r="MGW52" s="556"/>
      <c r="MGX52" s="556"/>
      <c r="MGY52" s="556"/>
      <c r="MGZ52" s="556"/>
      <c r="MHA52" s="556"/>
      <c r="MHB52" s="556"/>
      <c r="MHC52" s="556"/>
      <c r="MHD52" s="556"/>
      <c r="MHE52" s="556"/>
      <c r="MHF52" s="556"/>
      <c r="MHG52" s="556"/>
      <c r="MHH52" s="556"/>
      <c r="MHI52" s="556"/>
      <c r="MHJ52" s="556"/>
      <c r="MHK52" s="556"/>
      <c r="MHL52" s="556"/>
      <c r="MHM52" s="556"/>
      <c r="MHN52" s="556"/>
      <c r="MHO52" s="556"/>
      <c r="MHP52" s="556"/>
      <c r="MHQ52" s="556"/>
      <c r="MHR52" s="556"/>
      <c r="MHS52" s="556"/>
      <c r="MHT52" s="556"/>
      <c r="MHU52" s="556"/>
      <c r="MHV52" s="556"/>
      <c r="MHW52" s="556"/>
      <c r="MHX52" s="556"/>
      <c r="MHY52" s="556"/>
      <c r="MHZ52" s="556"/>
      <c r="MIA52" s="556"/>
      <c r="MIB52" s="556"/>
      <c r="MIC52" s="556"/>
      <c r="MID52" s="556"/>
      <c r="MIE52" s="556"/>
      <c r="MIF52" s="556"/>
      <c r="MIG52" s="556"/>
      <c r="MIH52" s="556"/>
      <c r="MII52" s="556"/>
      <c r="MIJ52" s="556"/>
      <c r="MIK52" s="556"/>
      <c r="MIL52" s="556"/>
      <c r="MIM52" s="556"/>
      <c r="MIN52" s="556"/>
      <c r="MIO52" s="556"/>
      <c r="MIP52" s="556"/>
      <c r="MIQ52" s="556"/>
      <c r="MIR52" s="556"/>
      <c r="MIS52" s="556"/>
      <c r="MIT52" s="556"/>
      <c r="MIU52" s="556"/>
      <c r="MIV52" s="556"/>
      <c r="MIW52" s="556"/>
      <c r="MIX52" s="556"/>
      <c r="MIY52" s="556"/>
      <c r="MIZ52" s="556"/>
      <c r="MJA52" s="556"/>
      <c r="MJB52" s="556"/>
      <c r="MJC52" s="556"/>
      <c r="MJD52" s="556"/>
      <c r="MJE52" s="556"/>
      <c r="MJF52" s="556"/>
      <c r="MJG52" s="556"/>
      <c r="MJH52" s="556"/>
      <c r="MJI52" s="556"/>
      <c r="MJJ52" s="556"/>
      <c r="MJK52" s="556"/>
      <c r="MJL52" s="556"/>
      <c r="MJM52" s="556"/>
      <c r="MJN52" s="556"/>
      <c r="MJO52" s="556"/>
      <c r="MJP52" s="556"/>
      <c r="MJQ52" s="556"/>
      <c r="MJR52" s="556"/>
      <c r="MJS52" s="556"/>
      <c r="MJT52" s="556"/>
      <c r="MJU52" s="556"/>
      <c r="MJV52" s="556"/>
      <c r="MJW52" s="556"/>
      <c r="MJX52" s="556"/>
      <c r="MJY52" s="556"/>
      <c r="MJZ52" s="556"/>
      <c r="MKA52" s="556"/>
      <c r="MKB52" s="556"/>
      <c r="MKC52" s="556"/>
      <c r="MKD52" s="556"/>
      <c r="MKE52" s="556"/>
      <c r="MKF52" s="556"/>
      <c r="MKG52" s="556"/>
      <c r="MKH52" s="556"/>
      <c r="MKI52" s="556"/>
      <c r="MKJ52" s="556"/>
      <c r="MKK52" s="556"/>
      <c r="MKL52" s="556"/>
      <c r="MKM52" s="556"/>
      <c r="MKN52" s="556"/>
      <c r="MKO52" s="556"/>
      <c r="MKP52" s="556"/>
      <c r="MKQ52" s="556"/>
      <c r="MKR52" s="556"/>
      <c r="MKS52" s="556"/>
      <c r="MKT52" s="556"/>
      <c r="MKU52" s="556"/>
      <c r="MKV52" s="556"/>
      <c r="MKW52" s="556"/>
      <c r="MKX52" s="556"/>
      <c r="MKY52" s="556"/>
      <c r="MKZ52" s="556"/>
      <c r="MLA52" s="556"/>
      <c r="MLB52" s="556"/>
      <c r="MLC52" s="556"/>
      <c r="MLD52" s="556"/>
      <c r="MLE52" s="556"/>
      <c r="MLF52" s="556"/>
      <c r="MLG52" s="556"/>
      <c r="MLH52" s="556"/>
      <c r="MLI52" s="556"/>
      <c r="MLJ52" s="556"/>
      <c r="MLK52" s="556"/>
      <c r="MLL52" s="556"/>
      <c r="MLM52" s="556"/>
      <c r="MLN52" s="556"/>
      <c r="MLO52" s="556"/>
      <c r="MLP52" s="556"/>
      <c r="MLQ52" s="556"/>
      <c r="MLR52" s="556"/>
      <c r="MLS52" s="556"/>
      <c r="MLT52" s="556"/>
      <c r="MLU52" s="556"/>
      <c r="MLV52" s="556"/>
      <c r="MLW52" s="556"/>
      <c r="MLX52" s="556"/>
      <c r="MLY52" s="556"/>
      <c r="MLZ52" s="556"/>
      <c r="MMA52" s="556"/>
      <c r="MMB52" s="556"/>
      <c r="MMC52" s="556"/>
      <c r="MMD52" s="556"/>
      <c r="MME52" s="556"/>
      <c r="MMF52" s="556"/>
      <c r="MMG52" s="556"/>
      <c r="MMH52" s="556"/>
      <c r="MMI52" s="556"/>
      <c r="MMJ52" s="556"/>
      <c r="MMK52" s="556"/>
      <c r="MML52" s="556"/>
      <c r="MMM52" s="556"/>
      <c r="MMN52" s="556"/>
      <c r="MMO52" s="556"/>
      <c r="MMP52" s="556"/>
      <c r="MMQ52" s="556"/>
      <c r="MMR52" s="556"/>
      <c r="MMS52" s="556"/>
      <c r="MMT52" s="556"/>
      <c r="MMU52" s="556"/>
      <c r="MMV52" s="556"/>
      <c r="MMW52" s="556"/>
      <c r="MMX52" s="556"/>
      <c r="MMY52" s="556"/>
      <c r="MMZ52" s="556"/>
      <c r="MNA52" s="556"/>
      <c r="MNB52" s="556"/>
      <c r="MNC52" s="556"/>
      <c r="MND52" s="556"/>
      <c r="MNE52" s="556"/>
      <c r="MNF52" s="556"/>
      <c r="MNG52" s="556"/>
      <c r="MNH52" s="556"/>
      <c r="MNI52" s="556"/>
      <c r="MNJ52" s="556"/>
      <c r="MNK52" s="556"/>
      <c r="MNL52" s="556"/>
      <c r="MNM52" s="556"/>
      <c r="MNN52" s="556"/>
      <c r="MNO52" s="556"/>
      <c r="MNP52" s="556"/>
      <c r="MNQ52" s="556"/>
      <c r="MNR52" s="556"/>
      <c r="MNS52" s="556"/>
      <c r="MNT52" s="556"/>
      <c r="MNU52" s="556"/>
      <c r="MNV52" s="556"/>
      <c r="MNW52" s="556"/>
      <c r="MNX52" s="556"/>
      <c r="MNY52" s="556"/>
      <c r="MNZ52" s="556"/>
      <c r="MOA52" s="556"/>
      <c r="MOB52" s="556"/>
      <c r="MOC52" s="556"/>
      <c r="MOD52" s="556"/>
      <c r="MOE52" s="556"/>
      <c r="MOF52" s="556"/>
      <c r="MOG52" s="556"/>
      <c r="MOH52" s="556"/>
      <c r="MOI52" s="556"/>
      <c r="MOJ52" s="556"/>
      <c r="MOK52" s="556"/>
      <c r="MOL52" s="556"/>
      <c r="MOM52" s="556"/>
      <c r="MON52" s="556"/>
      <c r="MOO52" s="556"/>
      <c r="MOP52" s="556"/>
      <c r="MOQ52" s="556"/>
      <c r="MOR52" s="556"/>
      <c r="MOS52" s="556"/>
      <c r="MOT52" s="556"/>
      <c r="MOU52" s="556"/>
      <c r="MOV52" s="556"/>
      <c r="MOW52" s="556"/>
      <c r="MOX52" s="556"/>
      <c r="MOY52" s="556"/>
      <c r="MOZ52" s="556"/>
      <c r="MPA52" s="556"/>
      <c r="MPB52" s="556"/>
      <c r="MPC52" s="556"/>
      <c r="MPD52" s="556"/>
      <c r="MPE52" s="556"/>
      <c r="MPF52" s="556"/>
      <c r="MPG52" s="556"/>
      <c r="MPH52" s="556"/>
      <c r="MPI52" s="556"/>
      <c r="MPJ52" s="556"/>
      <c r="MPK52" s="556"/>
      <c r="MPL52" s="556"/>
      <c r="MPM52" s="556"/>
      <c r="MPN52" s="556"/>
      <c r="MPO52" s="556"/>
      <c r="MPP52" s="556"/>
      <c r="MPQ52" s="556"/>
      <c r="MPR52" s="556"/>
      <c r="MPS52" s="556"/>
      <c r="MPT52" s="556"/>
      <c r="MPU52" s="556"/>
      <c r="MPV52" s="556"/>
      <c r="MPW52" s="556"/>
      <c r="MPX52" s="556"/>
      <c r="MPY52" s="556"/>
      <c r="MPZ52" s="556"/>
      <c r="MQA52" s="556"/>
      <c r="MQB52" s="556"/>
      <c r="MQC52" s="556"/>
      <c r="MQD52" s="556"/>
      <c r="MQE52" s="556"/>
      <c r="MQF52" s="556"/>
      <c r="MQG52" s="556"/>
      <c r="MQH52" s="556"/>
      <c r="MQI52" s="556"/>
      <c r="MQJ52" s="556"/>
      <c r="MQK52" s="556"/>
      <c r="MQL52" s="556"/>
      <c r="MQM52" s="556"/>
      <c r="MQN52" s="556"/>
      <c r="MQO52" s="556"/>
      <c r="MQP52" s="556"/>
      <c r="MQQ52" s="556"/>
      <c r="MQR52" s="556"/>
      <c r="MQS52" s="556"/>
      <c r="MQT52" s="556"/>
      <c r="MQU52" s="556"/>
      <c r="MQV52" s="556"/>
      <c r="MQW52" s="556"/>
      <c r="MQX52" s="556"/>
      <c r="MQY52" s="556"/>
      <c r="MQZ52" s="556"/>
      <c r="MRA52" s="556"/>
      <c r="MRB52" s="556"/>
      <c r="MRC52" s="556"/>
      <c r="MRD52" s="556"/>
      <c r="MRE52" s="556"/>
      <c r="MRF52" s="556"/>
      <c r="MRG52" s="556"/>
      <c r="MRH52" s="556"/>
      <c r="MRI52" s="556"/>
      <c r="MRJ52" s="556"/>
      <c r="MRK52" s="556"/>
      <c r="MRL52" s="556"/>
      <c r="MRM52" s="556"/>
      <c r="MRN52" s="556"/>
      <c r="MRO52" s="556"/>
      <c r="MRP52" s="556"/>
      <c r="MRQ52" s="556"/>
      <c r="MRR52" s="556"/>
      <c r="MRS52" s="556"/>
      <c r="MRT52" s="556"/>
      <c r="MRU52" s="556"/>
      <c r="MRV52" s="556"/>
      <c r="MRW52" s="556"/>
      <c r="MRX52" s="556"/>
      <c r="MRY52" s="556"/>
      <c r="MRZ52" s="556"/>
      <c r="MSA52" s="556"/>
      <c r="MSB52" s="556"/>
      <c r="MSC52" s="556"/>
      <c r="MSD52" s="556"/>
      <c r="MSE52" s="556"/>
      <c r="MSF52" s="556"/>
      <c r="MSG52" s="556"/>
      <c r="MSH52" s="556"/>
      <c r="MSI52" s="556"/>
      <c r="MSJ52" s="556"/>
      <c r="MSK52" s="556"/>
      <c r="MSL52" s="556"/>
      <c r="MSM52" s="556"/>
      <c r="MSN52" s="556"/>
      <c r="MSO52" s="556"/>
      <c r="MSP52" s="556"/>
      <c r="MSQ52" s="556"/>
      <c r="MSR52" s="556"/>
      <c r="MSS52" s="556"/>
      <c r="MST52" s="556"/>
      <c r="MSU52" s="556"/>
      <c r="MSV52" s="556"/>
      <c r="MSW52" s="556"/>
      <c r="MSX52" s="556"/>
      <c r="MSY52" s="556"/>
      <c r="MSZ52" s="556"/>
      <c r="MTA52" s="556"/>
      <c r="MTB52" s="556"/>
      <c r="MTC52" s="556"/>
      <c r="MTD52" s="556"/>
      <c r="MTE52" s="556"/>
      <c r="MTF52" s="556"/>
      <c r="MTG52" s="556"/>
      <c r="MTH52" s="556"/>
      <c r="MTI52" s="556"/>
      <c r="MTJ52" s="556"/>
      <c r="MTK52" s="556"/>
      <c r="MTL52" s="556"/>
      <c r="MTM52" s="556"/>
      <c r="MTN52" s="556"/>
      <c r="MTO52" s="556"/>
      <c r="MTP52" s="556"/>
      <c r="MTQ52" s="556"/>
      <c r="MTR52" s="556"/>
      <c r="MTS52" s="556"/>
      <c r="MTT52" s="556"/>
      <c r="MTU52" s="556"/>
      <c r="MTV52" s="556"/>
      <c r="MTW52" s="556"/>
      <c r="MTX52" s="556"/>
      <c r="MTY52" s="556"/>
      <c r="MTZ52" s="556"/>
      <c r="MUA52" s="556"/>
      <c r="MUB52" s="556"/>
      <c r="MUC52" s="556"/>
      <c r="MUD52" s="556"/>
      <c r="MUE52" s="556"/>
      <c r="MUF52" s="556"/>
      <c r="MUG52" s="556"/>
      <c r="MUH52" s="556"/>
      <c r="MUI52" s="556"/>
      <c r="MUJ52" s="556"/>
      <c r="MUK52" s="556"/>
      <c r="MUL52" s="556"/>
      <c r="MUM52" s="556"/>
      <c r="MUN52" s="556"/>
      <c r="MUO52" s="556"/>
      <c r="MUP52" s="556"/>
      <c r="MUQ52" s="556"/>
      <c r="MUR52" s="556"/>
      <c r="MUS52" s="556"/>
      <c r="MUT52" s="556"/>
      <c r="MUU52" s="556"/>
      <c r="MUV52" s="556"/>
      <c r="MUW52" s="556"/>
      <c r="MUX52" s="556"/>
      <c r="MUY52" s="556"/>
      <c r="MUZ52" s="556"/>
      <c r="MVA52" s="556"/>
      <c r="MVB52" s="556"/>
      <c r="MVC52" s="556"/>
      <c r="MVD52" s="556"/>
      <c r="MVE52" s="556"/>
      <c r="MVF52" s="556"/>
      <c r="MVG52" s="556"/>
      <c r="MVH52" s="556"/>
      <c r="MVI52" s="556"/>
      <c r="MVJ52" s="556"/>
      <c r="MVK52" s="556"/>
      <c r="MVL52" s="556"/>
      <c r="MVM52" s="556"/>
      <c r="MVN52" s="556"/>
      <c r="MVO52" s="556"/>
      <c r="MVP52" s="556"/>
      <c r="MVQ52" s="556"/>
      <c r="MVR52" s="556"/>
      <c r="MVS52" s="556"/>
      <c r="MVT52" s="556"/>
      <c r="MVU52" s="556"/>
      <c r="MVV52" s="556"/>
      <c r="MVW52" s="556"/>
      <c r="MVX52" s="556"/>
      <c r="MVY52" s="556"/>
      <c r="MVZ52" s="556"/>
      <c r="MWA52" s="556"/>
      <c r="MWB52" s="556"/>
      <c r="MWC52" s="556"/>
      <c r="MWD52" s="556"/>
      <c r="MWE52" s="556"/>
      <c r="MWF52" s="556"/>
      <c r="MWG52" s="556"/>
      <c r="MWH52" s="556"/>
      <c r="MWI52" s="556"/>
      <c r="MWJ52" s="556"/>
      <c r="MWK52" s="556"/>
      <c r="MWL52" s="556"/>
      <c r="MWM52" s="556"/>
      <c r="MWN52" s="556"/>
      <c r="MWO52" s="556"/>
      <c r="MWP52" s="556"/>
      <c r="MWQ52" s="556"/>
      <c r="MWR52" s="556"/>
      <c r="MWS52" s="556"/>
      <c r="MWT52" s="556"/>
      <c r="MWU52" s="556"/>
      <c r="MWV52" s="556"/>
      <c r="MWW52" s="556"/>
      <c r="MWX52" s="556"/>
      <c r="MWY52" s="556"/>
      <c r="MWZ52" s="556"/>
      <c r="MXA52" s="556"/>
      <c r="MXB52" s="556"/>
      <c r="MXC52" s="556"/>
      <c r="MXD52" s="556"/>
      <c r="MXE52" s="556"/>
      <c r="MXF52" s="556"/>
      <c r="MXG52" s="556"/>
      <c r="MXH52" s="556"/>
      <c r="MXI52" s="556"/>
      <c r="MXJ52" s="556"/>
      <c r="MXK52" s="556"/>
      <c r="MXL52" s="556"/>
      <c r="MXM52" s="556"/>
      <c r="MXN52" s="556"/>
      <c r="MXO52" s="556"/>
      <c r="MXP52" s="556"/>
      <c r="MXQ52" s="556"/>
      <c r="MXR52" s="556"/>
      <c r="MXS52" s="556"/>
      <c r="MXT52" s="556"/>
      <c r="MXU52" s="556"/>
      <c r="MXV52" s="556"/>
      <c r="MXW52" s="556"/>
      <c r="MXX52" s="556"/>
      <c r="MXY52" s="556"/>
      <c r="MXZ52" s="556"/>
      <c r="MYA52" s="556"/>
      <c r="MYB52" s="556"/>
      <c r="MYC52" s="556"/>
      <c r="MYD52" s="556"/>
      <c r="MYE52" s="556"/>
      <c r="MYF52" s="556"/>
      <c r="MYG52" s="556"/>
      <c r="MYH52" s="556"/>
      <c r="MYI52" s="556"/>
      <c r="MYJ52" s="556"/>
      <c r="MYK52" s="556"/>
      <c r="MYL52" s="556"/>
      <c r="MYM52" s="556"/>
      <c r="MYN52" s="556"/>
      <c r="MYO52" s="556"/>
      <c r="MYP52" s="556"/>
      <c r="MYQ52" s="556"/>
      <c r="MYR52" s="556"/>
      <c r="MYS52" s="556"/>
      <c r="MYT52" s="556"/>
      <c r="MYU52" s="556"/>
      <c r="MYV52" s="556"/>
      <c r="MYW52" s="556"/>
      <c r="MYX52" s="556"/>
      <c r="MYY52" s="556"/>
      <c r="MYZ52" s="556"/>
      <c r="MZA52" s="556"/>
      <c r="MZB52" s="556"/>
      <c r="MZC52" s="556"/>
      <c r="MZD52" s="556"/>
      <c r="MZE52" s="556"/>
      <c r="MZF52" s="556"/>
      <c r="MZG52" s="556"/>
      <c r="MZH52" s="556"/>
      <c r="MZI52" s="556"/>
      <c r="MZJ52" s="556"/>
      <c r="MZK52" s="556"/>
      <c r="MZL52" s="556"/>
      <c r="MZM52" s="556"/>
      <c r="MZN52" s="556"/>
      <c r="MZO52" s="556"/>
      <c r="MZP52" s="556"/>
      <c r="MZQ52" s="556"/>
      <c r="MZR52" s="556"/>
      <c r="MZS52" s="556"/>
      <c r="MZT52" s="556"/>
      <c r="MZU52" s="556"/>
      <c r="MZV52" s="556"/>
      <c r="MZW52" s="556"/>
      <c r="MZX52" s="556"/>
      <c r="MZY52" s="556"/>
      <c r="MZZ52" s="556"/>
      <c r="NAA52" s="556"/>
      <c r="NAB52" s="556"/>
      <c r="NAC52" s="556"/>
      <c r="NAD52" s="556"/>
      <c r="NAE52" s="556"/>
      <c r="NAF52" s="556"/>
      <c r="NAG52" s="556"/>
      <c r="NAH52" s="556"/>
      <c r="NAI52" s="556"/>
      <c r="NAJ52" s="556"/>
      <c r="NAK52" s="556"/>
      <c r="NAL52" s="556"/>
      <c r="NAM52" s="556"/>
      <c r="NAN52" s="556"/>
      <c r="NAO52" s="556"/>
      <c r="NAP52" s="556"/>
      <c r="NAQ52" s="556"/>
      <c r="NAR52" s="556"/>
      <c r="NAS52" s="556"/>
      <c r="NAT52" s="556"/>
      <c r="NAU52" s="556"/>
      <c r="NAV52" s="556"/>
      <c r="NAW52" s="556"/>
      <c r="NAX52" s="556"/>
      <c r="NAY52" s="556"/>
      <c r="NAZ52" s="556"/>
      <c r="NBA52" s="556"/>
      <c r="NBB52" s="556"/>
      <c r="NBC52" s="556"/>
      <c r="NBD52" s="556"/>
      <c r="NBE52" s="556"/>
      <c r="NBF52" s="556"/>
      <c r="NBG52" s="556"/>
      <c r="NBH52" s="556"/>
      <c r="NBI52" s="556"/>
      <c r="NBJ52" s="556"/>
      <c r="NBK52" s="556"/>
      <c r="NBL52" s="556"/>
      <c r="NBM52" s="556"/>
      <c r="NBN52" s="556"/>
      <c r="NBO52" s="556"/>
      <c r="NBP52" s="556"/>
      <c r="NBQ52" s="556"/>
      <c r="NBR52" s="556"/>
      <c r="NBS52" s="556"/>
      <c r="NBT52" s="556"/>
      <c r="NBU52" s="556"/>
      <c r="NBV52" s="556"/>
      <c r="NBW52" s="556"/>
      <c r="NBX52" s="556"/>
      <c r="NBY52" s="556"/>
      <c r="NBZ52" s="556"/>
      <c r="NCA52" s="556"/>
      <c r="NCB52" s="556"/>
      <c r="NCC52" s="556"/>
      <c r="NCD52" s="556"/>
      <c r="NCE52" s="556"/>
      <c r="NCF52" s="556"/>
      <c r="NCG52" s="556"/>
      <c r="NCH52" s="556"/>
      <c r="NCI52" s="556"/>
      <c r="NCJ52" s="556"/>
      <c r="NCK52" s="556"/>
      <c r="NCL52" s="556"/>
      <c r="NCM52" s="556"/>
      <c r="NCN52" s="556"/>
      <c r="NCO52" s="556"/>
      <c r="NCP52" s="556"/>
      <c r="NCQ52" s="556"/>
      <c r="NCR52" s="556"/>
      <c r="NCS52" s="556"/>
      <c r="NCT52" s="556"/>
      <c r="NCU52" s="556"/>
      <c r="NCV52" s="556"/>
      <c r="NCW52" s="556"/>
      <c r="NCX52" s="556"/>
      <c r="NCY52" s="556"/>
      <c r="NCZ52" s="556"/>
      <c r="NDA52" s="556"/>
      <c r="NDB52" s="556"/>
      <c r="NDC52" s="556"/>
      <c r="NDD52" s="556"/>
      <c r="NDE52" s="556"/>
      <c r="NDF52" s="556"/>
      <c r="NDG52" s="556"/>
      <c r="NDH52" s="556"/>
      <c r="NDI52" s="556"/>
      <c r="NDJ52" s="556"/>
      <c r="NDK52" s="556"/>
      <c r="NDL52" s="556"/>
      <c r="NDM52" s="556"/>
      <c r="NDN52" s="556"/>
      <c r="NDO52" s="556"/>
      <c r="NDP52" s="556"/>
      <c r="NDQ52" s="556"/>
      <c r="NDR52" s="556"/>
      <c r="NDS52" s="556"/>
      <c r="NDT52" s="556"/>
      <c r="NDU52" s="556"/>
      <c r="NDV52" s="556"/>
      <c r="NDW52" s="556"/>
      <c r="NDX52" s="556"/>
      <c r="NDY52" s="556"/>
      <c r="NDZ52" s="556"/>
      <c r="NEA52" s="556"/>
      <c r="NEB52" s="556"/>
      <c r="NEC52" s="556"/>
      <c r="NED52" s="556"/>
      <c r="NEE52" s="556"/>
      <c r="NEF52" s="556"/>
      <c r="NEG52" s="556"/>
      <c r="NEH52" s="556"/>
      <c r="NEI52" s="556"/>
      <c r="NEJ52" s="556"/>
      <c r="NEK52" s="556"/>
      <c r="NEL52" s="556"/>
      <c r="NEM52" s="556"/>
      <c r="NEN52" s="556"/>
      <c r="NEO52" s="556"/>
      <c r="NEP52" s="556"/>
      <c r="NEQ52" s="556"/>
      <c r="NER52" s="556"/>
      <c r="NES52" s="556"/>
      <c r="NET52" s="556"/>
      <c r="NEU52" s="556"/>
      <c r="NEV52" s="556"/>
      <c r="NEW52" s="556"/>
      <c r="NEX52" s="556"/>
      <c r="NEY52" s="556"/>
      <c r="NEZ52" s="556"/>
      <c r="NFA52" s="556"/>
      <c r="NFB52" s="556"/>
      <c r="NFC52" s="556"/>
      <c r="NFD52" s="556"/>
      <c r="NFE52" s="556"/>
      <c r="NFF52" s="556"/>
      <c r="NFG52" s="556"/>
      <c r="NFH52" s="556"/>
      <c r="NFI52" s="556"/>
      <c r="NFJ52" s="556"/>
      <c r="NFK52" s="556"/>
      <c r="NFL52" s="556"/>
      <c r="NFM52" s="556"/>
      <c r="NFN52" s="556"/>
      <c r="NFO52" s="556"/>
      <c r="NFP52" s="556"/>
      <c r="NFQ52" s="556"/>
      <c r="NFR52" s="556"/>
      <c r="NFS52" s="556"/>
      <c r="NFT52" s="556"/>
      <c r="NFU52" s="556"/>
      <c r="NFV52" s="556"/>
      <c r="NFW52" s="556"/>
      <c r="NFX52" s="556"/>
      <c r="NFY52" s="556"/>
      <c r="NFZ52" s="556"/>
      <c r="NGA52" s="556"/>
      <c r="NGB52" s="556"/>
      <c r="NGC52" s="556"/>
      <c r="NGD52" s="556"/>
      <c r="NGE52" s="556"/>
      <c r="NGF52" s="556"/>
      <c r="NGG52" s="556"/>
      <c r="NGH52" s="556"/>
      <c r="NGI52" s="556"/>
      <c r="NGJ52" s="556"/>
      <c r="NGK52" s="556"/>
      <c r="NGL52" s="556"/>
      <c r="NGM52" s="556"/>
      <c r="NGN52" s="556"/>
      <c r="NGO52" s="556"/>
      <c r="NGP52" s="556"/>
      <c r="NGQ52" s="556"/>
      <c r="NGR52" s="556"/>
      <c r="NGS52" s="556"/>
      <c r="NGT52" s="556"/>
      <c r="NGU52" s="556"/>
      <c r="NGV52" s="556"/>
      <c r="NGW52" s="556"/>
      <c r="NGX52" s="556"/>
      <c r="NGY52" s="556"/>
      <c r="NGZ52" s="556"/>
      <c r="NHA52" s="556"/>
      <c r="NHB52" s="556"/>
      <c r="NHC52" s="556"/>
      <c r="NHD52" s="556"/>
      <c r="NHE52" s="556"/>
      <c r="NHF52" s="556"/>
      <c r="NHG52" s="556"/>
      <c r="NHH52" s="556"/>
      <c r="NHI52" s="556"/>
      <c r="NHJ52" s="556"/>
      <c r="NHK52" s="556"/>
      <c r="NHL52" s="556"/>
      <c r="NHM52" s="556"/>
      <c r="NHN52" s="556"/>
      <c r="NHO52" s="556"/>
      <c r="NHP52" s="556"/>
      <c r="NHQ52" s="556"/>
      <c r="NHR52" s="556"/>
      <c r="NHS52" s="556"/>
      <c r="NHT52" s="556"/>
      <c r="NHU52" s="556"/>
      <c r="NHV52" s="556"/>
      <c r="NHW52" s="556"/>
      <c r="NHX52" s="556"/>
      <c r="NHY52" s="556"/>
      <c r="NHZ52" s="556"/>
      <c r="NIA52" s="556"/>
      <c r="NIB52" s="556"/>
      <c r="NIC52" s="556"/>
      <c r="NID52" s="556"/>
      <c r="NIE52" s="556"/>
      <c r="NIF52" s="556"/>
      <c r="NIG52" s="556"/>
      <c r="NIH52" s="556"/>
      <c r="NII52" s="556"/>
      <c r="NIJ52" s="556"/>
      <c r="NIK52" s="556"/>
      <c r="NIL52" s="556"/>
      <c r="NIM52" s="556"/>
      <c r="NIN52" s="556"/>
      <c r="NIO52" s="556"/>
      <c r="NIP52" s="556"/>
      <c r="NIQ52" s="556"/>
      <c r="NIR52" s="556"/>
      <c r="NIS52" s="556"/>
      <c r="NIT52" s="556"/>
      <c r="NIU52" s="556"/>
      <c r="NIV52" s="556"/>
      <c r="NIW52" s="556"/>
      <c r="NIX52" s="556"/>
      <c r="NIY52" s="556"/>
      <c r="NIZ52" s="556"/>
      <c r="NJA52" s="556"/>
      <c r="NJB52" s="556"/>
      <c r="NJC52" s="556"/>
      <c r="NJD52" s="556"/>
      <c r="NJE52" s="556"/>
      <c r="NJF52" s="556"/>
      <c r="NJG52" s="556"/>
      <c r="NJH52" s="556"/>
      <c r="NJI52" s="556"/>
      <c r="NJJ52" s="556"/>
      <c r="NJK52" s="556"/>
      <c r="NJL52" s="556"/>
      <c r="NJM52" s="556"/>
      <c r="NJN52" s="556"/>
      <c r="NJO52" s="556"/>
      <c r="NJP52" s="556"/>
      <c r="NJQ52" s="556"/>
      <c r="NJR52" s="556"/>
      <c r="NJS52" s="556"/>
      <c r="NJT52" s="556"/>
      <c r="NJU52" s="556"/>
      <c r="NJV52" s="556"/>
      <c r="NJW52" s="556"/>
      <c r="NJX52" s="556"/>
      <c r="NJY52" s="556"/>
      <c r="NJZ52" s="556"/>
      <c r="NKA52" s="556"/>
      <c r="NKB52" s="556"/>
      <c r="NKC52" s="556"/>
      <c r="NKD52" s="556"/>
      <c r="NKE52" s="556"/>
      <c r="NKF52" s="556"/>
      <c r="NKG52" s="556"/>
      <c r="NKH52" s="556"/>
      <c r="NKI52" s="556"/>
      <c r="NKJ52" s="556"/>
      <c r="NKK52" s="556"/>
      <c r="NKL52" s="556"/>
      <c r="NKM52" s="556"/>
      <c r="NKN52" s="556"/>
      <c r="NKO52" s="556"/>
      <c r="NKP52" s="556"/>
      <c r="NKQ52" s="556"/>
      <c r="NKR52" s="556"/>
      <c r="NKS52" s="556"/>
      <c r="NKT52" s="556"/>
      <c r="NKU52" s="556"/>
      <c r="NKV52" s="556"/>
      <c r="NKW52" s="556"/>
      <c r="NKX52" s="556"/>
      <c r="NKY52" s="556"/>
      <c r="NKZ52" s="556"/>
      <c r="NLA52" s="556"/>
      <c r="NLB52" s="556"/>
      <c r="NLC52" s="556"/>
      <c r="NLD52" s="556"/>
      <c r="NLE52" s="556"/>
      <c r="NLF52" s="556"/>
      <c r="NLG52" s="556"/>
      <c r="NLH52" s="556"/>
      <c r="NLI52" s="556"/>
      <c r="NLJ52" s="556"/>
      <c r="NLK52" s="556"/>
      <c r="NLL52" s="556"/>
      <c r="NLM52" s="556"/>
      <c r="NLN52" s="556"/>
      <c r="NLO52" s="556"/>
      <c r="NLP52" s="556"/>
      <c r="NLQ52" s="556"/>
      <c r="NLR52" s="556"/>
      <c r="NLS52" s="556"/>
      <c r="NLT52" s="556"/>
      <c r="NLU52" s="556"/>
      <c r="NLV52" s="556"/>
      <c r="NLW52" s="556"/>
      <c r="NLX52" s="556"/>
      <c r="NLY52" s="556"/>
      <c r="NLZ52" s="556"/>
      <c r="NMA52" s="556"/>
      <c r="NMB52" s="556"/>
      <c r="NMC52" s="556"/>
      <c r="NMD52" s="556"/>
      <c r="NME52" s="556"/>
      <c r="NMF52" s="556"/>
      <c r="NMG52" s="556"/>
      <c r="NMH52" s="556"/>
      <c r="NMI52" s="556"/>
      <c r="NMJ52" s="556"/>
      <c r="NMK52" s="556"/>
      <c r="NML52" s="556"/>
      <c r="NMM52" s="556"/>
      <c r="NMN52" s="556"/>
      <c r="NMO52" s="556"/>
      <c r="NMP52" s="556"/>
      <c r="NMQ52" s="556"/>
      <c r="NMR52" s="556"/>
      <c r="NMS52" s="556"/>
      <c r="NMT52" s="556"/>
      <c r="NMU52" s="556"/>
      <c r="NMV52" s="556"/>
      <c r="NMW52" s="556"/>
      <c r="NMX52" s="556"/>
      <c r="NMY52" s="556"/>
      <c r="NMZ52" s="556"/>
      <c r="NNA52" s="556"/>
      <c r="NNB52" s="556"/>
      <c r="NNC52" s="556"/>
      <c r="NND52" s="556"/>
      <c r="NNE52" s="556"/>
      <c r="NNF52" s="556"/>
      <c r="NNG52" s="556"/>
      <c r="NNH52" s="556"/>
      <c r="NNI52" s="556"/>
      <c r="NNJ52" s="556"/>
      <c r="NNK52" s="556"/>
      <c r="NNL52" s="556"/>
      <c r="NNM52" s="556"/>
      <c r="NNN52" s="556"/>
      <c r="NNO52" s="556"/>
      <c r="NNP52" s="556"/>
      <c r="NNQ52" s="556"/>
      <c r="NNR52" s="556"/>
      <c r="NNS52" s="556"/>
      <c r="NNT52" s="556"/>
      <c r="NNU52" s="556"/>
      <c r="NNV52" s="556"/>
      <c r="NNW52" s="556"/>
      <c r="NNX52" s="556"/>
      <c r="NNY52" s="556"/>
      <c r="NNZ52" s="556"/>
      <c r="NOA52" s="556"/>
      <c r="NOB52" s="556"/>
      <c r="NOC52" s="556"/>
      <c r="NOD52" s="556"/>
      <c r="NOE52" s="556"/>
      <c r="NOF52" s="556"/>
      <c r="NOG52" s="556"/>
      <c r="NOH52" s="556"/>
      <c r="NOI52" s="556"/>
      <c r="NOJ52" s="556"/>
      <c r="NOK52" s="556"/>
      <c r="NOL52" s="556"/>
      <c r="NOM52" s="556"/>
      <c r="NON52" s="556"/>
      <c r="NOO52" s="556"/>
      <c r="NOP52" s="556"/>
      <c r="NOQ52" s="556"/>
      <c r="NOR52" s="556"/>
      <c r="NOS52" s="556"/>
      <c r="NOT52" s="556"/>
      <c r="NOU52" s="556"/>
      <c r="NOV52" s="556"/>
      <c r="NOW52" s="556"/>
      <c r="NOX52" s="556"/>
      <c r="NOY52" s="556"/>
      <c r="NOZ52" s="556"/>
      <c r="NPA52" s="556"/>
      <c r="NPB52" s="556"/>
      <c r="NPC52" s="556"/>
      <c r="NPD52" s="556"/>
      <c r="NPE52" s="556"/>
      <c r="NPF52" s="556"/>
      <c r="NPG52" s="556"/>
      <c r="NPH52" s="556"/>
      <c r="NPI52" s="556"/>
      <c r="NPJ52" s="556"/>
      <c r="NPK52" s="556"/>
      <c r="NPL52" s="556"/>
      <c r="NPM52" s="556"/>
      <c r="NPN52" s="556"/>
      <c r="NPO52" s="556"/>
      <c r="NPP52" s="556"/>
      <c r="NPQ52" s="556"/>
      <c r="NPR52" s="556"/>
      <c r="NPS52" s="556"/>
      <c r="NPT52" s="556"/>
      <c r="NPU52" s="556"/>
      <c r="NPV52" s="556"/>
      <c r="NPW52" s="556"/>
      <c r="NPX52" s="556"/>
      <c r="NPY52" s="556"/>
      <c r="NPZ52" s="556"/>
      <c r="NQA52" s="556"/>
      <c r="NQB52" s="556"/>
      <c r="NQC52" s="556"/>
      <c r="NQD52" s="556"/>
      <c r="NQE52" s="556"/>
      <c r="NQF52" s="556"/>
      <c r="NQG52" s="556"/>
      <c r="NQH52" s="556"/>
      <c r="NQI52" s="556"/>
      <c r="NQJ52" s="556"/>
      <c r="NQK52" s="556"/>
      <c r="NQL52" s="556"/>
      <c r="NQM52" s="556"/>
      <c r="NQN52" s="556"/>
      <c r="NQO52" s="556"/>
      <c r="NQP52" s="556"/>
      <c r="NQQ52" s="556"/>
      <c r="NQR52" s="556"/>
      <c r="NQS52" s="556"/>
      <c r="NQT52" s="556"/>
      <c r="NQU52" s="556"/>
      <c r="NQV52" s="556"/>
      <c r="NQW52" s="556"/>
      <c r="NQX52" s="556"/>
      <c r="NQY52" s="556"/>
      <c r="NQZ52" s="556"/>
      <c r="NRA52" s="556"/>
      <c r="NRB52" s="556"/>
      <c r="NRC52" s="556"/>
      <c r="NRD52" s="556"/>
      <c r="NRE52" s="556"/>
      <c r="NRF52" s="556"/>
      <c r="NRG52" s="556"/>
      <c r="NRH52" s="556"/>
      <c r="NRI52" s="556"/>
      <c r="NRJ52" s="556"/>
      <c r="NRK52" s="556"/>
      <c r="NRL52" s="556"/>
      <c r="NRM52" s="556"/>
      <c r="NRN52" s="556"/>
      <c r="NRO52" s="556"/>
      <c r="NRP52" s="556"/>
      <c r="NRQ52" s="556"/>
      <c r="NRR52" s="556"/>
      <c r="NRS52" s="556"/>
      <c r="NRT52" s="556"/>
      <c r="NRU52" s="556"/>
      <c r="NRV52" s="556"/>
      <c r="NRW52" s="556"/>
      <c r="NRX52" s="556"/>
      <c r="NRY52" s="556"/>
      <c r="NRZ52" s="556"/>
      <c r="NSA52" s="556"/>
      <c r="NSB52" s="556"/>
      <c r="NSC52" s="556"/>
      <c r="NSD52" s="556"/>
      <c r="NSE52" s="556"/>
      <c r="NSF52" s="556"/>
      <c r="NSG52" s="556"/>
      <c r="NSH52" s="556"/>
      <c r="NSI52" s="556"/>
      <c r="NSJ52" s="556"/>
      <c r="NSK52" s="556"/>
      <c r="NSL52" s="556"/>
      <c r="NSM52" s="556"/>
      <c r="NSN52" s="556"/>
      <c r="NSO52" s="556"/>
      <c r="NSP52" s="556"/>
      <c r="NSQ52" s="556"/>
      <c r="NSR52" s="556"/>
      <c r="NSS52" s="556"/>
      <c r="NST52" s="556"/>
      <c r="NSU52" s="556"/>
      <c r="NSV52" s="556"/>
      <c r="NSW52" s="556"/>
      <c r="NSX52" s="556"/>
      <c r="NSY52" s="556"/>
      <c r="NSZ52" s="556"/>
      <c r="NTA52" s="556"/>
      <c r="NTB52" s="556"/>
      <c r="NTC52" s="556"/>
      <c r="NTD52" s="556"/>
      <c r="NTE52" s="556"/>
      <c r="NTF52" s="556"/>
      <c r="NTG52" s="556"/>
      <c r="NTH52" s="556"/>
      <c r="NTI52" s="556"/>
      <c r="NTJ52" s="556"/>
      <c r="NTK52" s="556"/>
      <c r="NTL52" s="556"/>
      <c r="NTM52" s="556"/>
      <c r="NTN52" s="556"/>
      <c r="NTO52" s="556"/>
      <c r="NTP52" s="556"/>
      <c r="NTQ52" s="556"/>
      <c r="NTR52" s="556"/>
      <c r="NTS52" s="556"/>
      <c r="NTT52" s="556"/>
      <c r="NTU52" s="556"/>
      <c r="NTV52" s="556"/>
      <c r="NTW52" s="556"/>
      <c r="NTX52" s="556"/>
      <c r="NTY52" s="556"/>
      <c r="NTZ52" s="556"/>
      <c r="NUA52" s="556"/>
      <c r="NUB52" s="556"/>
      <c r="NUC52" s="556"/>
      <c r="NUD52" s="556"/>
      <c r="NUE52" s="556"/>
      <c r="NUF52" s="556"/>
      <c r="NUG52" s="556"/>
      <c r="NUH52" s="556"/>
      <c r="NUI52" s="556"/>
      <c r="NUJ52" s="556"/>
      <c r="NUK52" s="556"/>
      <c r="NUL52" s="556"/>
      <c r="NUM52" s="556"/>
      <c r="NUN52" s="556"/>
      <c r="NUO52" s="556"/>
      <c r="NUP52" s="556"/>
      <c r="NUQ52" s="556"/>
      <c r="NUR52" s="556"/>
      <c r="NUS52" s="556"/>
      <c r="NUT52" s="556"/>
      <c r="NUU52" s="556"/>
      <c r="NUV52" s="556"/>
      <c r="NUW52" s="556"/>
      <c r="NUX52" s="556"/>
      <c r="NUY52" s="556"/>
      <c r="NUZ52" s="556"/>
      <c r="NVA52" s="556"/>
      <c r="NVB52" s="556"/>
      <c r="NVC52" s="556"/>
      <c r="NVD52" s="556"/>
      <c r="NVE52" s="556"/>
      <c r="NVF52" s="556"/>
      <c r="NVG52" s="556"/>
      <c r="NVH52" s="556"/>
      <c r="NVI52" s="556"/>
      <c r="NVJ52" s="556"/>
      <c r="NVK52" s="556"/>
      <c r="NVL52" s="556"/>
      <c r="NVM52" s="556"/>
      <c r="NVN52" s="556"/>
      <c r="NVO52" s="556"/>
      <c r="NVP52" s="556"/>
      <c r="NVQ52" s="556"/>
      <c r="NVR52" s="556"/>
      <c r="NVS52" s="556"/>
      <c r="NVT52" s="556"/>
      <c r="NVU52" s="556"/>
      <c r="NVV52" s="556"/>
      <c r="NVW52" s="556"/>
      <c r="NVX52" s="556"/>
      <c r="NVY52" s="556"/>
      <c r="NVZ52" s="556"/>
      <c r="NWA52" s="556"/>
      <c r="NWB52" s="556"/>
      <c r="NWC52" s="556"/>
      <c r="NWD52" s="556"/>
      <c r="NWE52" s="556"/>
      <c r="NWF52" s="556"/>
      <c r="NWG52" s="556"/>
      <c r="NWH52" s="556"/>
      <c r="NWI52" s="556"/>
      <c r="NWJ52" s="556"/>
      <c r="NWK52" s="556"/>
      <c r="NWL52" s="556"/>
      <c r="NWM52" s="556"/>
      <c r="NWN52" s="556"/>
      <c r="NWO52" s="556"/>
      <c r="NWP52" s="556"/>
      <c r="NWQ52" s="556"/>
      <c r="NWR52" s="556"/>
      <c r="NWS52" s="556"/>
      <c r="NWT52" s="556"/>
      <c r="NWU52" s="556"/>
      <c r="NWV52" s="556"/>
      <c r="NWW52" s="556"/>
      <c r="NWX52" s="556"/>
      <c r="NWY52" s="556"/>
      <c r="NWZ52" s="556"/>
      <c r="NXA52" s="556"/>
      <c r="NXB52" s="556"/>
      <c r="NXC52" s="556"/>
      <c r="NXD52" s="556"/>
      <c r="NXE52" s="556"/>
      <c r="NXF52" s="556"/>
      <c r="NXG52" s="556"/>
      <c r="NXH52" s="556"/>
      <c r="NXI52" s="556"/>
      <c r="NXJ52" s="556"/>
      <c r="NXK52" s="556"/>
      <c r="NXL52" s="556"/>
      <c r="NXM52" s="556"/>
      <c r="NXN52" s="556"/>
      <c r="NXO52" s="556"/>
      <c r="NXP52" s="556"/>
      <c r="NXQ52" s="556"/>
      <c r="NXR52" s="556"/>
      <c r="NXS52" s="556"/>
      <c r="NXT52" s="556"/>
      <c r="NXU52" s="556"/>
      <c r="NXV52" s="556"/>
      <c r="NXW52" s="556"/>
      <c r="NXX52" s="556"/>
      <c r="NXY52" s="556"/>
      <c r="NXZ52" s="556"/>
      <c r="NYA52" s="556"/>
      <c r="NYB52" s="556"/>
      <c r="NYC52" s="556"/>
      <c r="NYD52" s="556"/>
      <c r="NYE52" s="556"/>
      <c r="NYF52" s="556"/>
      <c r="NYG52" s="556"/>
      <c r="NYH52" s="556"/>
      <c r="NYI52" s="556"/>
      <c r="NYJ52" s="556"/>
      <c r="NYK52" s="556"/>
      <c r="NYL52" s="556"/>
      <c r="NYM52" s="556"/>
      <c r="NYN52" s="556"/>
      <c r="NYO52" s="556"/>
      <c r="NYP52" s="556"/>
      <c r="NYQ52" s="556"/>
      <c r="NYR52" s="556"/>
      <c r="NYS52" s="556"/>
      <c r="NYT52" s="556"/>
      <c r="NYU52" s="556"/>
      <c r="NYV52" s="556"/>
      <c r="NYW52" s="556"/>
      <c r="NYX52" s="556"/>
      <c r="NYY52" s="556"/>
      <c r="NYZ52" s="556"/>
      <c r="NZA52" s="556"/>
      <c r="NZB52" s="556"/>
      <c r="NZC52" s="556"/>
      <c r="NZD52" s="556"/>
      <c r="NZE52" s="556"/>
      <c r="NZF52" s="556"/>
      <c r="NZG52" s="556"/>
      <c r="NZH52" s="556"/>
      <c r="NZI52" s="556"/>
      <c r="NZJ52" s="556"/>
      <c r="NZK52" s="556"/>
      <c r="NZL52" s="556"/>
      <c r="NZM52" s="556"/>
      <c r="NZN52" s="556"/>
      <c r="NZO52" s="556"/>
      <c r="NZP52" s="556"/>
      <c r="NZQ52" s="556"/>
      <c r="NZR52" s="556"/>
      <c r="NZS52" s="556"/>
      <c r="NZT52" s="556"/>
      <c r="NZU52" s="556"/>
      <c r="NZV52" s="556"/>
      <c r="NZW52" s="556"/>
      <c r="NZX52" s="556"/>
      <c r="NZY52" s="556"/>
      <c r="NZZ52" s="556"/>
      <c r="OAA52" s="556"/>
      <c r="OAB52" s="556"/>
      <c r="OAC52" s="556"/>
      <c r="OAD52" s="556"/>
      <c r="OAE52" s="556"/>
      <c r="OAF52" s="556"/>
      <c r="OAG52" s="556"/>
      <c r="OAH52" s="556"/>
      <c r="OAI52" s="556"/>
      <c r="OAJ52" s="556"/>
      <c r="OAK52" s="556"/>
      <c r="OAL52" s="556"/>
      <c r="OAM52" s="556"/>
      <c r="OAN52" s="556"/>
      <c r="OAO52" s="556"/>
      <c r="OAP52" s="556"/>
      <c r="OAQ52" s="556"/>
      <c r="OAR52" s="556"/>
      <c r="OAS52" s="556"/>
      <c r="OAT52" s="556"/>
      <c r="OAU52" s="556"/>
      <c r="OAV52" s="556"/>
      <c r="OAW52" s="556"/>
      <c r="OAX52" s="556"/>
      <c r="OAY52" s="556"/>
      <c r="OAZ52" s="556"/>
      <c r="OBA52" s="556"/>
      <c r="OBB52" s="556"/>
      <c r="OBC52" s="556"/>
      <c r="OBD52" s="556"/>
      <c r="OBE52" s="556"/>
      <c r="OBF52" s="556"/>
      <c r="OBG52" s="556"/>
      <c r="OBH52" s="556"/>
      <c r="OBI52" s="556"/>
      <c r="OBJ52" s="556"/>
      <c r="OBK52" s="556"/>
      <c r="OBL52" s="556"/>
      <c r="OBM52" s="556"/>
      <c r="OBN52" s="556"/>
      <c r="OBO52" s="556"/>
      <c r="OBP52" s="556"/>
      <c r="OBQ52" s="556"/>
      <c r="OBR52" s="556"/>
      <c r="OBS52" s="556"/>
      <c r="OBT52" s="556"/>
      <c r="OBU52" s="556"/>
      <c r="OBV52" s="556"/>
      <c r="OBW52" s="556"/>
      <c r="OBX52" s="556"/>
      <c r="OBY52" s="556"/>
      <c r="OBZ52" s="556"/>
      <c r="OCA52" s="556"/>
      <c r="OCB52" s="556"/>
      <c r="OCC52" s="556"/>
      <c r="OCD52" s="556"/>
      <c r="OCE52" s="556"/>
      <c r="OCF52" s="556"/>
      <c r="OCG52" s="556"/>
      <c r="OCH52" s="556"/>
      <c r="OCI52" s="556"/>
      <c r="OCJ52" s="556"/>
      <c r="OCK52" s="556"/>
      <c r="OCL52" s="556"/>
      <c r="OCM52" s="556"/>
      <c r="OCN52" s="556"/>
      <c r="OCO52" s="556"/>
      <c r="OCP52" s="556"/>
      <c r="OCQ52" s="556"/>
      <c r="OCR52" s="556"/>
      <c r="OCS52" s="556"/>
      <c r="OCT52" s="556"/>
      <c r="OCU52" s="556"/>
      <c r="OCV52" s="556"/>
      <c r="OCW52" s="556"/>
      <c r="OCX52" s="556"/>
      <c r="OCY52" s="556"/>
      <c r="OCZ52" s="556"/>
      <c r="ODA52" s="556"/>
      <c r="ODB52" s="556"/>
      <c r="ODC52" s="556"/>
      <c r="ODD52" s="556"/>
      <c r="ODE52" s="556"/>
      <c r="ODF52" s="556"/>
      <c r="ODG52" s="556"/>
      <c r="ODH52" s="556"/>
      <c r="ODI52" s="556"/>
      <c r="ODJ52" s="556"/>
      <c r="ODK52" s="556"/>
      <c r="ODL52" s="556"/>
      <c r="ODM52" s="556"/>
      <c r="ODN52" s="556"/>
      <c r="ODO52" s="556"/>
      <c r="ODP52" s="556"/>
      <c r="ODQ52" s="556"/>
      <c r="ODR52" s="556"/>
      <c r="ODS52" s="556"/>
      <c r="ODT52" s="556"/>
      <c r="ODU52" s="556"/>
      <c r="ODV52" s="556"/>
      <c r="ODW52" s="556"/>
      <c r="ODX52" s="556"/>
      <c r="ODY52" s="556"/>
      <c r="ODZ52" s="556"/>
      <c r="OEA52" s="556"/>
      <c r="OEB52" s="556"/>
      <c r="OEC52" s="556"/>
      <c r="OED52" s="556"/>
      <c r="OEE52" s="556"/>
      <c r="OEF52" s="556"/>
      <c r="OEG52" s="556"/>
      <c r="OEH52" s="556"/>
      <c r="OEI52" s="556"/>
      <c r="OEJ52" s="556"/>
      <c r="OEK52" s="556"/>
      <c r="OEL52" s="556"/>
      <c r="OEM52" s="556"/>
      <c r="OEN52" s="556"/>
      <c r="OEO52" s="556"/>
      <c r="OEP52" s="556"/>
      <c r="OEQ52" s="556"/>
      <c r="OER52" s="556"/>
      <c r="OES52" s="556"/>
      <c r="OET52" s="556"/>
      <c r="OEU52" s="556"/>
      <c r="OEV52" s="556"/>
      <c r="OEW52" s="556"/>
      <c r="OEX52" s="556"/>
      <c r="OEY52" s="556"/>
      <c r="OEZ52" s="556"/>
      <c r="OFA52" s="556"/>
      <c r="OFB52" s="556"/>
      <c r="OFC52" s="556"/>
      <c r="OFD52" s="556"/>
      <c r="OFE52" s="556"/>
      <c r="OFF52" s="556"/>
      <c r="OFG52" s="556"/>
      <c r="OFH52" s="556"/>
      <c r="OFI52" s="556"/>
      <c r="OFJ52" s="556"/>
      <c r="OFK52" s="556"/>
      <c r="OFL52" s="556"/>
      <c r="OFM52" s="556"/>
      <c r="OFN52" s="556"/>
      <c r="OFO52" s="556"/>
      <c r="OFP52" s="556"/>
      <c r="OFQ52" s="556"/>
      <c r="OFR52" s="556"/>
      <c r="OFS52" s="556"/>
      <c r="OFT52" s="556"/>
      <c r="OFU52" s="556"/>
      <c r="OFV52" s="556"/>
      <c r="OFW52" s="556"/>
      <c r="OFX52" s="556"/>
      <c r="OFY52" s="556"/>
      <c r="OFZ52" s="556"/>
      <c r="OGA52" s="556"/>
      <c r="OGB52" s="556"/>
      <c r="OGC52" s="556"/>
      <c r="OGD52" s="556"/>
      <c r="OGE52" s="556"/>
      <c r="OGF52" s="556"/>
      <c r="OGG52" s="556"/>
      <c r="OGH52" s="556"/>
      <c r="OGI52" s="556"/>
      <c r="OGJ52" s="556"/>
      <c r="OGK52" s="556"/>
      <c r="OGL52" s="556"/>
      <c r="OGM52" s="556"/>
      <c r="OGN52" s="556"/>
      <c r="OGO52" s="556"/>
      <c r="OGP52" s="556"/>
      <c r="OGQ52" s="556"/>
      <c r="OGR52" s="556"/>
      <c r="OGS52" s="556"/>
      <c r="OGT52" s="556"/>
      <c r="OGU52" s="556"/>
      <c r="OGV52" s="556"/>
      <c r="OGW52" s="556"/>
      <c r="OGX52" s="556"/>
      <c r="OGY52" s="556"/>
      <c r="OGZ52" s="556"/>
      <c r="OHA52" s="556"/>
      <c r="OHB52" s="556"/>
      <c r="OHC52" s="556"/>
      <c r="OHD52" s="556"/>
      <c r="OHE52" s="556"/>
      <c r="OHF52" s="556"/>
      <c r="OHG52" s="556"/>
      <c r="OHH52" s="556"/>
      <c r="OHI52" s="556"/>
      <c r="OHJ52" s="556"/>
      <c r="OHK52" s="556"/>
      <c r="OHL52" s="556"/>
      <c r="OHM52" s="556"/>
      <c r="OHN52" s="556"/>
      <c r="OHO52" s="556"/>
      <c r="OHP52" s="556"/>
      <c r="OHQ52" s="556"/>
      <c r="OHR52" s="556"/>
      <c r="OHS52" s="556"/>
      <c r="OHT52" s="556"/>
      <c r="OHU52" s="556"/>
      <c r="OHV52" s="556"/>
      <c r="OHW52" s="556"/>
      <c r="OHX52" s="556"/>
      <c r="OHY52" s="556"/>
      <c r="OHZ52" s="556"/>
      <c r="OIA52" s="556"/>
      <c r="OIB52" s="556"/>
      <c r="OIC52" s="556"/>
      <c r="OID52" s="556"/>
      <c r="OIE52" s="556"/>
      <c r="OIF52" s="556"/>
      <c r="OIG52" s="556"/>
      <c r="OIH52" s="556"/>
      <c r="OII52" s="556"/>
      <c r="OIJ52" s="556"/>
      <c r="OIK52" s="556"/>
      <c r="OIL52" s="556"/>
      <c r="OIM52" s="556"/>
      <c r="OIN52" s="556"/>
      <c r="OIO52" s="556"/>
      <c r="OIP52" s="556"/>
      <c r="OIQ52" s="556"/>
      <c r="OIR52" s="556"/>
      <c r="OIS52" s="556"/>
      <c r="OIT52" s="556"/>
      <c r="OIU52" s="556"/>
      <c r="OIV52" s="556"/>
      <c r="OIW52" s="556"/>
      <c r="OIX52" s="556"/>
      <c r="OIY52" s="556"/>
      <c r="OIZ52" s="556"/>
      <c r="OJA52" s="556"/>
      <c r="OJB52" s="556"/>
      <c r="OJC52" s="556"/>
      <c r="OJD52" s="556"/>
      <c r="OJE52" s="556"/>
      <c r="OJF52" s="556"/>
      <c r="OJG52" s="556"/>
      <c r="OJH52" s="556"/>
      <c r="OJI52" s="556"/>
      <c r="OJJ52" s="556"/>
      <c r="OJK52" s="556"/>
      <c r="OJL52" s="556"/>
      <c r="OJM52" s="556"/>
      <c r="OJN52" s="556"/>
      <c r="OJO52" s="556"/>
      <c r="OJP52" s="556"/>
      <c r="OJQ52" s="556"/>
      <c r="OJR52" s="556"/>
      <c r="OJS52" s="556"/>
      <c r="OJT52" s="556"/>
      <c r="OJU52" s="556"/>
      <c r="OJV52" s="556"/>
      <c r="OJW52" s="556"/>
      <c r="OJX52" s="556"/>
      <c r="OJY52" s="556"/>
      <c r="OJZ52" s="556"/>
      <c r="OKA52" s="556"/>
      <c r="OKB52" s="556"/>
      <c r="OKC52" s="556"/>
      <c r="OKD52" s="556"/>
      <c r="OKE52" s="556"/>
      <c r="OKF52" s="556"/>
      <c r="OKG52" s="556"/>
      <c r="OKH52" s="556"/>
      <c r="OKI52" s="556"/>
      <c r="OKJ52" s="556"/>
      <c r="OKK52" s="556"/>
      <c r="OKL52" s="556"/>
      <c r="OKM52" s="556"/>
      <c r="OKN52" s="556"/>
      <c r="OKO52" s="556"/>
      <c r="OKP52" s="556"/>
      <c r="OKQ52" s="556"/>
      <c r="OKR52" s="556"/>
      <c r="OKS52" s="556"/>
      <c r="OKT52" s="556"/>
      <c r="OKU52" s="556"/>
      <c r="OKV52" s="556"/>
      <c r="OKW52" s="556"/>
      <c r="OKX52" s="556"/>
      <c r="OKY52" s="556"/>
      <c r="OKZ52" s="556"/>
      <c r="OLA52" s="556"/>
      <c r="OLB52" s="556"/>
      <c r="OLC52" s="556"/>
      <c r="OLD52" s="556"/>
      <c r="OLE52" s="556"/>
      <c r="OLF52" s="556"/>
      <c r="OLG52" s="556"/>
      <c r="OLH52" s="556"/>
      <c r="OLI52" s="556"/>
      <c r="OLJ52" s="556"/>
      <c r="OLK52" s="556"/>
      <c r="OLL52" s="556"/>
      <c r="OLM52" s="556"/>
      <c r="OLN52" s="556"/>
      <c r="OLO52" s="556"/>
      <c r="OLP52" s="556"/>
      <c r="OLQ52" s="556"/>
      <c r="OLR52" s="556"/>
      <c r="OLS52" s="556"/>
      <c r="OLT52" s="556"/>
      <c r="OLU52" s="556"/>
      <c r="OLV52" s="556"/>
      <c r="OLW52" s="556"/>
      <c r="OLX52" s="556"/>
      <c r="OLY52" s="556"/>
      <c r="OLZ52" s="556"/>
      <c r="OMA52" s="556"/>
      <c r="OMB52" s="556"/>
      <c r="OMC52" s="556"/>
      <c r="OMD52" s="556"/>
      <c r="OME52" s="556"/>
      <c r="OMF52" s="556"/>
      <c r="OMG52" s="556"/>
      <c r="OMH52" s="556"/>
      <c r="OMI52" s="556"/>
      <c r="OMJ52" s="556"/>
      <c r="OMK52" s="556"/>
      <c r="OML52" s="556"/>
      <c r="OMM52" s="556"/>
      <c r="OMN52" s="556"/>
      <c r="OMO52" s="556"/>
      <c r="OMP52" s="556"/>
      <c r="OMQ52" s="556"/>
      <c r="OMR52" s="556"/>
      <c r="OMS52" s="556"/>
      <c r="OMT52" s="556"/>
      <c r="OMU52" s="556"/>
      <c r="OMV52" s="556"/>
      <c r="OMW52" s="556"/>
      <c r="OMX52" s="556"/>
      <c r="OMY52" s="556"/>
      <c r="OMZ52" s="556"/>
      <c r="ONA52" s="556"/>
      <c r="ONB52" s="556"/>
      <c r="ONC52" s="556"/>
      <c r="OND52" s="556"/>
      <c r="ONE52" s="556"/>
      <c r="ONF52" s="556"/>
      <c r="ONG52" s="556"/>
      <c r="ONH52" s="556"/>
      <c r="ONI52" s="556"/>
      <c r="ONJ52" s="556"/>
      <c r="ONK52" s="556"/>
      <c r="ONL52" s="556"/>
      <c r="ONM52" s="556"/>
      <c r="ONN52" s="556"/>
      <c r="ONO52" s="556"/>
      <c r="ONP52" s="556"/>
      <c r="ONQ52" s="556"/>
      <c r="ONR52" s="556"/>
      <c r="ONS52" s="556"/>
      <c r="ONT52" s="556"/>
      <c r="ONU52" s="556"/>
      <c r="ONV52" s="556"/>
      <c r="ONW52" s="556"/>
      <c r="ONX52" s="556"/>
      <c r="ONY52" s="556"/>
      <c r="ONZ52" s="556"/>
      <c r="OOA52" s="556"/>
      <c r="OOB52" s="556"/>
      <c r="OOC52" s="556"/>
      <c r="OOD52" s="556"/>
      <c r="OOE52" s="556"/>
      <c r="OOF52" s="556"/>
      <c r="OOG52" s="556"/>
      <c r="OOH52" s="556"/>
      <c r="OOI52" s="556"/>
      <c r="OOJ52" s="556"/>
      <c r="OOK52" s="556"/>
      <c r="OOL52" s="556"/>
      <c r="OOM52" s="556"/>
      <c r="OON52" s="556"/>
      <c r="OOO52" s="556"/>
      <c r="OOP52" s="556"/>
      <c r="OOQ52" s="556"/>
      <c r="OOR52" s="556"/>
      <c r="OOS52" s="556"/>
      <c r="OOT52" s="556"/>
      <c r="OOU52" s="556"/>
      <c r="OOV52" s="556"/>
      <c r="OOW52" s="556"/>
      <c r="OOX52" s="556"/>
      <c r="OOY52" s="556"/>
      <c r="OOZ52" s="556"/>
      <c r="OPA52" s="556"/>
      <c r="OPB52" s="556"/>
      <c r="OPC52" s="556"/>
      <c r="OPD52" s="556"/>
      <c r="OPE52" s="556"/>
      <c r="OPF52" s="556"/>
      <c r="OPG52" s="556"/>
      <c r="OPH52" s="556"/>
      <c r="OPI52" s="556"/>
      <c r="OPJ52" s="556"/>
      <c r="OPK52" s="556"/>
      <c r="OPL52" s="556"/>
      <c r="OPM52" s="556"/>
      <c r="OPN52" s="556"/>
      <c r="OPO52" s="556"/>
      <c r="OPP52" s="556"/>
      <c r="OPQ52" s="556"/>
      <c r="OPR52" s="556"/>
      <c r="OPS52" s="556"/>
      <c r="OPT52" s="556"/>
      <c r="OPU52" s="556"/>
      <c r="OPV52" s="556"/>
      <c r="OPW52" s="556"/>
      <c r="OPX52" s="556"/>
      <c r="OPY52" s="556"/>
      <c r="OPZ52" s="556"/>
      <c r="OQA52" s="556"/>
      <c r="OQB52" s="556"/>
      <c r="OQC52" s="556"/>
      <c r="OQD52" s="556"/>
      <c r="OQE52" s="556"/>
      <c r="OQF52" s="556"/>
      <c r="OQG52" s="556"/>
      <c r="OQH52" s="556"/>
      <c r="OQI52" s="556"/>
      <c r="OQJ52" s="556"/>
      <c r="OQK52" s="556"/>
      <c r="OQL52" s="556"/>
      <c r="OQM52" s="556"/>
      <c r="OQN52" s="556"/>
      <c r="OQO52" s="556"/>
      <c r="OQP52" s="556"/>
      <c r="OQQ52" s="556"/>
      <c r="OQR52" s="556"/>
      <c r="OQS52" s="556"/>
      <c r="OQT52" s="556"/>
      <c r="OQU52" s="556"/>
      <c r="OQV52" s="556"/>
      <c r="OQW52" s="556"/>
      <c r="OQX52" s="556"/>
      <c r="OQY52" s="556"/>
      <c r="OQZ52" s="556"/>
      <c r="ORA52" s="556"/>
      <c r="ORB52" s="556"/>
      <c r="ORC52" s="556"/>
      <c r="ORD52" s="556"/>
      <c r="ORE52" s="556"/>
      <c r="ORF52" s="556"/>
      <c r="ORG52" s="556"/>
      <c r="ORH52" s="556"/>
      <c r="ORI52" s="556"/>
      <c r="ORJ52" s="556"/>
      <c r="ORK52" s="556"/>
      <c r="ORL52" s="556"/>
      <c r="ORM52" s="556"/>
      <c r="ORN52" s="556"/>
      <c r="ORO52" s="556"/>
      <c r="ORP52" s="556"/>
      <c r="ORQ52" s="556"/>
      <c r="ORR52" s="556"/>
      <c r="ORS52" s="556"/>
      <c r="ORT52" s="556"/>
      <c r="ORU52" s="556"/>
      <c r="ORV52" s="556"/>
      <c r="ORW52" s="556"/>
      <c r="ORX52" s="556"/>
      <c r="ORY52" s="556"/>
      <c r="ORZ52" s="556"/>
      <c r="OSA52" s="556"/>
      <c r="OSB52" s="556"/>
      <c r="OSC52" s="556"/>
      <c r="OSD52" s="556"/>
      <c r="OSE52" s="556"/>
      <c r="OSF52" s="556"/>
      <c r="OSG52" s="556"/>
      <c r="OSH52" s="556"/>
      <c r="OSI52" s="556"/>
      <c r="OSJ52" s="556"/>
      <c r="OSK52" s="556"/>
      <c r="OSL52" s="556"/>
      <c r="OSM52" s="556"/>
      <c r="OSN52" s="556"/>
      <c r="OSO52" s="556"/>
      <c r="OSP52" s="556"/>
      <c r="OSQ52" s="556"/>
      <c r="OSR52" s="556"/>
      <c r="OSS52" s="556"/>
      <c r="OST52" s="556"/>
      <c r="OSU52" s="556"/>
      <c r="OSV52" s="556"/>
      <c r="OSW52" s="556"/>
      <c r="OSX52" s="556"/>
      <c r="OSY52" s="556"/>
      <c r="OSZ52" s="556"/>
      <c r="OTA52" s="556"/>
      <c r="OTB52" s="556"/>
      <c r="OTC52" s="556"/>
      <c r="OTD52" s="556"/>
      <c r="OTE52" s="556"/>
      <c r="OTF52" s="556"/>
      <c r="OTG52" s="556"/>
      <c r="OTH52" s="556"/>
      <c r="OTI52" s="556"/>
      <c r="OTJ52" s="556"/>
      <c r="OTK52" s="556"/>
      <c r="OTL52" s="556"/>
      <c r="OTM52" s="556"/>
      <c r="OTN52" s="556"/>
      <c r="OTO52" s="556"/>
      <c r="OTP52" s="556"/>
      <c r="OTQ52" s="556"/>
      <c r="OTR52" s="556"/>
      <c r="OTS52" s="556"/>
      <c r="OTT52" s="556"/>
      <c r="OTU52" s="556"/>
      <c r="OTV52" s="556"/>
      <c r="OTW52" s="556"/>
      <c r="OTX52" s="556"/>
      <c r="OTY52" s="556"/>
      <c r="OTZ52" s="556"/>
      <c r="OUA52" s="556"/>
      <c r="OUB52" s="556"/>
      <c r="OUC52" s="556"/>
      <c r="OUD52" s="556"/>
      <c r="OUE52" s="556"/>
      <c r="OUF52" s="556"/>
      <c r="OUG52" s="556"/>
      <c r="OUH52" s="556"/>
      <c r="OUI52" s="556"/>
      <c r="OUJ52" s="556"/>
      <c r="OUK52" s="556"/>
      <c r="OUL52" s="556"/>
      <c r="OUM52" s="556"/>
      <c r="OUN52" s="556"/>
      <c r="OUO52" s="556"/>
      <c r="OUP52" s="556"/>
      <c r="OUQ52" s="556"/>
      <c r="OUR52" s="556"/>
      <c r="OUS52" s="556"/>
      <c r="OUT52" s="556"/>
      <c r="OUU52" s="556"/>
      <c r="OUV52" s="556"/>
      <c r="OUW52" s="556"/>
      <c r="OUX52" s="556"/>
      <c r="OUY52" s="556"/>
      <c r="OUZ52" s="556"/>
      <c r="OVA52" s="556"/>
      <c r="OVB52" s="556"/>
      <c r="OVC52" s="556"/>
      <c r="OVD52" s="556"/>
      <c r="OVE52" s="556"/>
      <c r="OVF52" s="556"/>
      <c r="OVG52" s="556"/>
      <c r="OVH52" s="556"/>
      <c r="OVI52" s="556"/>
      <c r="OVJ52" s="556"/>
      <c r="OVK52" s="556"/>
      <c r="OVL52" s="556"/>
      <c r="OVM52" s="556"/>
      <c r="OVN52" s="556"/>
      <c r="OVO52" s="556"/>
      <c r="OVP52" s="556"/>
      <c r="OVQ52" s="556"/>
      <c r="OVR52" s="556"/>
      <c r="OVS52" s="556"/>
      <c r="OVT52" s="556"/>
      <c r="OVU52" s="556"/>
      <c r="OVV52" s="556"/>
      <c r="OVW52" s="556"/>
      <c r="OVX52" s="556"/>
      <c r="OVY52" s="556"/>
      <c r="OVZ52" s="556"/>
      <c r="OWA52" s="556"/>
      <c r="OWB52" s="556"/>
      <c r="OWC52" s="556"/>
      <c r="OWD52" s="556"/>
      <c r="OWE52" s="556"/>
      <c r="OWF52" s="556"/>
      <c r="OWG52" s="556"/>
      <c r="OWH52" s="556"/>
      <c r="OWI52" s="556"/>
      <c r="OWJ52" s="556"/>
      <c r="OWK52" s="556"/>
      <c r="OWL52" s="556"/>
      <c r="OWM52" s="556"/>
      <c r="OWN52" s="556"/>
      <c r="OWO52" s="556"/>
      <c r="OWP52" s="556"/>
      <c r="OWQ52" s="556"/>
      <c r="OWR52" s="556"/>
      <c r="OWS52" s="556"/>
      <c r="OWT52" s="556"/>
      <c r="OWU52" s="556"/>
      <c r="OWV52" s="556"/>
      <c r="OWW52" s="556"/>
      <c r="OWX52" s="556"/>
      <c r="OWY52" s="556"/>
      <c r="OWZ52" s="556"/>
      <c r="OXA52" s="556"/>
      <c r="OXB52" s="556"/>
      <c r="OXC52" s="556"/>
      <c r="OXD52" s="556"/>
      <c r="OXE52" s="556"/>
      <c r="OXF52" s="556"/>
      <c r="OXG52" s="556"/>
      <c r="OXH52" s="556"/>
      <c r="OXI52" s="556"/>
      <c r="OXJ52" s="556"/>
      <c r="OXK52" s="556"/>
      <c r="OXL52" s="556"/>
      <c r="OXM52" s="556"/>
      <c r="OXN52" s="556"/>
      <c r="OXO52" s="556"/>
      <c r="OXP52" s="556"/>
      <c r="OXQ52" s="556"/>
      <c r="OXR52" s="556"/>
      <c r="OXS52" s="556"/>
      <c r="OXT52" s="556"/>
      <c r="OXU52" s="556"/>
      <c r="OXV52" s="556"/>
      <c r="OXW52" s="556"/>
      <c r="OXX52" s="556"/>
      <c r="OXY52" s="556"/>
      <c r="OXZ52" s="556"/>
      <c r="OYA52" s="556"/>
      <c r="OYB52" s="556"/>
      <c r="OYC52" s="556"/>
      <c r="OYD52" s="556"/>
      <c r="OYE52" s="556"/>
      <c r="OYF52" s="556"/>
      <c r="OYG52" s="556"/>
      <c r="OYH52" s="556"/>
      <c r="OYI52" s="556"/>
      <c r="OYJ52" s="556"/>
      <c r="OYK52" s="556"/>
      <c r="OYL52" s="556"/>
      <c r="OYM52" s="556"/>
      <c r="OYN52" s="556"/>
      <c r="OYO52" s="556"/>
      <c r="OYP52" s="556"/>
      <c r="OYQ52" s="556"/>
      <c r="OYR52" s="556"/>
      <c r="OYS52" s="556"/>
      <c r="OYT52" s="556"/>
      <c r="OYU52" s="556"/>
      <c r="OYV52" s="556"/>
      <c r="OYW52" s="556"/>
      <c r="OYX52" s="556"/>
      <c r="OYY52" s="556"/>
      <c r="OYZ52" s="556"/>
      <c r="OZA52" s="556"/>
      <c r="OZB52" s="556"/>
      <c r="OZC52" s="556"/>
      <c r="OZD52" s="556"/>
      <c r="OZE52" s="556"/>
      <c r="OZF52" s="556"/>
      <c r="OZG52" s="556"/>
      <c r="OZH52" s="556"/>
      <c r="OZI52" s="556"/>
      <c r="OZJ52" s="556"/>
      <c r="OZK52" s="556"/>
      <c r="OZL52" s="556"/>
      <c r="OZM52" s="556"/>
      <c r="OZN52" s="556"/>
      <c r="OZO52" s="556"/>
      <c r="OZP52" s="556"/>
      <c r="OZQ52" s="556"/>
      <c r="OZR52" s="556"/>
      <c r="OZS52" s="556"/>
      <c r="OZT52" s="556"/>
      <c r="OZU52" s="556"/>
      <c r="OZV52" s="556"/>
      <c r="OZW52" s="556"/>
      <c r="OZX52" s="556"/>
      <c r="OZY52" s="556"/>
      <c r="OZZ52" s="556"/>
      <c r="PAA52" s="556"/>
      <c r="PAB52" s="556"/>
      <c r="PAC52" s="556"/>
      <c r="PAD52" s="556"/>
      <c r="PAE52" s="556"/>
      <c r="PAF52" s="556"/>
      <c r="PAG52" s="556"/>
      <c r="PAH52" s="556"/>
      <c r="PAI52" s="556"/>
      <c r="PAJ52" s="556"/>
      <c r="PAK52" s="556"/>
      <c r="PAL52" s="556"/>
      <c r="PAM52" s="556"/>
      <c r="PAN52" s="556"/>
      <c r="PAO52" s="556"/>
      <c r="PAP52" s="556"/>
      <c r="PAQ52" s="556"/>
      <c r="PAR52" s="556"/>
      <c r="PAS52" s="556"/>
      <c r="PAT52" s="556"/>
      <c r="PAU52" s="556"/>
      <c r="PAV52" s="556"/>
      <c r="PAW52" s="556"/>
      <c r="PAX52" s="556"/>
      <c r="PAY52" s="556"/>
      <c r="PAZ52" s="556"/>
      <c r="PBA52" s="556"/>
      <c r="PBB52" s="556"/>
      <c r="PBC52" s="556"/>
      <c r="PBD52" s="556"/>
      <c r="PBE52" s="556"/>
      <c r="PBF52" s="556"/>
      <c r="PBG52" s="556"/>
      <c r="PBH52" s="556"/>
      <c r="PBI52" s="556"/>
      <c r="PBJ52" s="556"/>
      <c r="PBK52" s="556"/>
      <c r="PBL52" s="556"/>
      <c r="PBM52" s="556"/>
      <c r="PBN52" s="556"/>
      <c r="PBO52" s="556"/>
      <c r="PBP52" s="556"/>
      <c r="PBQ52" s="556"/>
      <c r="PBR52" s="556"/>
      <c r="PBS52" s="556"/>
      <c r="PBT52" s="556"/>
      <c r="PBU52" s="556"/>
      <c r="PBV52" s="556"/>
      <c r="PBW52" s="556"/>
      <c r="PBX52" s="556"/>
      <c r="PBY52" s="556"/>
      <c r="PBZ52" s="556"/>
      <c r="PCA52" s="556"/>
      <c r="PCB52" s="556"/>
      <c r="PCC52" s="556"/>
      <c r="PCD52" s="556"/>
      <c r="PCE52" s="556"/>
      <c r="PCF52" s="556"/>
      <c r="PCG52" s="556"/>
      <c r="PCH52" s="556"/>
      <c r="PCI52" s="556"/>
      <c r="PCJ52" s="556"/>
      <c r="PCK52" s="556"/>
      <c r="PCL52" s="556"/>
      <c r="PCM52" s="556"/>
      <c r="PCN52" s="556"/>
      <c r="PCO52" s="556"/>
      <c r="PCP52" s="556"/>
      <c r="PCQ52" s="556"/>
      <c r="PCR52" s="556"/>
      <c r="PCS52" s="556"/>
      <c r="PCT52" s="556"/>
      <c r="PCU52" s="556"/>
      <c r="PCV52" s="556"/>
      <c r="PCW52" s="556"/>
      <c r="PCX52" s="556"/>
      <c r="PCY52" s="556"/>
      <c r="PCZ52" s="556"/>
      <c r="PDA52" s="556"/>
      <c r="PDB52" s="556"/>
      <c r="PDC52" s="556"/>
      <c r="PDD52" s="556"/>
      <c r="PDE52" s="556"/>
      <c r="PDF52" s="556"/>
      <c r="PDG52" s="556"/>
      <c r="PDH52" s="556"/>
      <c r="PDI52" s="556"/>
      <c r="PDJ52" s="556"/>
      <c r="PDK52" s="556"/>
      <c r="PDL52" s="556"/>
      <c r="PDM52" s="556"/>
      <c r="PDN52" s="556"/>
      <c r="PDO52" s="556"/>
      <c r="PDP52" s="556"/>
      <c r="PDQ52" s="556"/>
      <c r="PDR52" s="556"/>
      <c r="PDS52" s="556"/>
      <c r="PDT52" s="556"/>
      <c r="PDU52" s="556"/>
      <c r="PDV52" s="556"/>
      <c r="PDW52" s="556"/>
      <c r="PDX52" s="556"/>
      <c r="PDY52" s="556"/>
      <c r="PDZ52" s="556"/>
      <c r="PEA52" s="556"/>
      <c r="PEB52" s="556"/>
      <c r="PEC52" s="556"/>
      <c r="PED52" s="556"/>
      <c r="PEE52" s="556"/>
      <c r="PEF52" s="556"/>
      <c r="PEG52" s="556"/>
      <c r="PEH52" s="556"/>
      <c r="PEI52" s="556"/>
      <c r="PEJ52" s="556"/>
      <c r="PEK52" s="556"/>
      <c r="PEL52" s="556"/>
      <c r="PEM52" s="556"/>
      <c r="PEN52" s="556"/>
      <c r="PEO52" s="556"/>
      <c r="PEP52" s="556"/>
      <c r="PEQ52" s="556"/>
      <c r="PER52" s="556"/>
      <c r="PES52" s="556"/>
      <c r="PET52" s="556"/>
      <c r="PEU52" s="556"/>
      <c r="PEV52" s="556"/>
      <c r="PEW52" s="556"/>
      <c r="PEX52" s="556"/>
      <c r="PEY52" s="556"/>
      <c r="PEZ52" s="556"/>
      <c r="PFA52" s="556"/>
      <c r="PFB52" s="556"/>
      <c r="PFC52" s="556"/>
      <c r="PFD52" s="556"/>
      <c r="PFE52" s="556"/>
      <c r="PFF52" s="556"/>
      <c r="PFG52" s="556"/>
      <c r="PFH52" s="556"/>
      <c r="PFI52" s="556"/>
      <c r="PFJ52" s="556"/>
      <c r="PFK52" s="556"/>
      <c r="PFL52" s="556"/>
      <c r="PFM52" s="556"/>
      <c r="PFN52" s="556"/>
      <c r="PFO52" s="556"/>
      <c r="PFP52" s="556"/>
      <c r="PFQ52" s="556"/>
      <c r="PFR52" s="556"/>
      <c r="PFS52" s="556"/>
      <c r="PFT52" s="556"/>
      <c r="PFU52" s="556"/>
      <c r="PFV52" s="556"/>
      <c r="PFW52" s="556"/>
      <c r="PFX52" s="556"/>
      <c r="PFY52" s="556"/>
      <c r="PFZ52" s="556"/>
      <c r="PGA52" s="556"/>
      <c r="PGB52" s="556"/>
      <c r="PGC52" s="556"/>
      <c r="PGD52" s="556"/>
      <c r="PGE52" s="556"/>
      <c r="PGF52" s="556"/>
      <c r="PGG52" s="556"/>
      <c r="PGH52" s="556"/>
      <c r="PGI52" s="556"/>
      <c r="PGJ52" s="556"/>
      <c r="PGK52" s="556"/>
      <c r="PGL52" s="556"/>
      <c r="PGM52" s="556"/>
      <c r="PGN52" s="556"/>
      <c r="PGO52" s="556"/>
      <c r="PGP52" s="556"/>
      <c r="PGQ52" s="556"/>
      <c r="PGR52" s="556"/>
      <c r="PGS52" s="556"/>
      <c r="PGT52" s="556"/>
      <c r="PGU52" s="556"/>
      <c r="PGV52" s="556"/>
      <c r="PGW52" s="556"/>
      <c r="PGX52" s="556"/>
      <c r="PGY52" s="556"/>
      <c r="PGZ52" s="556"/>
      <c r="PHA52" s="556"/>
      <c r="PHB52" s="556"/>
      <c r="PHC52" s="556"/>
      <c r="PHD52" s="556"/>
      <c r="PHE52" s="556"/>
      <c r="PHF52" s="556"/>
      <c r="PHG52" s="556"/>
      <c r="PHH52" s="556"/>
      <c r="PHI52" s="556"/>
      <c r="PHJ52" s="556"/>
      <c r="PHK52" s="556"/>
      <c r="PHL52" s="556"/>
      <c r="PHM52" s="556"/>
      <c r="PHN52" s="556"/>
      <c r="PHO52" s="556"/>
      <c r="PHP52" s="556"/>
      <c r="PHQ52" s="556"/>
      <c r="PHR52" s="556"/>
      <c r="PHS52" s="556"/>
      <c r="PHT52" s="556"/>
      <c r="PHU52" s="556"/>
      <c r="PHV52" s="556"/>
      <c r="PHW52" s="556"/>
      <c r="PHX52" s="556"/>
      <c r="PHY52" s="556"/>
      <c r="PHZ52" s="556"/>
      <c r="PIA52" s="556"/>
      <c r="PIB52" s="556"/>
      <c r="PIC52" s="556"/>
      <c r="PID52" s="556"/>
      <c r="PIE52" s="556"/>
      <c r="PIF52" s="556"/>
      <c r="PIG52" s="556"/>
      <c r="PIH52" s="556"/>
      <c r="PII52" s="556"/>
      <c r="PIJ52" s="556"/>
      <c r="PIK52" s="556"/>
      <c r="PIL52" s="556"/>
      <c r="PIM52" s="556"/>
      <c r="PIN52" s="556"/>
      <c r="PIO52" s="556"/>
      <c r="PIP52" s="556"/>
      <c r="PIQ52" s="556"/>
      <c r="PIR52" s="556"/>
      <c r="PIS52" s="556"/>
      <c r="PIT52" s="556"/>
      <c r="PIU52" s="556"/>
      <c r="PIV52" s="556"/>
      <c r="PIW52" s="556"/>
      <c r="PIX52" s="556"/>
      <c r="PIY52" s="556"/>
      <c r="PIZ52" s="556"/>
      <c r="PJA52" s="556"/>
      <c r="PJB52" s="556"/>
      <c r="PJC52" s="556"/>
      <c r="PJD52" s="556"/>
      <c r="PJE52" s="556"/>
      <c r="PJF52" s="556"/>
      <c r="PJG52" s="556"/>
      <c r="PJH52" s="556"/>
      <c r="PJI52" s="556"/>
      <c r="PJJ52" s="556"/>
      <c r="PJK52" s="556"/>
      <c r="PJL52" s="556"/>
      <c r="PJM52" s="556"/>
      <c r="PJN52" s="556"/>
      <c r="PJO52" s="556"/>
      <c r="PJP52" s="556"/>
      <c r="PJQ52" s="556"/>
      <c r="PJR52" s="556"/>
      <c r="PJS52" s="556"/>
      <c r="PJT52" s="556"/>
      <c r="PJU52" s="556"/>
      <c r="PJV52" s="556"/>
      <c r="PJW52" s="556"/>
      <c r="PJX52" s="556"/>
      <c r="PJY52" s="556"/>
      <c r="PJZ52" s="556"/>
      <c r="PKA52" s="556"/>
      <c r="PKB52" s="556"/>
      <c r="PKC52" s="556"/>
      <c r="PKD52" s="556"/>
      <c r="PKE52" s="556"/>
      <c r="PKF52" s="556"/>
      <c r="PKG52" s="556"/>
      <c r="PKH52" s="556"/>
      <c r="PKI52" s="556"/>
      <c r="PKJ52" s="556"/>
      <c r="PKK52" s="556"/>
      <c r="PKL52" s="556"/>
      <c r="PKM52" s="556"/>
      <c r="PKN52" s="556"/>
      <c r="PKO52" s="556"/>
      <c r="PKP52" s="556"/>
      <c r="PKQ52" s="556"/>
      <c r="PKR52" s="556"/>
      <c r="PKS52" s="556"/>
      <c r="PKT52" s="556"/>
      <c r="PKU52" s="556"/>
      <c r="PKV52" s="556"/>
      <c r="PKW52" s="556"/>
      <c r="PKX52" s="556"/>
      <c r="PKY52" s="556"/>
      <c r="PKZ52" s="556"/>
      <c r="PLA52" s="556"/>
      <c r="PLB52" s="556"/>
      <c r="PLC52" s="556"/>
      <c r="PLD52" s="556"/>
      <c r="PLE52" s="556"/>
      <c r="PLF52" s="556"/>
      <c r="PLG52" s="556"/>
      <c r="PLH52" s="556"/>
      <c r="PLI52" s="556"/>
      <c r="PLJ52" s="556"/>
      <c r="PLK52" s="556"/>
      <c r="PLL52" s="556"/>
      <c r="PLM52" s="556"/>
      <c r="PLN52" s="556"/>
      <c r="PLO52" s="556"/>
      <c r="PLP52" s="556"/>
      <c r="PLQ52" s="556"/>
      <c r="PLR52" s="556"/>
      <c r="PLS52" s="556"/>
      <c r="PLT52" s="556"/>
      <c r="PLU52" s="556"/>
      <c r="PLV52" s="556"/>
      <c r="PLW52" s="556"/>
      <c r="PLX52" s="556"/>
      <c r="PLY52" s="556"/>
      <c r="PLZ52" s="556"/>
      <c r="PMA52" s="556"/>
      <c r="PMB52" s="556"/>
      <c r="PMC52" s="556"/>
      <c r="PMD52" s="556"/>
      <c r="PME52" s="556"/>
      <c r="PMF52" s="556"/>
      <c r="PMG52" s="556"/>
      <c r="PMH52" s="556"/>
      <c r="PMI52" s="556"/>
      <c r="PMJ52" s="556"/>
      <c r="PMK52" s="556"/>
      <c r="PML52" s="556"/>
      <c r="PMM52" s="556"/>
      <c r="PMN52" s="556"/>
      <c r="PMO52" s="556"/>
      <c r="PMP52" s="556"/>
      <c r="PMQ52" s="556"/>
      <c r="PMR52" s="556"/>
      <c r="PMS52" s="556"/>
      <c r="PMT52" s="556"/>
      <c r="PMU52" s="556"/>
      <c r="PMV52" s="556"/>
      <c r="PMW52" s="556"/>
      <c r="PMX52" s="556"/>
      <c r="PMY52" s="556"/>
      <c r="PMZ52" s="556"/>
      <c r="PNA52" s="556"/>
      <c r="PNB52" s="556"/>
      <c r="PNC52" s="556"/>
      <c r="PND52" s="556"/>
      <c r="PNE52" s="556"/>
      <c r="PNF52" s="556"/>
      <c r="PNG52" s="556"/>
      <c r="PNH52" s="556"/>
      <c r="PNI52" s="556"/>
      <c r="PNJ52" s="556"/>
      <c r="PNK52" s="556"/>
      <c r="PNL52" s="556"/>
      <c r="PNM52" s="556"/>
      <c r="PNN52" s="556"/>
      <c r="PNO52" s="556"/>
      <c r="PNP52" s="556"/>
      <c r="PNQ52" s="556"/>
      <c r="PNR52" s="556"/>
      <c r="PNS52" s="556"/>
      <c r="PNT52" s="556"/>
      <c r="PNU52" s="556"/>
      <c r="PNV52" s="556"/>
      <c r="PNW52" s="556"/>
      <c r="PNX52" s="556"/>
      <c r="PNY52" s="556"/>
      <c r="PNZ52" s="556"/>
      <c r="POA52" s="556"/>
      <c r="POB52" s="556"/>
      <c r="POC52" s="556"/>
      <c r="POD52" s="556"/>
      <c r="POE52" s="556"/>
      <c r="POF52" s="556"/>
      <c r="POG52" s="556"/>
      <c r="POH52" s="556"/>
      <c r="POI52" s="556"/>
      <c r="POJ52" s="556"/>
      <c r="POK52" s="556"/>
      <c r="POL52" s="556"/>
      <c r="POM52" s="556"/>
      <c r="PON52" s="556"/>
      <c r="POO52" s="556"/>
      <c r="POP52" s="556"/>
      <c r="POQ52" s="556"/>
      <c r="POR52" s="556"/>
      <c r="POS52" s="556"/>
      <c r="POT52" s="556"/>
      <c r="POU52" s="556"/>
      <c r="POV52" s="556"/>
      <c r="POW52" s="556"/>
      <c r="POX52" s="556"/>
      <c r="POY52" s="556"/>
      <c r="POZ52" s="556"/>
      <c r="PPA52" s="556"/>
      <c r="PPB52" s="556"/>
      <c r="PPC52" s="556"/>
      <c r="PPD52" s="556"/>
      <c r="PPE52" s="556"/>
      <c r="PPF52" s="556"/>
      <c r="PPG52" s="556"/>
      <c r="PPH52" s="556"/>
      <c r="PPI52" s="556"/>
      <c r="PPJ52" s="556"/>
      <c r="PPK52" s="556"/>
      <c r="PPL52" s="556"/>
      <c r="PPM52" s="556"/>
      <c r="PPN52" s="556"/>
      <c r="PPO52" s="556"/>
      <c r="PPP52" s="556"/>
      <c r="PPQ52" s="556"/>
      <c r="PPR52" s="556"/>
      <c r="PPS52" s="556"/>
      <c r="PPT52" s="556"/>
      <c r="PPU52" s="556"/>
      <c r="PPV52" s="556"/>
      <c r="PPW52" s="556"/>
      <c r="PPX52" s="556"/>
      <c r="PPY52" s="556"/>
      <c r="PPZ52" s="556"/>
      <c r="PQA52" s="556"/>
      <c r="PQB52" s="556"/>
      <c r="PQC52" s="556"/>
      <c r="PQD52" s="556"/>
      <c r="PQE52" s="556"/>
      <c r="PQF52" s="556"/>
      <c r="PQG52" s="556"/>
      <c r="PQH52" s="556"/>
      <c r="PQI52" s="556"/>
      <c r="PQJ52" s="556"/>
      <c r="PQK52" s="556"/>
      <c r="PQL52" s="556"/>
      <c r="PQM52" s="556"/>
      <c r="PQN52" s="556"/>
      <c r="PQO52" s="556"/>
      <c r="PQP52" s="556"/>
      <c r="PQQ52" s="556"/>
      <c r="PQR52" s="556"/>
      <c r="PQS52" s="556"/>
      <c r="PQT52" s="556"/>
      <c r="PQU52" s="556"/>
      <c r="PQV52" s="556"/>
      <c r="PQW52" s="556"/>
      <c r="PQX52" s="556"/>
      <c r="PQY52" s="556"/>
      <c r="PQZ52" s="556"/>
      <c r="PRA52" s="556"/>
      <c r="PRB52" s="556"/>
      <c r="PRC52" s="556"/>
      <c r="PRD52" s="556"/>
      <c r="PRE52" s="556"/>
      <c r="PRF52" s="556"/>
      <c r="PRG52" s="556"/>
      <c r="PRH52" s="556"/>
      <c r="PRI52" s="556"/>
      <c r="PRJ52" s="556"/>
      <c r="PRK52" s="556"/>
      <c r="PRL52" s="556"/>
      <c r="PRM52" s="556"/>
      <c r="PRN52" s="556"/>
      <c r="PRO52" s="556"/>
      <c r="PRP52" s="556"/>
      <c r="PRQ52" s="556"/>
      <c r="PRR52" s="556"/>
      <c r="PRS52" s="556"/>
      <c r="PRT52" s="556"/>
      <c r="PRU52" s="556"/>
      <c r="PRV52" s="556"/>
      <c r="PRW52" s="556"/>
      <c r="PRX52" s="556"/>
      <c r="PRY52" s="556"/>
      <c r="PRZ52" s="556"/>
      <c r="PSA52" s="556"/>
      <c r="PSB52" s="556"/>
      <c r="PSC52" s="556"/>
      <c r="PSD52" s="556"/>
      <c r="PSE52" s="556"/>
      <c r="PSF52" s="556"/>
      <c r="PSG52" s="556"/>
      <c r="PSH52" s="556"/>
      <c r="PSI52" s="556"/>
      <c r="PSJ52" s="556"/>
      <c r="PSK52" s="556"/>
      <c r="PSL52" s="556"/>
      <c r="PSM52" s="556"/>
      <c r="PSN52" s="556"/>
      <c r="PSO52" s="556"/>
      <c r="PSP52" s="556"/>
      <c r="PSQ52" s="556"/>
      <c r="PSR52" s="556"/>
      <c r="PSS52" s="556"/>
      <c r="PST52" s="556"/>
      <c r="PSU52" s="556"/>
      <c r="PSV52" s="556"/>
      <c r="PSW52" s="556"/>
      <c r="PSX52" s="556"/>
      <c r="PSY52" s="556"/>
      <c r="PSZ52" s="556"/>
      <c r="PTA52" s="556"/>
      <c r="PTB52" s="556"/>
      <c r="PTC52" s="556"/>
      <c r="PTD52" s="556"/>
      <c r="PTE52" s="556"/>
      <c r="PTF52" s="556"/>
      <c r="PTG52" s="556"/>
      <c r="PTH52" s="556"/>
      <c r="PTI52" s="556"/>
      <c r="PTJ52" s="556"/>
      <c r="PTK52" s="556"/>
      <c r="PTL52" s="556"/>
      <c r="PTM52" s="556"/>
      <c r="PTN52" s="556"/>
      <c r="PTO52" s="556"/>
      <c r="PTP52" s="556"/>
      <c r="PTQ52" s="556"/>
      <c r="PTR52" s="556"/>
      <c r="PTS52" s="556"/>
      <c r="PTT52" s="556"/>
      <c r="PTU52" s="556"/>
      <c r="PTV52" s="556"/>
      <c r="PTW52" s="556"/>
      <c r="PTX52" s="556"/>
      <c r="PTY52" s="556"/>
      <c r="PTZ52" s="556"/>
      <c r="PUA52" s="556"/>
      <c r="PUB52" s="556"/>
      <c r="PUC52" s="556"/>
      <c r="PUD52" s="556"/>
      <c r="PUE52" s="556"/>
      <c r="PUF52" s="556"/>
      <c r="PUG52" s="556"/>
      <c r="PUH52" s="556"/>
      <c r="PUI52" s="556"/>
      <c r="PUJ52" s="556"/>
      <c r="PUK52" s="556"/>
      <c r="PUL52" s="556"/>
      <c r="PUM52" s="556"/>
      <c r="PUN52" s="556"/>
      <c r="PUO52" s="556"/>
      <c r="PUP52" s="556"/>
      <c r="PUQ52" s="556"/>
      <c r="PUR52" s="556"/>
      <c r="PUS52" s="556"/>
      <c r="PUT52" s="556"/>
      <c r="PUU52" s="556"/>
      <c r="PUV52" s="556"/>
      <c r="PUW52" s="556"/>
      <c r="PUX52" s="556"/>
      <c r="PUY52" s="556"/>
      <c r="PUZ52" s="556"/>
      <c r="PVA52" s="556"/>
      <c r="PVB52" s="556"/>
      <c r="PVC52" s="556"/>
      <c r="PVD52" s="556"/>
      <c r="PVE52" s="556"/>
      <c r="PVF52" s="556"/>
      <c r="PVG52" s="556"/>
      <c r="PVH52" s="556"/>
      <c r="PVI52" s="556"/>
      <c r="PVJ52" s="556"/>
      <c r="PVK52" s="556"/>
      <c r="PVL52" s="556"/>
      <c r="PVM52" s="556"/>
      <c r="PVN52" s="556"/>
      <c r="PVO52" s="556"/>
      <c r="PVP52" s="556"/>
      <c r="PVQ52" s="556"/>
      <c r="PVR52" s="556"/>
      <c r="PVS52" s="556"/>
      <c r="PVT52" s="556"/>
      <c r="PVU52" s="556"/>
      <c r="PVV52" s="556"/>
      <c r="PVW52" s="556"/>
      <c r="PVX52" s="556"/>
      <c r="PVY52" s="556"/>
      <c r="PVZ52" s="556"/>
      <c r="PWA52" s="556"/>
      <c r="PWB52" s="556"/>
      <c r="PWC52" s="556"/>
      <c r="PWD52" s="556"/>
      <c r="PWE52" s="556"/>
      <c r="PWF52" s="556"/>
      <c r="PWG52" s="556"/>
      <c r="PWH52" s="556"/>
      <c r="PWI52" s="556"/>
      <c r="PWJ52" s="556"/>
      <c r="PWK52" s="556"/>
      <c r="PWL52" s="556"/>
      <c r="PWM52" s="556"/>
      <c r="PWN52" s="556"/>
      <c r="PWO52" s="556"/>
      <c r="PWP52" s="556"/>
      <c r="PWQ52" s="556"/>
      <c r="PWR52" s="556"/>
      <c r="PWS52" s="556"/>
      <c r="PWT52" s="556"/>
      <c r="PWU52" s="556"/>
      <c r="PWV52" s="556"/>
      <c r="PWW52" s="556"/>
      <c r="PWX52" s="556"/>
      <c r="PWY52" s="556"/>
      <c r="PWZ52" s="556"/>
      <c r="PXA52" s="556"/>
      <c r="PXB52" s="556"/>
      <c r="PXC52" s="556"/>
      <c r="PXD52" s="556"/>
      <c r="PXE52" s="556"/>
      <c r="PXF52" s="556"/>
      <c r="PXG52" s="556"/>
      <c r="PXH52" s="556"/>
      <c r="PXI52" s="556"/>
      <c r="PXJ52" s="556"/>
      <c r="PXK52" s="556"/>
      <c r="PXL52" s="556"/>
      <c r="PXM52" s="556"/>
      <c r="PXN52" s="556"/>
      <c r="PXO52" s="556"/>
      <c r="PXP52" s="556"/>
      <c r="PXQ52" s="556"/>
      <c r="PXR52" s="556"/>
      <c r="PXS52" s="556"/>
      <c r="PXT52" s="556"/>
      <c r="PXU52" s="556"/>
      <c r="PXV52" s="556"/>
      <c r="PXW52" s="556"/>
      <c r="PXX52" s="556"/>
      <c r="PXY52" s="556"/>
      <c r="PXZ52" s="556"/>
      <c r="PYA52" s="556"/>
      <c r="PYB52" s="556"/>
      <c r="PYC52" s="556"/>
      <c r="PYD52" s="556"/>
      <c r="PYE52" s="556"/>
      <c r="PYF52" s="556"/>
      <c r="PYG52" s="556"/>
      <c r="PYH52" s="556"/>
      <c r="PYI52" s="556"/>
      <c r="PYJ52" s="556"/>
      <c r="PYK52" s="556"/>
      <c r="PYL52" s="556"/>
      <c r="PYM52" s="556"/>
      <c r="PYN52" s="556"/>
      <c r="PYO52" s="556"/>
      <c r="PYP52" s="556"/>
      <c r="PYQ52" s="556"/>
      <c r="PYR52" s="556"/>
      <c r="PYS52" s="556"/>
      <c r="PYT52" s="556"/>
      <c r="PYU52" s="556"/>
      <c r="PYV52" s="556"/>
      <c r="PYW52" s="556"/>
      <c r="PYX52" s="556"/>
      <c r="PYY52" s="556"/>
      <c r="PYZ52" s="556"/>
      <c r="PZA52" s="556"/>
      <c r="PZB52" s="556"/>
      <c r="PZC52" s="556"/>
      <c r="PZD52" s="556"/>
      <c r="PZE52" s="556"/>
      <c r="PZF52" s="556"/>
      <c r="PZG52" s="556"/>
      <c r="PZH52" s="556"/>
      <c r="PZI52" s="556"/>
      <c r="PZJ52" s="556"/>
      <c r="PZK52" s="556"/>
      <c r="PZL52" s="556"/>
      <c r="PZM52" s="556"/>
      <c r="PZN52" s="556"/>
      <c r="PZO52" s="556"/>
      <c r="PZP52" s="556"/>
      <c r="PZQ52" s="556"/>
      <c r="PZR52" s="556"/>
      <c r="PZS52" s="556"/>
      <c r="PZT52" s="556"/>
      <c r="PZU52" s="556"/>
      <c r="PZV52" s="556"/>
      <c r="PZW52" s="556"/>
      <c r="PZX52" s="556"/>
      <c r="PZY52" s="556"/>
      <c r="PZZ52" s="556"/>
      <c r="QAA52" s="556"/>
      <c r="QAB52" s="556"/>
      <c r="QAC52" s="556"/>
      <c r="QAD52" s="556"/>
      <c r="QAE52" s="556"/>
      <c r="QAF52" s="556"/>
      <c r="QAG52" s="556"/>
      <c r="QAH52" s="556"/>
      <c r="QAI52" s="556"/>
      <c r="QAJ52" s="556"/>
      <c r="QAK52" s="556"/>
      <c r="QAL52" s="556"/>
      <c r="QAM52" s="556"/>
      <c r="QAN52" s="556"/>
      <c r="QAO52" s="556"/>
      <c r="QAP52" s="556"/>
      <c r="QAQ52" s="556"/>
      <c r="QAR52" s="556"/>
      <c r="QAS52" s="556"/>
      <c r="QAT52" s="556"/>
      <c r="QAU52" s="556"/>
      <c r="QAV52" s="556"/>
      <c r="QAW52" s="556"/>
      <c r="QAX52" s="556"/>
      <c r="QAY52" s="556"/>
      <c r="QAZ52" s="556"/>
      <c r="QBA52" s="556"/>
      <c r="QBB52" s="556"/>
      <c r="QBC52" s="556"/>
      <c r="QBD52" s="556"/>
      <c r="QBE52" s="556"/>
      <c r="QBF52" s="556"/>
      <c r="QBG52" s="556"/>
      <c r="QBH52" s="556"/>
      <c r="QBI52" s="556"/>
      <c r="QBJ52" s="556"/>
      <c r="QBK52" s="556"/>
      <c r="QBL52" s="556"/>
      <c r="QBM52" s="556"/>
      <c r="QBN52" s="556"/>
      <c r="QBO52" s="556"/>
      <c r="QBP52" s="556"/>
      <c r="QBQ52" s="556"/>
      <c r="QBR52" s="556"/>
      <c r="QBS52" s="556"/>
      <c r="QBT52" s="556"/>
      <c r="QBU52" s="556"/>
      <c r="QBV52" s="556"/>
      <c r="QBW52" s="556"/>
      <c r="QBX52" s="556"/>
      <c r="QBY52" s="556"/>
      <c r="QBZ52" s="556"/>
      <c r="QCA52" s="556"/>
      <c r="QCB52" s="556"/>
      <c r="QCC52" s="556"/>
      <c r="QCD52" s="556"/>
      <c r="QCE52" s="556"/>
      <c r="QCF52" s="556"/>
      <c r="QCG52" s="556"/>
      <c r="QCH52" s="556"/>
      <c r="QCI52" s="556"/>
      <c r="QCJ52" s="556"/>
      <c r="QCK52" s="556"/>
      <c r="QCL52" s="556"/>
      <c r="QCM52" s="556"/>
      <c r="QCN52" s="556"/>
      <c r="QCO52" s="556"/>
      <c r="QCP52" s="556"/>
      <c r="QCQ52" s="556"/>
      <c r="QCR52" s="556"/>
      <c r="QCS52" s="556"/>
      <c r="QCT52" s="556"/>
      <c r="QCU52" s="556"/>
      <c r="QCV52" s="556"/>
      <c r="QCW52" s="556"/>
      <c r="QCX52" s="556"/>
      <c r="QCY52" s="556"/>
      <c r="QCZ52" s="556"/>
      <c r="QDA52" s="556"/>
      <c r="QDB52" s="556"/>
      <c r="QDC52" s="556"/>
      <c r="QDD52" s="556"/>
      <c r="QDE52" s="556"/>
      <c r="QDF52" s="556"/>
      <c r="QDG52" s="556"/>
      <c r="QDH52" s="556"/>
      <c r="QDI52" s="556"/>
      <c r="QDJ52" s="556"/>
      <c r="QDK52" s="556"/>
      <c r="QDL52" s="556"/>
      <c r="QDM52" s="556"/>
      <c r="QDN52" s="556"/>
      <c r="QDO52" s="556"/>
      <c r="QDP52" s="556"/>
      <c r="QDQ52" s="556"/>
      <c r="QDR52" s="556"/>
      <c r="QDS52" s="556"/>
      <c r="QDT52" s="556"/>
      <c r="QDU52" s="556"/>
      <c r="QDV52" s="556"/>
      <c r="QDW52" s="556"/>
      <c r="QDX52" s="556"/>
      <c r="QDY52" s="556"/>
      <c r="QDZ52" s="556"/>
      <c r="QEA52" s="556"/>
      <c r="QEB52" s="556"/>
      <c r="QEC52" s="556"/>
      <c r="QED52" s="556"/>
      <c r="QEE52" s="556"/>
      <c r="QEF52" s="556"/>
      <c r="QEG52" s="556"/>
      <c r="QEH52" s="556"/>
      <c r="QEI52" s="556"/>
      <c r="QEJ52" s="556"/>
      <c r="QEK52" s="556"/>
      <c r="QEL52" s="556"/>
      <c r="QEM52" s="556"/>
      <c r="QEN52" s="556"/>
      <c r="QEO52" s="556"/>
      <c r="QEP52" s="556"/>
      <c r="QEQ52" s="556"/>
      <c r="QER52" s="556"/>
      <c r="QES52" s="556"/>
      <c r="QET52" s="556"/>
      <c r="QEU52" s="556"/>
      <c r="QEV52" s="556"/>
      <c r="QEW52" s="556"/>
      <c r="QEX52" s="556"/>
      <c r="QEY52" s="556"/>
      <c r="QEZ52" s="556"/>
      <c r="QFA52" s="556"/>
      <c r="QFB52" s="556"/>
      <c r="QFC52" s="556"/>
      <c r="QFD52" s="556"/>
      <c r="QFE52" s="556"/>
      <c r="QFF52" s="556"/>
      <c r="QFG52" s="556"/>
      <c r="QFH52" s="556"/>
      <c r="QFI52" s="556"/>
      <c r="QFJ52" s="556"/>
      <c r="QFK52" s="556"/>
      <c r="QFL52" s="556"/>
      <c r="QFM52" s="556"/>
      <c r="QFN52" s="556"/>
      <c r="QFO52" s="556"/>
      <c r="QFP52" s="556"/>
      <c r="QFQ52" s="556"/>
      <c r="QFR52" s="556"/>
      <c r="QFS52" s="556"/>
      <c r="QFT52" s="556"/>
      <c r="QFU52" s="556"/>
      <c r="QFV52" s="556"/>
      <c r="QFW52" s="556"/>
      <c r="QFX52" s="556"/>
      <c r="QFY52" s="556"/>
      <c r="QFZ52" s="556"/>
      <c r="QGA52" s="556"/>
      <c r="QGB52" s="556"/>
      <c r="QGC52" s="556"/>
      <c r="QGD52" s="556"/>
      <c r="QGE52" s="556"/>
      <c r="QGF52" s="556"/>
      <c r="QGG52" s="556"/>
      <c r="QGH52" s="556"/>
      <c r="QGI52" s="556"/>
      <c r="QGJ52" s="556"/>
      <c r="QGK52" s="556"/>
      <c r="QGL52" s="556"/>
      <c r="QGM52" s="556"/>
      <c r="QGN52" s="556"/>
      <c r="QGO52" s="556"/>
      <c r="QGP52" s="556"/>
      <c r="QGQ52" s="556"/>
      <c r="QGR52" s="556"/>
      <c r="QGS52" s="556"/>
      <c r="QGT52" s="556"/>
      <c r="QGU52" s="556"/>
      <c r="QGV52" s="556"/>
      <c r="QGW52" s="556"/>
      <c r="QGX52" s="556"/>
      <c r="QGY52" s="556"/>
      <c r="QGZ52" s="556"/>
      <c r="QHA52" s="556"/>
      <c r="QHB52" s="556"/>
      <c r="QHC52" s="556"/>
      <c r="QHD52" s="556"/>
      <c r="QHE52" s="556"/>
      <c r="QHF52" s="556"/>
      <c r="QHG52" s="556"/>
      <c r="QHH52" s="556"/>
      <c r="QHI52" s="556"/>
      <c r="QHJ52" s="556"/>
      <c r="QHK52" s="556"/>
      <c r="QHL52" s="556"/>
      <c r="QHM52" s="556"/>
      <c r="QHN52" s="556"/>
      <c r="QHO52" s="556"/>
      <c r="QHP52" s="556"/>
      <c r="QHQ52" s="556"/>
      <c r="QHR52" s="556"/>
      <c r="QHS52" s="556"/>
      <c r="QHT52" s="556"/>
      <c r="QHU52" s="556"/>
      <c r="QHV52" s="556"/>
      <c r="QHW52" s="556"/>
      <c r="QHX52" s="556"/>
      <c r="QHY52" s="556"/>
      <c r="QHZ52" s="556"/>
      <c r="QIA52" s="556"/>
      <c r="QIB52" s="556"/>
      <c r="QIC52" s="556"/>
      <c r="QID52" s="556"/>
      <c r="QIE52" s="556"/>
      <c r="QIF52" s="556"/>
      <c r="QIG52" s="556"/>
      <c r="QIH52" s="556"/>
      <c r="QII52" s="556"/>
      <c r="QIJ52" s="556"/>
      <c r="QIK52" s="556"/>
      <c r="QIL52" s="556"/>
      <c r="QIM52" s="556"/>
      <c r="QIN52" s="556"/>
      <c r="QIO52" s="556"/>
      <c r="QIP52" s="556"/>
      <c r="QIQ52" s="556"/>
      <c r="QIR52" s="556"/>
      <c r="QIS52" s="556"/>
      <c r="QIT52" s="556"/>
      <c r="QIU52" s="556"/>
      <c r="QIV52" s="556"/>
      <c r="QIW52" s="556"/>
      <c r="QIX52" s="556"/>
      <c r="QIY52" s="556"/>
      <c r="QIZ52" s="556"/>
      <c r="QJA52" s="556"/>
      <c r="QJB52" s="556"/>
      <c r="QJC52" s="556"/>
      <c r="QJD52" s="556"/>
      <c r="QJE52" s="556"/>
      <c r="QJF52" s="556"/>
      <c r="QJG52" s="556"/>
      <c r="QJH52" s="556"/>
      <c r="QJI52" s="556"/>
      <c r="QJJ52" s="556"/>
      <c r="QJK52" s="556"/>
      <c r="QJL52" s="556"/>
      <c r="QJM52" s="556"/>
      <c r="QJN52" s="556"/>
      <c r="QJO52" s="556"/>
      <c r="QJP52" s="556"/>
      <c r="QJQ52" s="556"/>
      <c r="QJR52" s="556"/>
      <c r="QJS52" s="556"/>
      <c r="QJT52" s="556"/>
      <c r="QJU52" s="556"/>
      <c r="QJV52" s="556"/>
      <c r="QJW52" s="556"/>
      <c r="QJX52" s="556"/>
      <c r="QJY52" s="556"/>
      <c r="QJZ52" s="556"/>
      <c r="QKA52" s="556"/>
      <c r="QKB52" s="556"/>
      <c r="QKC52" s="556"/>
      <c r="QKD52" s="556"/>
      <c r="QKE52" s="556"/>
      <c r="QKF52" s="556"/>
      <c r="QKG52" s="556"/>
      <c r="QKH52" s="556"/>
      <c r="QKI52" s="556"/>
      <c r="QKJ52" s="556"/>
      <c r="QKK52" s="556"/>
      <c r="QKL52" s="556"/>
      <c r="QKM52" s="556"/>
      <c r="QKN52" s="556"/>
      <c r="QKO52" s="556"/>
      <c r="QKP52" s="556"/>
      <c r="QKQ52" s="556"/>
      <c r="QKR52" s="556"/>
      <c r="QKS52" s="556"/>
      <c r="QKT52" s="556"/>
      <c r="QKU52" s="556"/>
      <c r="QKV52" s="556"/>
      <c r="QKW52" s="556"/>
      <c r="QKX52" s="556"/>
      <c r="QKY52" s="556"/>
      <c r="QKZ52" s="556"/>
      <c r="QLA52" s="556"/>
      <c r="QLB52" s="556"/>
      <c r="QLC52" s="556"/>
      <c r="QLD52" s="556"/>
      <c r="QLE52" s="556"/>
      <c r="QLF52" s="556"/>
      <c r="QLG52" s="556"/>
      <c r="QLH52" s="556"/>
      <c r="QLI52" s="556"/>
      <c r="QLJ52" s="556"/>
      <c r="QLK52" s="556"/>
      <c r="QLL52" s="556"/>
      <c r="QLM52" s="556"/>
      <c r="QLN52" s="556"/>
      <c r="QLO52" s="556"/>
      <c r="QLP52" s="556"/>
      <c r="QLQ52" s="556"/>
      <c r="QLR52" s="556"/>
      <c r="QLS52" s="556"/>
      <c r="QLT52" s="556"/>
      <c r="QLU52" s="556"/>
      <c r="QLV52" s="556"/>
      <c r="QLW52" s="556"/>
      <c r="QLX52" s="556"/>
      <c r="QLY52" s="556"/>
      <c r="QLZ52" s="556"/>
      <c r="QMA52" s="556"/>
      <c r="QMB52" s="556"/>
      <c r="QMC52" s="556"/>
      <c r="QMD52" s="556"/>
      <c r="QME52" s="556"/>
      <c r="QMF52" s="556"/>
      <c r="QMG52" s="556"/>
      <c r="QMH52" s="556"/>
      <c r="QMI52" s="556"/>
      <c r="QMJ52" s="556"/>
      <c r="QMK52" s="556"/>
      <c r="QML52" s="556"/>
      <c r="QMM52" s="556"/>
      <c r="QMN52" s="556"/>
      <c r="QMO52" s="556"/>
      <c r="QMP52" s="556"/>
      <c r="QMQ52" s="556"/>
      <c r="QMR52" s="556"/>
      <c r="QMS52" s="556"/>
      <c r="QMT52" s="556"/>
      <c r="QMU52" s="556"/>
      <c r="QMV52" s="556"/>
      <c r="QMW52" s="556"/>
      <c r="QMX52" s="556"/>
      <c r="QMY52" s="556"/>
      <c r="QMZ52" s="556"/>
      <c r="QNA52" s="556"/>
      <c r="QNB52" s="556"/>
      <c r="QNC52" s="556"/>
      <c r="QND52" s="556"/>
      <c r="QNE52" s="556"/>
      <c r="QNF52" s="556"/>
      <c r="QNG52" s="556"/>
      <c r="QNH52" s="556"/>
      <c r="QNI52" s="556"/>
      <c r="QNJ52" s="556"/>
      <c r="QNK52" s="556"/>
      <c r="QNL52" s="556"/>
      <c r="QNM52" s="556"/>
      <c r="QNN52" s="556"/>
      <c r="QNO52" s="556"/>
      <c r="QNP52" s="556"/>
      <c r="QNQ52" s="556"/>
      <c r="QNR52" s="556"/>
      <c r="QNS52" s="556"/>
      <c r="QNT52" s="556"/>
      <c r="QNU52" s="556"/>
      <c r="QNV52" s="556"/>
      <c r="QNW52" s="556"/>
      <c r="QNX52" s="556"/>
      <c r="QNY52" s="556"/>
      <c r="QNZ52" s="556"/>
      <c r="QOA52" s="556"/>
      <c r="QOB52" s="556"/>
      <c r="QOC52" s="556"/>
      <c r="QOD52" s="556"/>
      <c r="QOE52" s="556"/>
      <c r="QOF52" s="556"/>
      <c r="QOG52" s="556"/>
      <c r="QOH52" s="556"/>
      <c r="QOI52" s="556"/>
      <c r="QOJ52" s="556"/>
      <c r="QOK52" s="556"/>
      <c r="QOL52" s="556"/>
      <c r="QOM52" s="556"/>
      <c r="QON52" s="556"/>
      <c r="QOO52" s="556"/>
      <c r="QOP52" s="556"/>
      <c r="QOQ52" s="556"/>
      <c r="QOR52" s="556"/>
      <c r="QOS52" s="556"/>
      <c r="QOT52" s="556"/>
      <c r="QOU52" s="556"/>
      <c r="QOV52" s="556"/>
      <c r="QOW52" s="556"/>
      <c r="QOX52" s="556"/>
      <c r="QOY52" s="556"/>
      <c r="QOZ52" s="556"/>
      <c r="QPA52" s="556"/>
      <c r="QPB52" s="556"/>
      <c r="QPC52" s="556"/>
      <c r="QPD52" s="556"/>
      <c r="QPE52" s="556"/>
      <c r="QPF52" s="556"/>
      <c r="QPG52" s="556"/>
      <c r="QPH52" s="556"/>
      <c r="QPI52" s="556"/>
      <c r="QPJ52" s="556"/>
      <c r="QPK52" s="556"/>
      <c r="QPL52" s="556"/>
      <c r="QPM52" s="556"/>
      <c r="QPN52" s="556"/>
      <c r="QPO52" s="556"/>
      <c r="QPP52" s="556"/>
      <c r="QPQ52" s="556"/>
      <c r="QPR52" s="556"/>
      <c r="QPS52" s="556"/>
      <c r="QPT52" s="556"/>
      <c r="QPU52" s="556"/>
      <c r="QPV52" s="556"/>
      <c r="QPW52" s="556"/>
      <c r="QPX52" s="556"/>
      <c r="QPY52" s="556"/>
      <c r="QPZ52" s="556"/>
      <c r="QQA52" s="556"/>
      <c r="QQB52" s="556"/>
      <c r="QQC52" s="556"/>
      <c r="QQD52" s="556"/>
      <c r="QQE52" s="556"/>
      <c r="QQF52" s="556"/>
      <c r="QQG52" s="556"/>
      <c r="QQH52" s="556"/>
      <c r="QQI52" s="556"/>
      <c r="QQJ52" s="556"/>
      <c r="QQK52" s="556"/>
      <c r="QQL52" s="556"/>
      <c r="QQM52" s="556"/>
      <c r="QQN52" s="556"/>
      <c r="QQO52" s="556"/>
      <c r="QQP52" s="556"/>
      <c r="QQQ52" s="556"/>
      <c r="QQR52" s="556"/>
      <c r="QQS52" s="556"/>
      <c r="QQT52" s="556"/>
      <c r="QQU52" s="556"/>
      <c r="QQV52" s="556"/>
      <c r="QQW52" s="556"/>
      <c r="QQX52" s="556"/>
      <c r="QQY52" s="556"/>
      <c r="QQZ52" s="556"/>
      <c r="QRA52" s="556"/>
      <c r="QRB52" s="556"/>
      <c r="QRC52" s="556"/>
      <c r="QRD52" s="556"/>
      <c r="QRE52" s="556"/>
      <c r="QRF52" s="556"/>
      <c r="QRG52" s="556"/>
      <c r="QRH52" s="556"/>
      <c r="QRI52" s="556"/>
      <c r="QRJ52" s="556"/>
      <c r="QRK52" s="556"/>
      <c r="QRL52" s="556"/>
      <c r="QRM52" s="556"/>
      <c r="QRN52" s="556"/>
      <c r="QRO52" s="556"/>
      <c r="QRP52" s="556"/>
      <c r="QRQ52" s="556"/>
      <c r="QRR52" s="556"/>
      <c r="QRS52" s="556"/>
      <c r="QRT52" s="556"/>
      <c r="QRU52" s="556"/>
      <c r="QRV52" s="556"/>
      <c r="QRW52" s="556"/>
      <c r="QRX52" s="556"/>
      <c r="QRY52" s="556"/>
      <c r="QRZ52" s="556"/>
      <c r="QSA52" s="556"/>
      <c r="QSB52" s="556"/>
      <c r="QSC52" s="556"/>
      <c r="QSD52" s="556"/>
      <c r="QSE52" s="556"/>
      <c r="QSF52" s="556"/>
      <c r="QSG52" s="556"/>
      <c r="QSH52" s="556"/>
      <c r="QSI52" s="556"/>
      <c r="QSJ52" s="556"/>
      <c r="QSK52" s="556"/>
      <c r="QSL52" s="556"/>
      <c r="QSM52" s="556"/>
      <c r="QSN52" s="556"/>
      <c r="QSO52" s="556"/>
      <c r="QSP52" s="556"/>
      <c r="QSQ52" s="556"/>
      <c r="QSR52" s="556"/>
      <c r="QSS52" s="556"/>
      <c r="QST52" s="556"/>
      <c r="QSU52" s="556"/>
      <c r="QSV52" s="556"/>
      <c r="QSW52" s="556"/>
      <c r="QSX52" s="556"/>
      <c r="QSY52" s="556"/>
      <c r="QSZ52" s="556"/>
      <c r="QTA52" s="556"/>
      <c r="QTB52" s="556"/>
      <c r="QTC52" s="556"/>
      <c r="QTD52" s="556"/>
      <c r="QTE52" s="556"/>
      <c r="QTF52" s="556"/>
      <c r="QTG52" s="556"/>
      <c r="QTH52" s="556"/>
      <c r="QTI52" s="556"/>
      <c r="QTJ52" s="556"/>
      <c r="QTK52" s="556"/>
      <c r="QTL52" s="556"/>
      <c r="QTM52" s="556"/>
      <c r="QTN52" s="556"/>
      <c r="QTO52" s="556"/>
      <c r="QTP52" s="556"/>
      <c r="QTQ52" s="556"/>
      <c r="QTR52" s="556"/>
      <c r="QTS52" s="556"/>
      <c r="QTT52" s="556"/>
      <c r="QTU52" s="556"/>
      <c r="QTV52" s="556"/>
      <c r="QTW52" s="556"/>
      <c r="QTX52" s="556"/>
      <c r="QTY52" s="556"/>
      <c r="QTZ52" s="556"/>
      <c r="QUA52" s="556"/>
      <c r="QUB52" s="556"/>
      <c r="QUC52" s="556"/>
      <c r="QUD52" s="556"/>
      <c r="QUE52" s="556"/>
      <c r="QUF52" s="556"/>
      <c r="QUG52" s="556"/>
      <c r="QUH52" s="556"/>
      <c r="QUI52" s="556"/>
      <c r="QUJ52" s="556"/>
      <c r="QUK52" s="556"/>
      <c r="QUL52" s="556"/>
      <c r="QUM52" s="556"/>
      <c r="QUN52" s="556"/>
      <c r="QUO52" s="556"/>
      <c r="QUP52" s="556"/>
      <c r="QUQ52" s="556"/>
      <c r="QUR52" s="556"/>
      <c r="QUS52" s="556"/>
      <c r="QUT52" s="556"/>
      <c r="QUU52" s="556"/>
      <c r="QUV52" s="556"/>
      <c r="QUW52" s="556"/>
      <c r="QUX52" s="556"/>
      <c r="QUY52" s="556"/>
      <c r="QUZ52" s="556"/>
      <c r="QVA52" s="556"/>
      <c r="QVB52" s="556"/>
      <c r="QVC52" s="556"/>
      <c r="QVD52" s="556"/>
      <c r="QVE52" s="556"/>
      <c r="QVF52" s="556"/>
      <c r="QVG52" s="556"/>
      <c r="QVH52" s="556"/>
      <c r="QVI52" s="556"/>
      <c r="QVJ52" s="556"/>
      <c r="QVK52" s="556"/>
      <c r="QVL52" s="556"/>
      <c r="QVM52" s="556"/>
      <c r="QVN52" s="556"/>
      <c r="QVO52" s="556"/>
      <c r="QVP52" s="556"/>
      <c r="QVQ52" s="556"/>
      <c r="QVR52" s="556"/>
      <c r="QVS52" s="556"/>
      <c r="QVT52" s="556"/>
      <c r="QVU52" s="556"/>
      <c r="QVV52" s="556"/>
      <c r="QVW52" s="556"/>
      <c r="QVX52" s="556"/>
      <c r="QVY52" s="556"/>
      <c r="QVZ52" s="556"/>
      <c r="QWA52" s="556"/>
      <c r="QWB52" s="556"/>
      <c r="QWC52" s="556"/>
      <c r="QWD52" s="556"/>
      <c r="QWE52" s="556"/>
      <c r="QWF52" s="556"/>
      <c r="QWG52" s="556"/>
      <c r="QWH52" s="556"/>
      <c r="QWI52" s="556"/>
      <c r="QWJ52" s="556"/>
      <c r="QWK52" s="556"/>
      <c r="QWL52" s="556"/>
      <c r="QWM52" s="556"/>
      <c r="QWN52" s="556"/>
      <c r="QWO52" s="556"/>
      <c r="QWP52" s="556"/>
      <c r="QWQ52" s="556"/>
      <c r="QWR52" s="556"/>
      <c r="QWS52" s="556"/>
      <c r="QWT52" s="556"/>
      <c r="QWU52" s="556"/>
      <c r="QWV52" s="556"/>
      <c r="QWW52" s="556"/>
      <c r="QWX52" s="556"/>
      <c r="QWY52" s="556"/>
      <c r="QWZ52" s="556"/>
      <c r="QXA52" s="556"/>
      <c r="QXB52" s="556"/>
      <c r="QXC52" s="556"/>
      <c r="QXD52" s="556"/>
      <c r="QXE52" s="556"/>
      <c r="QXF52" s="556"/>
      <c r="QXG52" s="556"/>
      <c r="QXH52" s="556"/>
      <c r="QXI52" s="556"/>
      <c r="QXJ52" s="556"/>
      <c r="QXK52" s="556"/>
      <c r="QXL52" s="556"/>
      <c r="QXM52" s="556"/>
      <c r="QXN52" s="556"/>
      <c r="QXO52" s="556"/>
      <c r="QXP52" s="556"/>
      <c r="QXQ52" s="556"/>
      <c r="QXR52" s="556"/>
      <c r="QXS52" s="556"/>
      <c r="QXT52" s="556"/>
      <c r="QXU52" s="556"/>
      <c r="QXV52" s="556"/>
      <c r="QXW52" s="556"/>
      <c r="QXX52" s="556"/>
      <c r="QXY52" s="556"/>
      <c r="QXZ52" s="556"/>
      <c r="QYA52" s="556"/>
      <c r="QYB52" s="556"/>
      <c r="QYC52" s="556"/>
      <c r="QYD52" s="556"/>
      <c r="QYE52" s="556"/>
      <c r="QYF52" s="556"/>
      <c r="QYG52" s="556"/>
      <c r="QYH52" s="556"/>
      <c r="QYI52" s="556"/>
      <c r="QYJ52" s="556"/>
      <c r="QYK52" s="556"/>
      <c r="QYL52" s="556"/>
      <c r="QYM52" s="556"/>
      <c r="QYN52" s="556"/>
      <c r="QYO52" s="556"/>
      <c r="QYP52" s="556"/>
      <c r="QYQ52" s="556"/>
      <c r="QYR52" s="556"/>
      <c r="QYS52" s="556"/>
      <c r="QYT52" s="556"/>
      <c r="QYU52" s="556"/>
      <c r="QYV52" s="556"/>
      <c r="QYW52" s="556"/>
      <c r="QYX52" s="556"/>
      <c r="QYY52" s="556"/>
      <c r="QYZ52" s="556"/>
      <c r="QZA52" s="556"/>
      <c r="QZB52" s="556"/>
      <c r="QZC52" s="556"/>
      <c r="QZD52" s="556"/>
      <c r="QZE52" s="556"/>
      <c r="QZF52" s="556"/>
      <c r="QZG52" s="556"/>
      <c r="QZH52" s="556"/>
      <c r="QZI52" s="556"/>
      <c r="QZJ52" s="556"/>
      <c r="QZK52" s="556"/>
      <c r="QZL52" s="556"/>
      <c r="QZM52" s="556"/>
      <c r="QZN52" s="556"/>
      <c r="QZO52" s="556"/>
      <c r="QZP52" s="556"/>
      <c r="QZQ52" s="556"/>
      <c r="QZR52" s="556"/>
      <c r="QZS52" s="556"/>
      <c r="QZT52" s="556"/>
      <c r="QZU52" s="556"/>
      <c r="QZV52" s="556"/>
      <c r="QZW52" s="556"/>
      <c r="QZX52" s="556"/>
      <c r="QZY52" s="556"/>
      <c r="QZZ52" s="556"/>
      <c r="RAA52" s="556"/>
      <c r="RAB52" s="556"/>
      <c r="RAC52" s="556"/>
      <c r="RAD52" s="556"/>
      <c r="RAE52" s="556"/>
      <c r="RAF52" s="556"/>
      <c r="RAG52" s="556"/>
      <c r="RAH52" s="556"/>
      <c r="RAI52" s="556"/>
      <c r="RAJ52" s="556"/>
      <c r="RAK52" s="556"/>
      <c r="RAL52" s="556"/>
      <c r="RAM52" s="556"/>
      <c r="RAN52" s="556"/>
      <c r="RAO52" s="556"/>
      <c r="RAP52" s="556"/>
      <c r="RAQ52" s="556"/>
      <c r="RAR52" s="556"/>
      <c r="RAS52" s="556"/>
      <c r="RAT52" s="556"/>
      <c r="RAU52" s="556"/>
      <c r="RAV52" s="556"/>
      <c r="RAW52" s="556"/>
      <c r="RAX52" s="556"/>
      <c r="RAY52" s="556"/>
      <c r="RAZ52" s="556"/>
      <c r="RBA52" s="556"/>
      <c r="RBB52" s="556"/>
      <c r="RBC52" s="556"/>
      <c r="RBD52" s="556"/>
      <c r="RBE52" s="556"/>
      <c r="RBF52" s="556"/>
      <c r="RBG52" s="556"/>
      <c r="RBH52" s="556"/>
      <c r="RBI52" s="556"/>
      <c r="RBJ52" s="556"/>
      <c r="RBK52" s="556"/>
      <c r="RBL52" s="556"/>
      <c r="RBM52" s="556"/>
      <c r="RBN52" s="556"/>
      <c r="RBO52" s="556"/>
      <c r="RBP52" s="556"/>
      <c r="RBQ52" s="556"/>
      <c r="RBR52" s="556"/>
      <c r="RBS52" s="556"/>
      <c r="RBT52" s="556"/>
      <c r="RBU52" s="556"/>
      <c r="RBV52" s="556"/>
      <c r="RBW52" s="556"/>
      <c r="RBX52" s="556"/>
      <c r="RBY52" s="556"/>
      <c r="RBZ52" s="556"/>
      <c r="RCA52" s="556"/>
      <c r="RCB52" s="556"/>
      <c r="RCC52" s="556"/>
      <c r="RCD52" s="556"/>
      <c r="RCE52" s="556"/>
      <c r="RCF52" s="556"/>
      <c r="RCG52" s="556"/>
      <c r="RCH52" s="556"/>
      <c r="RCI52" s="556"/>
      <c r="RCJ52" s="556"/>
      <c r="RCK52" s="556"/>
      <c r="RCL52" s="556"/>
      <c r="RCM52" s="556"/>
      <c r="RCN52" s="556"/>
      <c r="RCO52" s="556"/>
      <c r="RCP52" s="556"/>
      <c r="RCQ52" s="556"/>
      <c r="RCR52" s="556"/>
      <c r="RCS52" s="556"/>
      <c r="RCT52" s="556"/>
      <c r="RCU52" s="556"/>
      <c r="RCV52" s="556"/>
      <c r="RCW52" s="556"/>
      <c r="RCX52" s="556"/>
      <c r="RCY52" s="556"/>
      <c r="RCZ52" s="556"/>
      <c r="RDA52" s="556"/>
      <c r="RDB52" s="556"/>
      <c r="RDC52" s="556"/>
      <c r="RDD52" s="556"/>
      <c r="RDE52" s="556"/>
      <c r="RDF52" s="556"/>
      <c r="RDG52" s="556"/>
      <c r="RDH52" s="556"/>
      <c r="RDI52" s="556"/>
      <c r="RDJ52" s="556"/>
      <c r="RDK52" s="556"/>
      <c r="RDL52" s="556"/>
      <c r="RDM52" s="556"/>
      <c r="RDN52" s="556"/>
      <c r="RDO52" s="556"/>
      <c r="RDP52" s="556"/>
      <c r="RDQ52" s="556"/>
      <c r="RDR52" s="556"/>
      <c r="RDS52" s="556"/>
      <c r="RDT52" s="556"/>
      <c r="RDU52" s="556"/>
      <c r="RDV52" s="556"/>
      <c r="RDW52" s="556"/>
      <c r="RDX52" s="556"/>
      <c r="RDY52" s="556"/>
      <c r="RDZ52" s="556"/>
      <c r="REA52" s="556"/>
      <c r="REB52" s="556"/>
      <c r="REC52" s="556"/>
      <c r="RED52" s="556"/>
      <c r="REE52" s="556"/>
      <c r="REF52" s="556"/>
      <c r="REG52" s="556"/>
      <c r="REH52" s="556"/>
      <c r="REI52" s="556"/>
      <c r="REJ52" s="556"/>
      <c r="REK52" s="556"/>
      <c r="REL52" s="556"/>
      <c r="REM52" s="556"/>
      <c r="REN52" s="556"/>
      <c r="REO52" s="556"/>
      <c r="REP52" s="556"/>
      <c r="REQ52" s="556"/>
      <c r="RER52" s="556"/>
      <c r="RES52" s="556"/>
      <c r="RET52" s="556"/>
      <c r="REU52" s="556"/>
      <c r="REV52" s="556"/>
      <c r="REW52" s="556"/>
      <c r="REX52" s="556"/>
      <c r="REY52" s="556"/>
      <c r="REZ52" s="556"/>
      <c r="RFA52" s="556"/>
      <c r="RFB52" s="556"/>
      <c r="RFC52" s="556"/>
      <c r="RFD52" s="556"/>
      <c r="RFE52" s="556"/>
      <c r="RFF52" s="556"/>
      <c r="RFG52" s="556"/>
      <c r="RFH52" s="556"/>
      <c r="RFI52" s="556"/>
      <c r="RFJ52" s="556"/>
      <c r="RFK52" s="556"/>
      <c r="RFL52" s="556"/>
      <c r="RFM52" s="556"/>
      <c r="RFN52" s="556"/>
      <c r="RFO52" s="556"/>
      <c r="RFP52" s="556"/>
      <c r="RFQ52" s="556"/>
      <c r="RFR52" s="556"/>
      <c r="RFS52" s="556"/>
      <c r="RFT52" s="556"/>
      <c r="RFU52" s="556"/>
      <c r="RFV52" s="556"/>
      <c r="RFW52" s="556"/>
      <c r="RFX52" s="556"/>
      <c r="RFY52" s="556"/>
      <c r="RFZ52" s="556"/>
      <c r="RGA52" s="556"/>
      <c r="RGB52" s="556"/>
      <c r="RGC52" s="556"/>
      <c r="RGD52" s="556"/>
      <c r="RGE52" s="556"/>
      <c r="RGF52" s="556"/>
      <c r="RGG52" s="556"/>
      <c r="RGH52" s="556"/>
      <c r="RGI52" s="556"/>
      <c r="RGJ52" s="556"/>
      <c r="RGK52" s="556"/>
      <c r="RGL52" s="556"/>
      <c r="RGM52" s="556"/>
      <c r="RGN52" s="556"/>
      <c r="RGO52" s="556"/>
      <c r="RGP52" s="556"/>
      <c r="RGQ52" s="556"/>
      <c r="RGR52" s="556"/>
      <c r="RGS52" s="556"/>
      <c r="RGT52" s="556"/>
      <c r="RGU52" s="556"/>
      <c r="RGV52" s="556"/>
      <c r="RGW52" s="556"/>
      <c r="RGX52" s="556"/>
      <c r="RGY52" s="556"/>
      <c r="RGZ52" s="556"/>
      <c r="RHA52" s="556"/>
      <c r="RHB52" s="556"/>
      <c r="RHC52" s="556"/>
      <c r="RHD52" s="556"/>
      <c r="RHE52" s="556"/>
      <c r="RHF52" s="556"/>
      <c r="RHG52" s="556"/>
      <c r="RHH52" s="556"/>
      <c r="RHI52" s="556"/>
      <c r="RHJ52" s="556"/>
      <c r="RHK52" s="556"/>
      <c r="RHL52" s="556"/>
      <c r="RHM52" s="556"/>
      <c r="RHN52" s="556"/>
      <c r="RHO52" s="556"/>
      <c r="RHP52" s="556"/>
      <c r="RHQ52" s="556"/>
      <c r="RHR52" s="556"/>
      <c r="RHS52" s="556"/>
      <c r="RHT52" s="556"/>
      <c r="RHU52" s="556"/>
      <c r="RHV52" s="556"/>
      <c r="RHW52" s="556"/>
      <c r="RHX52" s="556"/>
      <c r="RHY52" s="556"/>
      <c r="RHZ52" s="556"/>
      <c r="RIA52" s="556"/>
      <c r="RIB52" s="556"/>
      <c r="RIC52" s="556"/>
      <c r="RID52" s="556"/>
      <c r="RIE52" s="556"/>
      <c r="RIF52" s="556"/>
      <c r="RIG52" s="556"/>
      <c r="RIH52" s="556"/>
      <c r="RII52" s="556"/>
      <c r="RIJ52" s="556"/>
      <c r="RIK52" s="556"/>
      <c r="RIL52" s="556"/>
      <c r="RIM52" s="556"/>
      <c r="RIN52" s="556"/>
      <c r="RIO52" s="556"/>
      <c r="RIP52" s="556"/>
      <c r="RIQ52" s="556"/>
      <c r="RIR52" s="556"/>
      <c r="RIS52" s="556"/>
      <c r="RIT52" s="556"/>
      <c r="RIU52" s="556"/>
      <c r="RIV52" s="556"/>
      <c r="RIW52" s="556"/>
      <c r="RIX52" s="556"/>
      <c r="RIY52" s="556"/>
      <c r="RIZ52" s="556"/>
      <c r="RJA52" s="556"/>
      <c r="RJB52" s="556"/>
      <c r="RJC52" s="556"/>
      <c r="RJD52" s="556"/>
      <c r="RJE52" s="556"/>
      <c r="RJF52" s="556"/>
      <c r="RJG52" s="556"/>
      <c r="RJH52" s="556"/>
      <c r="RJI52" s="556"/>
      <c r="RJJ52" s="556"/>
      <c r="RJK52" s="556"/>
      <c r="RJL52" s="556"/>
      <c r="RJM52" s="556"/>
      <c r="RJN52" s="556"/>
      <c r="RJO52" s="556"/>
      <c r="RJP52" s="556"/>
      <c r="RJQ52" s="556"/>
      <c r="RJR52" s="556"/>
      <c r="RJS52" s="556"/>
      <c r="RJT52" s="556"/>
      <c r="RJU52" s="556"/>
      <c r="RJV52" s="556"/>
      <c r="RJW52" s="556"/>
      <c r="RJX52" s="556"/>
      <c r="RJY52" s="556"/>
      <c r="RJZ52" s="556"/>
      <c r="RKA52" s="556"/>
      <c r="RKB52" s="556"/>
      <c r="RKC52" s="556"/>
      <c r="RKD52" s="556"/>
      <c r="RKE52" s="556"/>
      <c r="RKF52" s="556"/>
      <c r="RKG52" s="556"/>
      <c r="RKH52" s="556"/>
      <c r="RKI52" s="556"/>
      <c r="RKJ52" s="556"/>
      <c r="RKK52" s="556"/>
      <c r="RKL52" s="556"/>
      <c r="RKM52" s="556"/>
      <c r="RKN52" s="556"/>
      <c r="RKO52" s="556"/>
      <c r="RKP52" s="556"/>
      <c r="RKQ52" s="556"/>
      <c r="RKR52" s="556"/>
      <c r="RKS52" s="556"/>
      <c r="RKT52" s="556"/>
      <c r="RKU52" s="556"/>
      <c r="RKV52" s="556"/>
      <c r="RKW52" s="556"/>
      <c r="RKX52" s="556"/>
      <c r="RKY52" s="556"/>
      <c r="RKZ52" s="556"/>
      <c r="RLA52" s="556"/>
      <c r="RLB52" s="556"/>
      <c r="RLC52" s="556"/>
      <c r="RLD52" s="556"/>
      <c r="RLE52" s="556"/>
      <c r="RLF52" s="556"/>
      <c r="RLG52" s="556"/>
      <c r="RLH52" s="556"/>
      <c r="RLI52" s="556"/>
      <c r="RLJ52" s="556"/>
      <c r="RLK52" s="556"/>
      <c r="RLL52" s="556"/>
      <c r="RLM52" s="556"/>
      <c r="RLN52" s="556"/>
      <c r="RLO52" s="556"/>
      <c r="RLP52" s="556"/>
      <c r="RLQ52" s="556"/>
      <c r="RLR52" s="556"/>
      <c r="RLS52" s="556"/>
      <c r="RLT52" s="556"/>
      <c r="RLU52" s="556"/>
      <c r="RLV52" s="556"/>
      <c r="RLW52" s="556"/>
      <c r="RLX52" s="556"/>
      <c r="RLY52" s="556"/>
      <c r="RLZ52" s="556"/>
      <c r="RMA52" s="556"/>
      <c r="RMB52" s="556"/>
      <c r="RMC52" s="556"/>
      <c r="RMD52" s="556"/>
      <c r="RME52" s="556"/>
      <c r="RMF52" s="556"/>
      <c r="RMG52" s="556"/>
      <c r="RMH52" s="556"/>
      <c r="RMI52" s="556"/>
      <c r="RMJ52" s="556"/>
      <c r="RMK52" s="556"/>
      <c r="RML52" s="556"/>
      <c r="RMM52" s="556"/>
      <c r="RMN52" s="556"/>
      <c r="RMO52" s="556"/>
      <c r="RMP52" s="556"/>
      <c r="RMQ52" s="556"/>
      <c r="RMR52" s="556"/>
      <c r="RMS52" s="556"/>
      <c r="RMT52" s="556"/>
      <c r="RMU52" s="556"/>
      <c r="RMV52" s="556"/>
      <c r="RMW52" s="556"/>
      <c r="RMX52" s="556"/>
      <c r="RMY52" s="556"/>
      <c r="RMZ52" s="556"/>
      <c r="RNA52" s="556"/>
      <c r="RNB52" s="556"/>
      <c r="RNC52" s="556"/>
      <c r="RND52" s="556"/>
      <c r="RNE52" s="556"/>
      <c r="RNF52" s="556"/>
      <c r="RNG52" s="556"/>
      <c r="RNH52" s="556"/>
      <c r="RNI52" s="556"/>
      <c r="RNJ52" s="556"/>
      <c r="RNK52" s="556"/>
      <c r="RNL52" s="556"/>
      <c r="RNM52" s="556"/>
      <c r="RNN52" s="556"/>
      <c r="RNO52" s="556"/>
      <c r="RNP52" s="556"/>
      <c r="RNQ52" s="556"/>
      <c r="RNR52" s="556"/>
      <c r="RNS52" s="556"/>
      <c r="RNT52" s="556"/>
      <c r="RNU52" s="556"/>
      <c r="RNV52" s="556"/>
      <c r="RNW52" s="556"/>
      <c r="RNX52" s="556"/>
      <c r="RNY52" s="556"/>
      <c r="RNZ52" s="556"/>
      <c r="ROA52" s="556"/>
      <c r="ROB52" s="556"/>
      <c r="ROC52" s="556"/>
      <c r="ROD52" s="556"/>
      <c r="ROE52" s="556"/>
      <c r="ROF52" s="556"/>
      <c r="ROG52" s="556"/>
      <c r="ROH52" s="556"/>
      <c r="ROI52" s="556"/>
      <c r="ROJ52" s="556"/>
      <c r="ROK52" s="556"/>
      <c r="ROL52" s="556"/>
      <c r="ROM52" s="556"/>
      <c r="RON52" s="556"/>
      <c r="ROO52" s="556"/>
      <c r="ROP52" s="556"/>
      <c r="ROQ52" s="556"/>
      <c r="ROR52" s="556"/>
      <c r="ROS52" s="556"/>
      <c r="ROT52" s="556"/>
      <c r="ROU52" s="556"/>
      <c r="ROV52" s="556"/>
      <c r="ROW52" s="556"/>
      <c r="ROX52" s="556"/>
      <c r="ROY52" s="556"/>
      <c r="ROZ52" s="556"/>
      <c r="RPA52" s="556"/>
      <c r="RPB52" s="556"/>
      <c r="RPC52" s="556"/>
      <c r="RPD52" s="556"/>
      <c r="RPE52" s="556"/>
      <c r="RPF52" s="556"/>
      <c r="RPG52" s="556"/>
      <c r="RPH52" s="556"/>
      <c r="RPI52" s="556"/>
      <c r="RPJ52" s="556"/>
      <c r="RPK52" s="556"/>
      <c r="RPL52" s="556"/>
      <c r="RPM52" s="556"/>
      <c r="RPN52" s="556"/>
      <c r="RPO52" s="556"/>
      <c r="RPP52" s="556"/>
      <c r="RPQ52" s="556"/>
      <c r="RPR52" s="556"/>
      <c r="RPS52" s="556"/>
      <c r="RPT52" s="556"/>
      <c r="RPU52" s="556"/>
      <c r="RPV52" s="556"/>
      <c r="RPW52" s="556"/>
      <c r="RPX52" s="556"/>
      <c r="RPY52" s="556"/>
      <c r="RPZ52" s="556"/>
      <c r="RQA52" s="556"/>
      <c r="RQB52" s="556"/>
      <c r="RQC52" s="556"/>
      <c r="RQD52" s="556"/>
      <c r="RQE52" s="556"/>
      <c r="RQF52" s="556"/>
      <c r="RQG52" s="556"/>
      <c r="RQH52" s="556"/>
      <c r="RQI52" s="556"/>
      <c r="RQJ52" s="556"/>
      <c r="RQK52" s="556"/>
      <c r="RQL52" s="556"/>
      <c r="RQM52" s="556"/>
      <c r="RQN52" s="556"/>
      <c r="RQO52" s="556"/>
      <c r="RQP52" s="556"/>
      <c r="RQQ52" s="556"/>
      <c r="RQR52" s="556"/>
      <c r="RQS52" s="556"/>
      <c r="RQT52" s="556"/>
      <c r="RQU52" s="556"/>
      <c r="RQV52" s="556"/>
      <c r="RQW52" s="556"/>
      <c r="RQX52" s="556"/>
      <c r="RQY52" s="556"/>
      <c r="RQZ52" s="556"/>
      <c r="RRA52" s="556"/>
      <c r="RRB52" s="556"/>
      <c r="RRC52" s="556"/>
      <c r="RRD52" s="556"/>
      <c r="RRE52" s="556"/>
      <c r="RRF52" s="556"/>
      <c r="RRG52" s="556"/>
      <c r="RRH52" s="556"/>
      <c r="RRI52" s="556"/>
      <c r="RRJ52" s="556"/>
      <c r="RRK52" s="556"/>
      <c r="RRL52" s="556"/>
      <c r="RRM52" s="556"/>
      <c r="RRN52" s="556"/>
      <c r="RRO52" s="556"/>
      <c r="RRP52" s="556"/>
      <c r="RRQ52" s="556"/>
      <c r="RRR52" s="556"/>
      <c r="RRS52" s="556"/>
      <c r="RRT52" s="556"/>
      <c r="RRU52" s="556"/>
      <c r="RRV52" s="556"/>
      <c r="RRW52" s="556"/>
      <c r="RRX52" s="556"/>
      <c r="RRY52" s="556"/>
      <c r="RRZ52" s="556"/>
      <c r="RSA52" s="556"/>
      <c r="RSB52" s="556"/>
      <c r="RSC52" s="556"/>
      <c r="RSD52" s="556"/>
      <c r="RSE52" s="556"/>
      <c r="RSF52" s="556"/>
      <c r="RSG52" s="556"/>
      <c r="RSH52" s="556"/>
      <c r="RSI52" s="556"/>
      <c r="RSJ52" s="556"/>
      <c r="RSK52" s="556"/>
      <c r="RSL52" s="556"/>
      <c r="RSM52" s="556"/>
      <c r="RSN52" s="556"/>
      <c r="RSO52" s="556"/>
      <c r="RSP52" s="556"/>
      <c r="RSQ52" s="556"/>
      <c r="RSR52" s="556"/>
      <c r="RSS52" s="556"/>
      <c r="RST52" s="556"/>
      <c r="RSU52" s="556"/>
      <c r="RSV52" s="556"/>
      <c r="RSW52" s="556"/>
      <c r="RSX52" s="556"/>
      <c r="RSY52" s="556"/>
      <c r="RSZ52" s="556"/>
      <c r="RTA52" s="556"/>
      <c r="RTB52" s="556"/>
      <c r="RTC52" s="556"/>
      <c r="RTD52" s="556"/>
      <c r="RTE52" s="556"/>
      <c r="RTF52" s="556"/>
      <c r="RTG52" s="556"/>
      <c r="RTH52" s="556"/>
      <c r="RTI52" s="556"/>
      <c r="RTJ52" s="556"/>
      <c r="RTK52" s="556"/>
      <c r="RTL52" s="556"/>
      <c r="RTM52" s="556"/>
      <c r="RTN52" s="556"/>
      <c r="RTO52" s="556"/>
      <c r="RTP52" s="556"/>
      <c r="RTQ52" s="556"/>
      <c r="RTR52" s="556"/>
      <c r="RTS52" s="556"/>
      <c r="RTT52" s="556"/>
      <c r="RTU52" s="556"/>
      <c r="RTV52" s="556"/>
      <c r="RTW52" s="556"/>
      <c r="RTX52" s="556"/>
      <c r="RTY52" s="556"/>
      <c r="RTZ52" s="556"/>
      <c r="RUA52" s="556"/>
      <c r="RUB52" s="556"/>
      <c r="RUC52" s="556"/>
      <c r="RUD52" s="556"/>
      <c r="RUE52" s="556"/>
      <c r="RUF52" s="556"/>
      <c r="RUG52" s="556"/>
      <c r="RUH52" s="556"/>
      <c r="RUI52" s="556"/>
      <c r="RUJ52" s="556"/>
      <c r="RUK52" s="556"/>
      <c r="RUL52" s="556"/>
      <c r="RUM52" s="556"/>
      <c r="RUN52" s="556"/>
      <c r="RUO52" s="556"/>
      <c r="RUP52" s="556"/>
      <c r="RUQ52" s="556"/>
      <c r="RUR52" s="556"/>
      <c r="RUS52" s="556"/>
      <c r="RUT52" s="556"/>
      <c r="RUU52" s="556"/>
      <c r="RUV52" s="556"/>
      <c r="RUW52" s="556"/>
      <c r="RUX52" s="556"/>
      <c r="RUY52" s="556"/>
      <c r="RUZ52" s="556"/>
      <c r="RVA52" s="556"/>
      <c r="RVB52" s="556"/>
      <c r="RVC52" s="556"/>
      <c r="RVD52" s="556"/>
      <c r="RVE52" s="556"/>
      <c r="RVF52" s="556"/>
      <c r="RVG52" s="556"/>
      <c r="RVH52" s="556"/>
      <c r="RVI52" s="556"/>
      <c r="RVJ52" s="556"/>
      <c r="RVK52" s="556"/>
      <c r="RVL52" s="556"/>
      <c r="RVM52" s="556"/>
      <c r="RVN52" s="556"/>
      <c r="RVO52" s="556"/>
      <c r="RVP52" s="556"/>
      <c r="RVQ52" s="556"/>
      <c r="RVR52" s="556"/>
      <c r="RVS52" s="556"/>
      <c r="RVT52" s="556"/>
      <c r="RVU52" s="556"/>
      <c r="RVV52" s="556"/>
      <c r="RVW52" s="556"/>
      <c r="RVX52" s="556"/>
      <c r="RVY52" s="556"/>
      <c r="RVZ52" s="556"/>
      <c r="RWA52" s="556"/>
      <c r="RWB52" s="556"/>
      <c r="RWC52" s="556"/>
      <c r="RWD52" s="556"/>
      <c r="RWE52" s="556"/>
      <c r="RWF52" s="556"/>
      <c r="RWG52" s="556"/>
      <c r="RWH52" s="556"/>
      <c r="RWI52" s="556"/>
      <c r="RWJ52" s="556"/>
      <c r="RWK52" s="556"/>
      <c r="RWL52" s="556"/>
      <c r="RWM52" s="556"/>
      <c r="RWN52" s="556"/>
      <c r="RWO52" s="556"/>
      <c r="RWP52" s="556"/>
      <c r="RWQ52" s="556"/>
      <c r="RWR52" s="556"/>
      <c r="RWS52" s="556"/>
      <c r="RWT52" s="556"/>
      <c r="RWU52" s="556"/>
      <c r="RWV52" s="556"/>
      <c r="RWW52" s="556"/>
      <c r="RWX52" s="556"/>
      <c r="RWY52" s="556"/>
      <c r="RWZ52" s="556"/>
      <c r="RXA52" s="556"/>
      <c r="RXB52" s="556"/>
      <c r="RXC52" s="556"/>
      <c r="RXD52" s="556"/>
      <c r="RXE52" s="556"/>
      <c r="RXF52" s="556"/>
      <c r="RXG52" s="556"/>
      <c r="RXH52" s="556"/>
      <c r="RXI52" s="556"/>
      <c r="RXJ52" s="556"/>
      <c r="RXK52" s="556"/>
      <c r="RXL52" s="556"/>
      <c r="RXM52" s="556"/>
      <c r="RXN52" s="556"/>
      <c r="RXO52" s="556"/>
      <c r="RXP52" s="556"/>
      <c r="RXQ52" s="556"/>
      <c r="RXR52" s="556"/>
      <c r="RXS52" s="556"/>
      <c r="RXT52" s="556"/>
      <c r="RXU52" s="556"/>
      <c r="RXV52" s="556"/>
      <c r="RXW52" s="556"/>
      <c r="RXX52" s="556"/>
      <c r="RXY52" s="556"/>
      <c r="RXZ52" s="556"/>
      <c r="RYA52" s="556"/>
      <c r="RYB52" s="556"/>
      <c r="RYC52" s="556"/>
      <c r="RYD52" s="556"/>
      <c r="RYE52" s="556"/>
      <c r="RYF52" s="556"/>
      <c r="RYG52" s="556"/>
      <c r="RYH52" s="556"/>
      <c r="RYI52" s="556"/>
      <c r="RYJ52" s="556"/>
      <c r="RYK52" s="556"/>
      <c r="RYL52" s="556"/>
      <c r="RYM52" s="556"/>
      <c r="RYN52" s="556"/>
      <c r="RYO52" s="556"/>
      <c r="RYP52" s="556"/>
      <c r="RYQ52" s="556"/>
      <c r="RYR52" s="556"/>
      <c r="RYS52" s="556"/>
      <c r="RYT52" s="556"/>
      <c r="RYU52" s="556"/>
      <c r="RYV52" s="556"/>
      <c r="RYW52" s="556"/>
      <c r="RYX52" s="556"/>
      <c r="RYY52" s="556"/>
      <c r="RYZ52" s="556"/>
      <c r="RZA52" s="556"/>
      <c r="RZB52" s="556"/>
      <c r="RZC52" s="556"/>
      <c r="RZD52" s="556"/>
      <c r="RZE52" s="556"/>
      <c r="RZF52" s="556"/>
      <c r="RZG52" s="556"/>
      <c r="RZH52" s="556"/>
      <c r="RZI52" s="556"/>
      <c r="RZJ52" s="556"/>
      <c r="RZK52" s="556"/>
      <c r="RZL52" s="556"/>
      <c r="RZM52" s="556"/>
      <c r="RZN52" s="556"/>
      <c r="RZO52" s="556"/>
      <c r="RZP52" s="556"/>
      <c r="RZQ52" s="556"/>
      <c r="RZR52" s="556"/>
      <c r="RZS52" s="556"/>
      <c r="RZT52" s="556"/>
      <c r="RZU52" s="556"/>
      <c r="RZV52" s="556"/>
      <c r="RZW52" s="556"/>
      <c r="RZX52" s="556"/>
      <c r="RZY52" s="556"/>
      <c r="RZZ52" s="556"/>
      <c r="SAA52" s="556"/>
      <c r="SAB52" s="556"/>
      <c r="SAC52" s="556"/>
      <c r="SAD52" s="556"/>
      <c r="SAE52" s="556"/>
      <c r="SAF52" s="556"/>
      <c r="SAG52" s="556"/>
      <c r="SAH52" s="556"/>
      <c r="SAI52" s="556"/>
      <c r="SAJ52" s="556"/>
      <c r="SAK52" s="556"/>
      <c r="SAL52" s="556"/>
      <c r="SAM52" s="556"/>
      <c r="SAN52" s="556"/>
      <c r="SAO52" s="556"/>
      <c r="SAP52" s="556"/>
      <c r="SAQ52" s="556"/>
      <c r="SAR52" s="556"/>
      <c r="SAS52" s="556"/>
      <c r="SAT52" s="556"/>
      <c r="SAU52" s="556"/>
      <c r="SAV52" s="556"/>
      <c r="SAW52" s="556"/>
      <c r="SAX52" s="556"/>
      <c r="SAY52" s="556"/>
      <c r="SAZ52" s="556"/>
      <c r="SBA52" s="556"/>
      <c r="SBB52" s="556"/>
      <c r="SBC52" s="556"/>
      <c r="SBD52" s="556"/>
      <c r="SBE52" s="556"/>
      <c r="SBF52" s="556"/>
      <c r="SBG52" s="556"/>
      <c r="SBH52" s="556"/>
      <c r="SBI52" s="556"/>
      <c r="SBJ52" s="556"/>
      <c r="SBK52" s="556"/>
      <c r="SBL52" s="556"/>
      <c r="SBM52" s="556"/>
      <c r="SBN52" s="556"/>
      <c r="SBO52" s="556"/>
      <c r="SBP52" s="556"/>
      <c r="SBQ52" s="556"/>
      <c r="SBR52" s="556"/>
      <c r="SBS52" s="556"/>
      <c r="SBT52" s="556"/>
      <c r="SBU52" s="556"/>
      <c r="SBV52" s="556"/>
      <c r="SBW52" s="556"/>
      <c r="SBX52" s="556"/>
      <c r="SBY52" s="556"/>
      <c r="SBZ52" s="556"/>
      <c r="SCA52" s="556"/>
      <c r="SCB52" s="556"/>
      <c r="SCC52" s="556"/>
      <c r="SCD52" s="556"/>
      <c r="SCE52" s="556"/>
      <c r="SCF52" s="556"/>
      <c r="SCG52" s="556"/>
      <c r="SCH52" s="556"/>
      <c r="SCI52" s="556"/>
      <c r="SCJ52" s="556"/>
      <c r="SCK52" s="556"/>
      <c r="SCL52" s="556"/>
      <c r="SCM52" s="556"/>
      <c r="SCN52" s="556"/>
      <c r="SCO52" s="556"/>
      <c r="SCP52" s="556"/>
      <c r="SCQ52" s="556"/>
      <c r="SCR52" s="556"/>
      <c r="SCS52" s="556"/>
      <c r="SCT52" s="556"/>
      <c r="SCU52" s="556"/>
      <c r="SCV52" s="556"/>
      <c r="SCW52" s="556"/>
      <c r="SCX52" s="556"/>
      <c r="SCY52" s="556"/>
      <c r="SCZ52" s="556"/>
      <c r="SDA52" s="556"/>
      <c r="SDB52" s="556"/>
      <c r="SDC52" s="556"/>
      <c r="SDD52" s="556"/>
      <c r="SDE52" s="556"/>
      <c r="SDF52" s="556"/>
      <c r="SDG52" s="556"/>
      <c r="SDH52" s="556"/>
      <c r="SDI52" s="556"/>
      <c r="SDJ52" s="556"/>
      <c r="SDK52" s="556"/>
      <c r="SDL52" s="556"/>
      <c r="SDM52" s="556"/>
      <c r="SDN52" s="556"/>
      <c r="SDO52" s="556"/>
      <c r="SDP52" s="556"/>
      <c r="SDQ52" s="556"/>
      <c r="SDR52" s="556"/>
      <c r="SDS52" s="556"/>
      <c r="SDT52" s="556"/>
      <c r="SDU52" s="556"/>
      <c r="SDV52" s="556"/>
      <c r="SDW52" s="556"/>
      <c r="SDX52" s="556"/>
      <c r="SDY52" s="556"/>
      <c r="SDZ52" s="556"/>
      <c r="SEA52" s="556"/>
      <c r="SEB52" s="556"/>
      <c r="SEC52" s="556"/>
      <c r="SED52" s="556"/>
      <c r="SEE52" s="556"/>
      <c r="SEF52" s="556"/>
      <c r="SEG52" s="556"/>
      <c r="SEH52" s="556"/>
      <c r="SEI52" s="556"/>
      <c r="SEJ52" s="556"/>
      <c r="SEK52" s="556"/>
      <c r="SEL52" s="556"/>
      <c r="SEM52" s="556"/>
      <c r="SEN52" s="556"/>
      <c r="SEO52" s="556"/>
      <c r="SEP52" s="556"/>
      <c r="SEQ52" s="556"/>
      <c r="SER52" s="556"/>
      <c r="SES52" s="556"/>
      <c r="SET52" s="556"/>
      <c r="SEU52" s="556"/>
      <c r="SEV52" s="556"/>
      <c r="SEW52" s="556"/>
      <c r="SEX52" s="556"/>
      <c r="SEY52" s="556"/>
      <c r="SEZ52" s="556"/>
      <c r="SFA52" s="556"/>
      <c r="SFB52" s="556"/>
      <c r="SFC52" s="556"/>
      <c r="SFD52" s="556"/>
      <c r="SFE52" s="556"/>
      <c r="SFF52" s="556"/>
      <c r="SFG52" s="556"/>
      <c r="SFH52" s="556"/>
      <c r="SFI52" s="556"/>
      <c r="SFJ52" s="556"/>
      <c r="SFK52" s="556"/>
      <c r="SFL52" s="556"/>
      <c r="SFM52" s="556"/>
      <c r="SFN52" s="556"/>
      <c r="SFO52" s="556"/>
      <c r="SFP52" s="556"/>
      <c r="SFQ52" s="556"/>
      <c r="SFR52" s="556"/>
      <c r="SFS52" s="556"/>
      <c r="SFT52" s="556"/>
      <c r="SFU52" s="556"/>
      <c r="SFV52" s="556"/>
      <c r="SFW52" s="556"/>
      <c r="SFX52" s="556"/>
      <c r="SFY52" s="556"/>
      <c r="SFZ52" s="556"/>
      <c r="SGA52" s="556"/>
      <c r="SGB52" s="556"/>
      <c r="SGC52" s="556"/>
      <c r="SGD52" s="556"/>
      <c r="SGE52" s="556"/>
      <c r="SGF52" s="556"/>
      <c r="SGG52" s="556"/>
      <c r="SGH52" s="556"/>
      <c r="SGI52" s="556"/>
      <c r="SGJ52" s="556"/>
      <c r="SGK52" s="556"/>
      <c r="SGL52" s="556"/>
      <c r="SGM52" s="556"/>
      <c r="SGN52" s="556"/>
      <c r="SGO52" s="556"/>
      <c r="SGP52" s="556"/>
      <c r="SGQ52" s="556"/>
      <c r="SGR52" s="556"/>
      <c r="SGS52" s="556"/>
      <c r="SGT52" s="556"/>
      <c r="SGU52" s="556"/>
      <c r="SGV52" s="556"/>
      <c r="SGW52" s="556"/>
      <c r="SGX52" s="556"/>
      <c r="SGY52" s="556"/>
      <c r="SGZ52" s="556"/>
      <c r="SHA52" s="556"/>
      <c r="SHB52" s="556"/>
      <c r="SHC52" s="556"/>
      <c r="SHD52" s="556"/>
      <c r="SHE52" s="556"/>
      <c r="SHF52" s="556"/>
      <c r="SHG52" s="556"/>
      <c r="SHH52" s="556"/>
      <c r="SHI52" s="556"/>
      <c r="SHJ52" s="556"/>
      <c r="SHK52" s="556"/>
      <c r="SHL52" s="556"/>
      <c r="SHM52" s="556"/>
      <c r="SHN52" s="556"/>
      <c r="SHO52" s="556"/>
      <c r="SHP52" s="556"/>
      <c r="SHQ52" s="556"/>
      <c r="SHR52" s="556"/>
      <c r="SHS52" s="556"/>
      <c r="SHT52" s="556"/>
      <c r="SHU52" s="556"/>
      <c r="SHV52" s="556"/>
      <c r="SHW52" s="556"/>
      <c r="SHX52" s="556"/>
      <c r="SHY52" s="556"/>
      <c r="SHZ52" s="556"/>
      <c r="SIA52" s="556"/>
      <c r="SIB52" s="556"/>
      <c r="SIC52" s="556"/>
      <c r="SID52" s="556"/>
      <c r="SIE52" s="556"/>
      <c r="SIF52" s="556"/>
      <c r="SIG52" s="556"/>
      <c r="SIH52" s="556"/>
      <c r="SII52" s="556"/>
      <c r="SIJ52" s="556"/>
      <c r="SIK52" s="556"/>
      <c r="SIL52" s="556"/>
      <c r="SIM52" s="556"/>
      <c r="SIN52" s="556"/>
      <c r="SIO52" s="556"/>
      <c r="SIP52" s="556"/>
      <c r="SIQ52" s="556"/>
      <c r="SIR52" s="556"/>
      <c r="SIS52" s="556"/>
      <c r="SIT52" s="556"/>
      <c r="SIU52" s="556"/>
      <c r="SIV52" s="556"/>
      <c r="SIW52" s="556"/>
      <c r="SIX52" s="556"/>
      <c r="SIY52" s="556"/>
      <c r="SIZ52" s="556"/>
      <c r="SJA52" s="556"/>
      <c r="SJB52" s="556"/>
      <c r="SJC52" s="556"/>
      <c r="SJD52" s="556"/>
      <c r="SJE52" s="556"/>
      <c r="SJF52" s="556"/>
      <c r="SJG52" s="556"/>
      <c r="SJH52" s="556"/>
      <c r="SJI52" s="556"/>
      <c r="SJJ52" s="556"/>
      <c r="SJK52" s="556"/>
      <c r="SJL52" s="556"/>
      <c r="SJM52" s="556"/>
      <c r="SJN52" s="556"/>
      <c r="SJO52" s="556"/>
      <c r="SJP52" s="556"/>
      <c r="SJQ52" s="556"/>
      <c r="SJR52" s="556"/>
      <c r="SJS52" s="556"/>
      <c r="SJT52" s="556"/>
      <c r="SJU52" s="556"/>
      <c r="SJV52" s="556"/>
      <c r="SJW52" s="556"/>
      <c r="SJX52" s="556"/>
      <c r="SJY52" s="556"/>
      <c r="SJZ52" s="556"/>
      <c r="SKA52" s="556"/>
      <c r="SKB52" s="556"/>
      <c r="SKC52" s="556"/>
      <c r="SKD52" s="556"/>
      <c r="SKE52" s="556"/>
      <c r="SKF52" s="556"/>
      <c r="SKG52" s="556"/>
      <c r="SKH52" s="556"/>
      <c r="SKI52" s="556"/>
      <c r="SKJ52" s="556"/>
      <c r="SKK52" s="556"/>
      <c r="SKL52" s="556"/>
      <c r="SKM52" s="556"/>
      <c r="SKN52" s="556"/>
      <c r="SKO52" s="556"/>
      <c r="SKP52" s="556"/>
      <c r="SKQ52" s="556"/>
      <c r="SKR52" s="556"/>
      <c r="SKS52" s="556"/>
      <c r="SKT52" s="556"/>
      <c r="SKU52" s="556"/>
      <c r="SKV52" s="556"/>
      <c r="SKW52" s="556"/>
      <c r="SKX52" s="556"/>
      <c r="SKY52" s="556"/>
      <c r="SKZ52" s="556"/>
      <c r="SLA52" s="556"/>
      <c r="SLB52" s="556"/>
      <c r="SLC52" s="556"/>
      <c r="SLD52" s="556"/>
      <c r="SLE52" s="556"/>
      <c r="SLF52" s="556"/>
      <c r="SLG52" s="556"/>
      <c r="SLH52" s="556"/>
      <c r="SLI52" s="556"/>
      <c r="SLJ52" s="556"/>
      <c r="SLK52" s="556"/>
      <c r="SLL52" s="556"/>
      <c r="SLM52" s="556"/>
      <c r="SLN52" s="556"/>
      <c r="SLO52" s="556"/>
      <c r="SLP52" s="556"/>
      <c r="SLQ52" s="556"/>
      <c r="SLR52" s="556"/>
      <c r="SLS52" s="556"/>
      <c r="SLT52" s="556"/>
      <c r="SLU52" s="556"/>
      <c r="SLV52" s="556"/>
      <c r="SLW52" s="556"/>
      <c r="SLX52" s="556"/>
      <c r="SLY52" s="556"/>
      <c r="SLZ52" s="556"/>
      <c r="SMA52" s="556"/>
      <c r="SMB52" s="556"/>
      <c r="SMC52" s="556"/>
      <c r="SMD52" s="556"/>
      <c r="SME52" s="556"/>
      <c r="SMF52" s="556"/>
      <c r="SMG52" s="556"/>
      <c r="SMH52" s="556"/>
      <c r="SMI52" s="556"/>
      <c r="SMJ52" s="556"/>
      <c r="SMK52" s="556"/>
      <c r="SML52" s="556"/>
      <c r="SMM52" s="556"/>
      <c r="SMN52" s="556"/>
      <c r="SMO52" s="556"/>
      <c r="SMP52" s="556"/>
      <c r="SMQ52" s="556"/>
      <c r="SMR52" s="556"/>
      <c r="SMS52" s="556"/>
      <c r="SMT52" s="556"/>
      <c r="SMU52" s="556"/>
      <c r="SMV52" s="556"/>
      <c r="SMW52" s="556"/>
      <c r="SMX52" s="556"/>
      <c r="SMY52" s="556"/>
      <c r="SMZ52" s="556"/>
      <c r="SNA52" s="556"/>
      <c r="SNB52" s="556"/>
      <c r="SNC52" s="556"/>
      <c r="SND52" s="556"/>
      <c r="SNE52" s="556"/>
      <c r="SNF52" s="556"/>
      <c r="SNG52" s="556"/>
      <c r="SNH52" s="556"/>
      <c r="SNI52" s="556"/>
      <c r="SNJ52" s="556"/>
      <c r="SNK52" s="556"/>
      <c r="SNL52" s="556"/>
      <c r="SNM52" s="556"/>
      <c r="SNN52" s="556"/>
      <c r="SNO52" s="556"/>
      <c r="SNP52" s="556"/>
      <c r="SNQ52" s="556"/>
      <c r="SNR52" s="556"/>
      <c r="SNS52" s="556"/>
      <c r="SNT52" s="556"/>
      <c r="SNU52" s="556"/>
      <c r="SNV52" s="556"/>
      <c r="SNW52" s="556"/>
      <c r="SNX52" s="556"/>
      <c r="SNY52" s="556"/>
      <c r="SNZ52" s="556"/>
      <c r="SOA52" s="556"/>
      <c r="SOB52" s="556"/>
      <c r="SOC52" s="556"/>
      <c r="SOD52" s="556"/>
      <c r="SOE52" s="556"/>
      <c r="SOF52" s="556"/>
      <c r="SOG52" s="556"/>
      <c r="SOH52" s="556"/>
      <c r="SOI52" s="556"/>
      <c r="SOJ52" s="556"/>
      <c r="SOK52" s="556"/>
      <c r="SOL52" s="556"/>
      <c r="SOM52" s="556"/>
      <c r="SON52" s="556"/>
      <c r="SOO52" s="556"/>
      <c r="SOP52" s="556"/>
      <c r="SOQ52" s="556"/>
      <c r="SOR52" s="556"/>
      <c r="SOS52" s="556"/>
      <c r="SOT52" s="556"/>
      <c r="SOU52" s="556"/>
      <c r="SOV52" s="556"/>
      <c r="SOW52" s="556"/>
      <c r="SOX52" s="556"/>
      <c r="SOY52" s="556"/>
      <c r="SOZ52" s="556"/>
      <c r="SPA52" s="556"/>
      <c r="SPB52" s="556"/>
      <c r="SPC52" s="556"/>
      <c r="SPD52" s="556"/>
      <c r="SPE52" s="556"/>
      <c r="SPF52" s="556"/>
      <c r="SPG52" s="556"/>
      <c r="SPH52" s="556"/>
      <c r="SPI52" s="556"/>
      <c r="SPJ52" s="556"/>
      <c r="SPK52" s="556"/>
      <c r="SPL52" s="556"/>
      <c r="SPM52" s="556"/>
      <c r="SPN52" s="556"/>
      <c r="SPO52" s="556"/>
      <c r="SPP52" s="556"/>
      <c r="SPQ52" s="556"/>
      <c r="SPR52" s="556"/>
      <c r="SPS52" s="556"/>
      <c r="SPT52" s="556"/>
      <c r="SPU52" s="556"/>
      <c r="SPV52" s="556"/>
      <c r="SPW52" s="556"/>
      <c r="SPX52" s="556"/>
      <c r="SPY52" s="556"/>
      <c r="SPZ52" s="556"/>
      <c r="SQA52" s="556"/>
      <c r="SQB52" s="556"/>
      <c r="SQC52" s="556"/>
      <c r="SQD52" s="556"/>
      <c r="SQE52" s="556"/>
      <c r="SQF52" s="556"/>
      <c r="SQG52" s="556"/>
      <c r="SQH52" s="556"/>
      <c r="SQI52" s="556"/>
      <c r="SQJ52" s="556"/>
      <c r="SQK52" s="556"/>
      <c r="SQL52" s="556"/>
      <c r="SQM52" s="556"/>
      <c r="SQN52" s="556"/>
      <c r="SQO52" s="556"/>
      <c r="SQP52" s="556"/>
      <c r="SQQ52" s="556"/>
      <c r="SQR52" s="556"/>
      <c r="SQS52" s="556"/>
      <c r="SQT52" s="556"/>
      <c r="SQU52" s="556"/>
      <c r="SQV52" s="556"/>
      <c r="SQW52" s="556"/>
      <c r="SQX52" s="556"/>
      <c r="SQY52" s="556"/>
      <c r="SQZ52" s="556"/>
      <c r="SRA52" s="556"/>
      <c r="SRB52" s="556"/>
      <c r="SRC52" s="556"/>
      <c r="SRD52" s="556"/>
      <c r="SRE52" s="556"/>
      <c r="SRF52" s="556"/>
      <c r="SRG52" s="556"/>
      <c r="SRH52" s="556"/>
      <c r="SRI52" s="556"/>
      <c r="SRJ52" s="556"/>
      <c r="SRK52" s="556"/>
      <c r="SRL52" s="556"/>
      <c r="SRM52" s="556"/>
      <c r="SRN52" s="556"/>
      <c r="SRO52" s="556"/>
      <c r="SRP52" s="556"/>
      <c r="SRQ52" s="556"/>
      <c r="SRR52" s="556"/>
      <c r="SRS52" s="556"/>
      <c r="SRT52" s="556"/>
      <c r="SRU52" s="556"/>
      <c r="SRV52" s="556"/>
      <c r="SRW52" s="556"/>
      <c r="SRX52" s="556"/>
      <c r="SRY52" s="556"/>
      <c r="SRZ52" s="556"/>
      <c r="SSA52" s="556"/>
      <c r="SSB52" s="556"/>
      <c r="SSC52" s="556"/>
      <c r="SSD52" s="556"/>
      <c r="SSE52" s="556"/>
      <c r="SSF52" s="556"/>
      <c r="SSG52" s="556"/>
      <c r="SSH52" s="556"/>
      <c r="SSI52" s="556"/>
      <c r="SSJ52" s="556"/>
      <c r="SSK52" s="556"/>
      <c r="SSL52" s="556"/>
      <c r="SSM52" s="556"/>
      <c r="SSN52" s="556"/>
      <c r="SSO52" s="556"/>
      <c r="SSP52" s="556"/>
      <c r="SSQ52" s="556"/>
      <c r="SSR52" s="556"/>
      <c r="SSS52" s="556"/>
      <c r="SST52" s="556"/>
      <c r="SSU52" s="556"/>
      <c r="SSV52" s="556"/>
      <c r="SSW52" s="556"/>
      <c r="SSX52" s="556"/>
      <c r="SSY52" s="556"/>
      <c r="SSZ52" s="556"/>
      <c r="STA52" s="556"/>
      <c r="STB52" s="556"/>
      <c r="STC52" s="556"/>
      <c r="STD52" s="556"/>
      <c r="STE52" s="556"/>
      <c r="STF52" s="556"/>
      <c r="STG52" s="556"/>
      <c r="STH52" s="556"/>
      <c r="STI52" s="556"/>
      <c r="STJ52" s="556"/>
      <c r="STK52" s="556"/>
      <c r="STL52" s="556"/>
      <c r="STM52" s="556"/>
      <c r="STN52" s="556"/>
      <c r="STO52" s="556"/>
      <c r="STP52" s="556"/>
      <c r="STQ52" s="556"/>
      <c r="STR52" s="556"/>
      <c r="STS52" s="556"/>
      <c r="STT52" s="556"/>
      <c r="STU52" s="556"/>
      <c r="STV52" s="556"/>
      <c r="STW52" s="556"/>
      <c r="STX52" s="556"/>
      <c r="STY52" s="556"/>
      <c r="STZ52" s="556"/>
      <c r="SUA52" s="556"/>
      <c r="SUB52" s="556"/>
      <c r="SUC52" s="556"/>
      <c r="SUD52" s="556"/>
      <c r="SUE52" s="556"/>
      <c r="SUF52" s="556"/>
      <c r="SUG52" s="556"/>
      <c r="SUH52" s="556"/>
      <c r="SUI52" s="556"/>
      <c r="SUJ52" s="556"/>
      <c r="SUK52" s="556"/>
      <c r="SUL52" s="556"/>
      <c r="SUM52" s="556"/>
      <c r="SUN52" s="556"/>
      <c r="SUO52" s="556"/>
      <c r="SUP52" s="556"/>
      <c r="SUQ52" s="556"/>
      <c r="SUR52" s="556"/>
      <c r="SUS52" s="556"/>
      <c r="SUT52" s="556"/>
      <c r="SUU52" s="556"/>
      <c r="SUV52" s="556"/>
      <c r="SUW52" s="556"/>
      <c r="SUX52" s="556"/>
      <c r="SUY52" s="556"/>
      <c r="SUZ52" s="556"/>
      <c r="SVA52" s="556"/>
      <c r="SVB52" s="556"/>
      <c r="SVC52" s="556"/>
      <c r="SVD52" s="556"/>
      <c r="SVE52" s="556"/>
      <c r="SVF52" s="556"/>
      <c r="SVG52" s="556"/>
      <c r="SVH52" s="556"/>
      <c r="SVI52" s="556"/>
      <c r="SVJ52" s="556"/>
      <c r="SVK52" s="556"/>
      <c r="SVL52" s="556"/>
      <c r="SVM52" s="556"/>
      <c r="SVN52" s="556"/>
      <c r="SVO52" s="556"/>
      <c r="SVP52" s="556"/>
      <c r="SVQ52" s="556"/>
      <c r="SVR52" s="556"/>
      <c r="SVS52" s="556"/>
      <c r="SVT52" s="556"/>
      <c r="SVU52" s="556"/>
      <c r="SVV52" s="556"/>
      <c r="SVW52" s="556"/>
      <c r="SVX52" s="556"/>
      <c r="SVY52" s="556"/>
      <c r="SVZ52" s="556"/>
      <c r="SWA52" s="556"/>
      <c r="SWB52" s="556"/>
      <c r="SWC52" s="556"/>
      <c r="SWD52" s="556"/>
      <c r="SWE52" s="556"/>
      <c r="SWF52" s="556"/>
      <c r="SWG52" s="556"/>
      <c r="SWH52" s="556"/>
      <c r="SWI52" s="556"/>
      <c r="SWJ52" s="556"/>
      <c r="SWK52" s="556"/>
      <c r="SWL52" s="556"/>
      <c r="SWM52" s="556"/>
      <c r="SWN52" s="556"/>
      <c r="SWO52" s="556"/>
      <c r="SWP52" s="556"/>
      <c r="SWQ52" s="556"/>
      <c r="SWR52" s="556"/>
      <c r="SWS52" s="556"/>
      <c r="SWT52" s="556"/>
      <c r="SWU52" s="556"/>
      <c r="SWV52" s="556"/>
      <c r="SWW52" s="556"/>
      <c r="SWX52" s="556"/>
      <c r="SWY52" s="556"/>
      <c r="SWZ52" s="556"/>
      <c r="SXA52" s="556"/>
      <c r="SXB52" s="556"/>
      <c r="SXC52" s="556"/>
      <c r="SXD52" s="556"/>
      <c r="SXE52" s="556"/>
      <c r="SXF52" s="556"/>
      <c r="SXG52" s="556"/>
      <c r="SXH52" s="556"/>
      <c r="SXI52" s="556"/>
      <c r="SXJ52" s="556"/>
      <c r="SXK52" s="556"/>
      <c r="SXL52" s="556"/>
      <c r="SXM52" s="556"/>
      <c r="SXN52" s="556"/>
      <c r="SXO52" s="556"/>
      <c r="SXP52" s="556"/>
      <c r="SXQ52" s="556"/>
      <c r="SXR52" s="556"/>
      <c r="SXS52" s="556"/>
      <c r="SXT52" s="556"/>
      <c r="SXU52" s="556"/>
      <c r="SXV52" s="556"/>
      <c r="SXW52" s="556"/>
      <c r="SXX52" s="556"/>
      <c r="SXY52" s="556"/>
      <c r="SXZ52" s="556"/>
      <c r="SYA52" s="556"/>
      <c r="SYB52" s="556"/>
      <c r="SYC52" s="556"/>
      <c r="SYD52" s="556"/>
      <c r="SYE52" s="556"/>
      <c r="SYF52" s="556"/>
      <c r="SYG52" s="556"/>
      <c r="SYH52" s="556"/>
      <c r="SYI52" s="556"/>
      <c r="SYJ52" s="556"/>
      <c r="SYK52" s="556"/>
      <c r="SYL52" s="556"/>
      <c r="SYM52" s="556"/>
      <c r="SYN52" s="556"/>
      <c r="SYO52" s="556"/>
      <c r="SYP52" s="556"/>
      <c r="SYQ52" s="556"/>
      <c r="SYR52" s="556"/>
      <c r="SYS52" s="556"/>
      <c r="SYT52" s="556"/>
      <c r="SYU52" s="556"/>
      <c r="SYV52" s="556"/>
      <c r="SYW52" s="556"/>
      <c r="SYX52" s="556"/>
      <c r="SYY52" s="556"/>
      <c r="SYZ52" s="556"/>
      <c r="SZA52" s="556"/>
      <c r="SZB52" s="556"/>
      <c r="SZC52" s="556"/>
      <c r="SZD52" s="556"/>
      <c r="SZE52" s="556"/>
      <c r="SZF52" s="556"/>
      <c r="SZG52" s="556"/>
      <c r="SZH52" s="556"/>
      <c r="SZI52" s="556"/>
      <c r="SZJ52" s="556"/>
      <c r="SZK52" s="556"/>
      <c r="SZL52" s="556"/>
      <c r="SZM52" s="556"/>
      <c r="SZN52" s="556"/>
      <c r="SZO52" s="556"/>
      <c r="SZP52" s="556"/>
      <c r="SZQ52" s="556"/>
      <c r="SZR52" s="556"/>
      <c r="SZS52" s="556"/>
      <c r="SZT52" s="556"/>
      <c r="SZU52" s="556"/>
      <c r="SZV52" s="556"/>
      <c r="SZW52" s="556"/>
      <c r="SZX52" s="556"/>
      <c r="SZY52" s="556"/>
      <c r="SZZ52" s="556"/>
      <c r="TAA52" s="556"/>
      <c r="TAB52" s="556"/>
      <c r="TAC52" s="556"/>
      <c r="TAD52" s="556"/>
      <c r="TAE52" s="556"/>
      <c r="TAF52" s="556"/>
      <c r="TAG52" s="556"/>
      <c r="TAH52" s="556"/>
      <c r="TAI52" s="556"/>
      <c r="TAJ52" s="556"/>
      <c r="TAK52" s="556"/>
      <c r="TAL52" s="556"/>
      <c r="TAM52" s="556"/>
      <c r="TAN52" s="556"/>
      <c r="TAO52" s="556"/>
      <c r="TAP52" s="556"/>
      <c r="TAQ52" s="556"/>
      <c r="TAR52" s="556"/>
      <c r="TAS52" s="556"/>
      <c r="TAT52" s="556"/>
      <c r="TAU52" s="556"/>
      <c r="TAV52" s="556"/>
      <c r="TAW52" s="556"/>
      <c r="TAX52" s="556"/>
      <c r="TAY52" s="556"/>
      <c r="TAZ52" s="556"/>
      <c r="TBA52" s="556"/>
      <c r="TBB52" s="556"/>
      <c r="TBC52" s="556"/>
      <c r="TBD52" s="556"/>
      <c r="TBE52" s="556"/>
      <c r="TBF52" s="556"/>
      <c r="TBG52" s="556"/>
      <c r="TBH52" s="556"/>
      <c r="TBI52" s="556"/>
      <c r="TBJ52" s="556"/>
      <c r="TBK52" s="556"/>
      <c r="TBL52" s="556"/>
      <c r="TBM52" s="556"/>
      <c r="TBN52" s="556"/>
      <c r="TBO52" s="556"/>
      <c r="TBP52" s="556"/>
      <c r="TBQ52" s="556"/>
      <c r="TBR52" s="556"/>
      <c r="TBS52" s="556"/>
      <c r="TBT52" s="556"/>
      <c r="TBU52" s="556"/>
      <c r="TBV52" s="556"/>
      <c r="TBW52" s="556"/>
      <c r="TBX52" s="556"/>
      <c r="TBY52" s="556"/>
      <c r="TBZ52" s="556"/>
      <c r="TCA52" s="556"/>
      <c r="TCB52" s="556"/>
      <c r="TCC52" s="556"/>
      <c r="TCD52" s="556"/>
      <c r="TCE52" s="556"/>
      <c r="TCF52" s="556"/>
      <c r="TCG52" s="556"/>
      <c r="TCH52" s="556"/>
      <c r="TCI52" s="556"/>
      <c r="TCJ52" s="556"/>
      <c r="TCK52" s="556"/>
      <c r="TCL52" s="556"/>
      <c r="TCM52" s="556"/>
      <c r="TCN52" s="556"/>
      <c r="TCO52" s="556"/>
      <c r="TCP52" s="556"/>
      <c r="TCQ52" s="556"/>
      <c r="TCR52" s="556"/>
      <c r="TCS52" s="556"/>
      <c r="TCT52" s="556"/>
      <c r="TCU52" s="556"/>
      <c r="TCV52" s="556"/>
      <c r="TCW52" s="556"/>
      <c r="TCX52" s="556"/>
      <c r="TCY52" s="556"/>
      <c r="TCZ52" s="556"/>
      <c r="TDA52" s="556"/>
      <c r="TDB52" s="556"/>
      <c r="TDC52" s="556"/>
      <c r="TDD52" s="556"/>
      <c r="TDE52" s="556"/>
      <c r="TDF52" s="556"/>
      <c r="TDG52" s="556"/>
      <c r="TDH52" s="556"/>
      <c r="TDI52" s="556"/>
      <c r="TDJ52" s="556"/>
      <c r="TDK52" s="556"/>
      <c r="TDL52" s="556"/>
      <c r="TDM52" s="556"/>
      <c r="TDN52" s="556"/>
      <c r="TDO52" s="556"/>
      <c r="TDP52" s="556"/>
      <c r="TDQ52" s="556"/>
      <c r="TDR52" s="556"/>
      <c r="TDS52" s="556"/>
      <c r="TDT52" s="556"/>
      <c r="TDU52" s="556"/>
      <c r="TDV52" s="556"/>
      <c r="TDW52" s="556"/>
      <c r="TDX52" s="556"/>
      <c r="TDY52" s="556"/>
      <c r="TDZ52" s="556"/>
      <c r="TEA52" s="556"/>
      <c r="TEB52" s="556"/>
      <c r="TEC52" s="556"/>
      <c r="TED52" s="556"/>
      <c r="TEE52" s="556"/>
      <c r="TEF52" s="556"/>
      <c r="TEG52" s="556"/>
      <c r="TEH52" s="556"/>
      <c r="TEI52" s="556"/>
      <c r="TEJ52" s="556"/>
      <c r="TEK52" s="556"/>
      <c r="TEL52" s="556"/>
      <c r="TEM52" s="556"/>
      <c r="TEN52" s="556"/>
      <c r="TEO52" s="556"/>
      <c r="TEP52" s="556"/>
      <c r="TEQ52" s="556"/>
      <c r="TER52" s="556"/>
      <c r="TES52" s="556"/>
      <c r="TET52" s="556"/>
      <c r="TEU52" s="556"/>
      <c r="TEV52" s="556"/>
      <c r="TEW52" s="556"/>
      <c r="TEX52" s="556"/>
      <c r="TEY52" s="556"/>
      <c r="TEZ52" s="556"/>
      <c r="TFA52" s="556"/>
      <c r="TFB52" s="556"/>
      <c r="TFC52" s="556"/>
      <c r="TFD52" s="556"/>
      <c r="TFE52" s="556"/>
      <c r="TFF52" s="556"/>
      <c r="TFG52" s="556"/>
      <c r="TFH52" s="556"/>
      <c r="TFI52" s="556"/>
      <c r="TFJ52" s="556"/>
      <c r="TFK52" s="556"/>
      <c r="TFL52" s="556"/>
      <c r="TFM52" s="556"/>
      <c r="TFN52" s="556"/>
      <c r="TFO52" s="556"/>
      <c r="TFP52" s="556"/>
      <c r="TFQ52" s="556"/>
      <c r="TFR52" s="556"/>
      <c r="TFS52" s="556"/>
      <c r="TFT52" s="556"/>
      <c r="TFU52" s="556"/>
      <c r="TFV52" s="556"/>
      <c r="TFW52" s="556"/>
      <c r="TFX52" s="556"/>
      <c r="TFY52" s="556"/>
      <c r="TFZ52" s="556"/>
      <c r="TGA52" s="556"/>
      <c r="TGB52" s="556"/>
      <c r="TGC52" s="556"/>
      <c r="TGD52" s="556"/>
      <c r="TGE52" s="556"/>
      <c r="TGF52" s="556"/>
      <c r="TGG52" s="556"/>
      <c r="TGH52" s="556"/>
      <c r="TGI52" s="556"/>
      <c r="TGJ52" s="556"/>
      <c r="TGK52" s="556"/>
      <c r="TGL52" s="556"/>
      <c r="TGM52" s="556"/>
      <c r="TGN52" s="556"/>
      <c r="TGO52" s="556"/>
      <c r="TGP52" s="556"/>
      <c r="TGQ52" s="556"/>
      <c r="TGR52" s="556"/>
      <c r="TGS52" s="556"/>
      <c r="TGT52" s="556"/>
      <c r="TGU52" s="556"/>
      <c r="TGV52" s="556"/>
      <c r="TGW52" s="556"/>
      <c r="TGX52" s="556"/>
      <c r="TGY52" s="556"/>
      <c r="TGZ52" s="556"/>
      <c r="THA52" s="556"/>
      <c r="THB52" s="556"/>
      <c r="THC52" s="556"/>
      <c r="THD52" s="556"/>
      <c r="THE52" s="556"/>
      <c r="THF52" s="556"/>
      <c r="THG52" s="556"/>
      <c r="THH52" s="556"/>
      <c r="THI52" s="556"/>
      <c r="THJ52" s="556"/>
      <c r="THK52" s="556"/>
      <c r="THL52" s="556"/>
      <c r="THM52" s="556"/>
      <c r="THN52" s="556"/>
      <c r="THO52" s="556"/>
      <c r="THP52" s="556"/>
      <c r="THQ52" s="556"/>
      <c r="THR52" s="556"/>
      <c r="THS52" s="556"/>
      <c r="THT52" s="556"/>
      <c r="THU52" s="556"/>
      <c r="THV52" s="556"/>
      <c r="THW52" s="556"/>
      <c r="THX52" s="556"/>
      <c r="THY52" s="556"/>
      <c r="THZ52" s="556"/>
      <c r="TIA52" s="556"/>
      <c r="TIB52" s="556"/>
      <c r="TIC52" s="556"/>
      <c r="TID52" s="556"/>
      <c r="TIE52" s="556"/>
      <c r="TIF52" s="556"/>
      <c r="TIG52" s="556"/>
      <c r="TIH52" s="556"/>
      <c r="TII52" s="556"/>
      <c r="TIJ52" s="556"/>
      <c r="TIK52" s="556"/>
      <c r="TIL52" s="556"/>
      <c r="TIM52" s="556"/>
      <c r="TIN52" s="556"/>
      <c r="TIO52" s="556"/>
      <c r="TIP52" s="556"/>
      <c r="TIQ52" s="556"/>
      <c r="TIR52" s="556"/>
      <c r="TIS52" s="556"/>
      <c r="TIT52" s="556"/>
      <c r="TIU52" s="556"/>
      <c r="TIV52" s="556"/>
      <c r="TIW52" s="556"/>
      <c r="TIX52" s="556"/>
      <c r="TIY52" s="556"/>
      <c r="TIZ52" s="556"/>
      <c r="TJA52" s="556"/>
      <c r="TJB52" s="556"/>
      <c r="TJC52" s="556"/>
      <c r="TJD52" s="556"/>
      <c r="TJE52" s="556"/>
      <c r="TJF52" s="556"/>
      <c r="TJG52" s="556"/>
      <c r="TJH52" s="556"/>
      <c r="TJI52" s="556"/>
      <c r="TJJ52" s="556"/>
      <c r="TJK52" s="556"/>
      <c r="TJL52" s="556"/>
      <c r="TJM52" s="556"/>
      <c r="TJN52" s="556"/>
      <c r="TJO52" s="556"/>
      <c r="TJP52" s="556"/>
      <c r="TJQ52" s="556"/>
      <c r="TJR52" s="556"/>
      <c r="TJS52" s="556"/>
      <c r="TJT52" s="556"/>
      <c r="TJU52" s="556"/>
      <c r="TJV52" s="556"/>
      <c r="TJW52" s="556"/>
      <c r="TJX52" s="556"/>
      <c r="TJY52" s="556"/>
      <c r="TJZ52" s="556"/>
      <c r="TKA52" s="556"/>
      <c r="TKB52" s="556"/>
      <c r="TKC52" s="556"/>
      <c r="TKD52" s="556"/>
      <c r="TKE52" s="556"/>
      <c r="TKF52" s="556"/>
      <c r="TKG52" s="556"/>
      <c r="TKH52" s="556"/>
      <c r="TKI52" s="556"/>
      <c r="TKJ52" s="556"/>
      <c r="TKK52" s="556"/>
      <c r="TKL52" s="556"/>
      <c r="TKM52" s="556"/>
      <c r="TKN52" s="556"/>
      <c r="TKO52" s="556"/>
      <c r="TKP52" s="556"/>
      <c r="TKQ52" s="556"/>
      <c r="TKR52" s="556"/>
      <c r="TKS52" s="556"/>
      <c r="TKT52" s="556"/>
      <c r="TKU52" s="556"/>
      <c r="TKV52" s="556"/>
      <c r="TKW52" s="556"/>
      <c r="TKX52" s="556"/>
      <c r="TKY52" s="556"/>
      <c r="TKZ52" s="556"/>
      <c r="TLA52" s="556"/>
      <c r="TLB52" s="556"/>
      <c r="TLC52" s="556"/>
      <c r="TLD52" s="556"/>
      <c r="TLE52" s="556"/>
      <c r="TLF52" s="556"/>
      <c r="TLG52" s="556"/>
      <c r="TLH52" s="556"/>
      <c r="TLI52" s="556"/>
      <c r="TLJ52" s="556"/>
      <c r="TLK52" s="556"/>
      <c r="TLL52" s="556"/>
      <c r="TLM52" s="556"/>
      <c r="TLN52" s="556"/>
      <c r="TLO52" s="556"/>
      <c r="TLP52" s="556"/>
      <c r="TLQ52" s="556"/>
      <c r="TLR52" s="556"/>
      <c r="TLS52" s="556"/>
      <c r="TLT52" s="556"/>
      <c r="TLU52" s="556"/>
      <c r="TLV52" s="556"/>
      <c r="TLW52" s="556"/>
      <c r="TLX52" s="556"/>
      <c r="TLY52" s="556"/>
      <c r="TLZ52" s="556"/>
      <c r="TMA52" s="556"/>
      <c r="TMB52" s="556"/>
      <c r="TMC52" s="556"/>
      <c r="TMD52" s="556"/>
      <c r="TME52" s="556"/>
      <c r="TMF52" s="556"/>
      <c r="TMG52" s="556"/>
      <c r="TMH52" s="556"/>
      <c r="TMI52" s="556"/>
      <c r="TMJ52" s="556"/>
      <c r="TMK52" s="556"/>
      <c r="TML52" s="556"/>
      <c r="TMM52" s="556"/>
      <c r="TMN52" s="556"/>
      <c r="TMO52" s="556"/>
      <c r="TMP52" s="556"/>
      <c r="TMQ52" s="556"/>
      <c r="TMR52" s="556"/>
      <c r="TMS52" s="556"/>
      <c r="TMT52" s="556"/>
      <c r="TMU52" s="556"/>
      <c r="TMV52" s="556"/>
      <c r="TMW52" s="556"/>
      <c r="TMX52" s="556"/>
      <c r="TMY52" s="556"/>
      <c r="TMZ52" s="556"/>
      <c r="TNA52" s="556"/>
      <c r="TNB52" s="556"/>
      <c r="TNC52" s="556"/>
      <c r="TND52" s="556"/>
      <c r="TNE52" s="556"/>
      <c r="TNF52" s="556"/>
      <c r="TNG52" s="556"/>
      <c r="TNH52" s="556"/>
      <c r="TNI52" s="556"/>
      <c r="TNJ52" s="556"/>
      <c r="TNK52" s="556"/>
      <c r="TNL52" s="556"/>
      <c r="TNM52" s="556"/>
      <c r="TNN52" s="556"/>
      <c r="TNO52" s="556"/>
      <c r="TNP52" s="556"/>
      <c r="TNQ52" s="556"/>
      <c r="TNR52" s="556"/>
      <c r="TNS52" s="556"/>
      <c r="TNT52" s="556"/>
      <c r="TNU52" s="556"/>
      <c r="TNV52" s="556"/>
      <c r="TNW52" s="556"/>
      <c r="TNX52" s="556"/>
      <c r="TNY52" s="556"/>
      <c r="TNZ52" s="556"/>
      <c r="TOA52" s="556"/>
      <c r="TOB52" s="556"/>
      <c r="TOC52" s="556"/>
      <c r="TOD52" s="556"/>
      <c r="TOE52" s="556"/>
      <c r="TOF52" s="556"/>
      <c r="TOG52" s="556"/>
      <c r="TOH52" s="556"/>
      <c r="TOI52" s="556"/>
      <c r="TOJ52" s="556"/>
      <c r="TOK52" s="556"/>
      <c r="TOL52" s="556"/>
      <c r="TOM52" s="556"/>
      <c r="TON52" s="556"/>
      <c r="TOO52" s="556"/>
      <c r="TOP52" s="556"/>
      <c r="TOQ52" s="556"/>
      <c r="TOR52" s="556"/>
      <c r="TOS52" s="556"/>
      <c r="TOT52" s="556"/>
      <c r="TOU52" s="556"/>
      <c r="TOV52" s="556"/>
      <c r="TOW52" s="556"/>
      <c r="TOX52" s="556"/>
      <c r="TOY52" s="556"/>
      <c r="TOZ52" s="556"/>
      <c r="TPA52" s="556"/>
      <c r="TPB52" s="556"/>
      <c r="TPC52" s="556"/>
      <c r="TPD52" s="556"/>
      <c r="TPE52" s="556"/>
      <c r="TPF52" s="556"/>
      <c r="TPG52" s="556"/>
      <c r="TPH52" s="556"/>
      <c r="TPI52" s="556"/>
      <c r="TPJ52" s="556"/>
      <c r="TPK52" s="556"/>
      <c r="TPL52" s="556"/>
      <c r="TPM52" s="556"/>
      <c r="TPN52" s="556"/>
      <c r="TPO52" s="556"/>
      <c r="TPP52" s="556"/>
      <c r="TPQ52" s="556"/>
      <c r="TPR52" s="556"/>
      <c r="TPS52" s="556"/>
      <c r="TPT52" s="556"/>
      <c r="TPU52" s="556"/>
      <c r="TPV52" s="556"/>
      <c r="TPW52" s="556"/>
      <c r="TPX52" s="556"/>
      <c r="TPY52" s="556"/>
      <c r="TPZ52" s="556"/>
      <c r="TQA52" s="556"/>
      <c r="TQB52" s="556"/>
      <c r="TQC52" s="556"/>
      <c r="TQD52" s="556"/>
      <c r="TQE52" s="556"/>
      <c r="TQF52" s="556"/>
      <c r="TQG52" s="556"/>
      <c r="TQH52" s="556"/>
      <c r="TQI52" s="556"/>
      <c r="TQJ52" s="556"/>
      <c r="TQK52" s="556"/>
      <c r="TQL52" s="556"/>
      <c r="TQM52" s="556"/>
      <c r="TQN52" s="556"/>
      <c r="TQO52" s="556"/>
      <c r="TQP52" s="556"/>
      <c r="TQQ52" s="556"/>
      <c r="TQR52" s="556"/>
      <c r="TQS52" s="556"/>
      <c r="TQT52" s="556"/>
      <c r="TQU52" s="556"/>
      <c r="TQV52" s="556"/>
      <c r="TQW52" s="556"/>
      <c r="TQX52" s="556"/>
      <c r="TQY52" s="556"/>
      <c r="TQZ52" s="556"/>
      <c r="TRA52" s="556"/>
      <c r="TRB52" s="556"/>
      <c r="TRC52" s="556"/>
      <c r="TRD52" s="556"/>
      <c r="TRE52" s="556"/>
      <c r="TRF52" s="556"/>
      <c r="TRG52" s="556"/>
      <c r="TRH52" s="556"/>
      <c r="TRI52" s="556"/>
      <c r="TRJ52" s="556"/>
      <c r="TRK52" s="556"/>
      <c r="TRL52" s="556"/>
      <c r="TRM52" s="556"/>
      <c r="TRN52" s="556"/>
      <c r="TRO52" s="556"/>
      <c r="TRP52" s="556"/>
      <c r="TRQ52" s="556"/>
      <c r="TRR52" s="556"/>
      <c r="TRS52" s="556"/>
      <c r="TRT52" s="556"/>
      <c r="TRU52" s="556"/>
      <c r="TRV52" s="556"/>
      <c r="TRW52" s="556"/>
      <c r="TRX52" s="556"/>
      <c r="TRY52" s="556"/>
      <c r="TRZ52" s="556"/>
      <c r="TSA52" s="556"/>
      <c r="TSB52" s="556"/>
      <c r="TSC52" s="556"/>
      <c r="TSD52" s="556"/>
      <c r="TSE52" s="556"/>
      <c r="TSF52" s="556"/>
      <c r="TSG52" s="556"/>
      <c r="TSH52" s="556"/>
      <c r="TSI52" s="556"/>
      <c r="TSJ52" s="556"/>
      <c r="TSK52" s="556"/>
      <c r="TSL52" s="556"/>
      <c r="TSM52" s="556"/>
      <c r="TSN52" s="556"/>
      <c r="TSO52" s="556"/>
      <c r="TSP52" s="556"/>
      <c r="TSQ52" s="556"/>
      <c r="TSR52" s="556"/>
      <c r="TSS52" s="556"/>
      <c r="TST52" s="556"/>
      <c r="TSU52" s="556"/>
      <c r="TSV52" s="556"/>
      <c r="TSW52" s="556"/>
      <c r="TSX52" s="556"/>
      <c r="TSY52" s="556"/>
      <c r="TSZ52" s="556"/>
      <c r="TTA52" s="556"/>
      <c r="TTB52" s="556"/>
      <c r="TTC52" s="556"/>
      <c r="TTD52" s="556"/>
      <c r="TTE52" s="556"/>
      <c r="TTF52" s="556"/>
      <c r="TTG52" s="556"/>
      <c r="TTH52" s="556"/>
      <c r="TTI52" s="556"/>
      <c r="TTJ52" s="556"/>
      <c r="TTK52" s="556"/>
      <c r="TTL52" s="556"/>
      <c r="TTM52" s="556"/>
      <c r="TTN52" s="556"/>
      <c r="TTO52" s="556"/>
      <c r="TTP52" s="556"/>
      <c r="TTQ52" s="556"/>
      <c r="TTR52" s="556"/>
      <c r="TTS52" s="556"/>
      <c r="TTT52" s="556"/>
      <c r="TTU52" s="556"/>
      <c r="TTV52" s="556"/>
      <c r="TTW52" s="556"/>
      <c r="TTX52" s="556"/>
      <c r="TTY52" s="556"/>
      <c r="TTZ52" s="556"/>
      <c r="TUA52" s="556"/>
      <c r="TUB52" s="556"/>
      <c r="TUC52" s="556"/>
      <c r="TUD52" s="556"/>
      <c r="TUE52" s="556"/>
      <c r="TUF52" s="556"/>
      <c r="TUG52" s="556"/>
      <c r="TUH52" s="556"/>
      <c r="TUI52" s="556"/>
      <c r="TUJ52" s="556"/>
      <c r="TUK52" s="556"/>
      <c r="TUL52" s="556"/>
      <c r="TUM52" s="556"/>
      <c r="TUN52" s="556"/>
      <c r="TUO52" s="556"/>
      <c r="TUP52" s="556"/>
      <c r="TUQ52" s="556"/>
      <c r="TUR52" s="556"/>
      <c r="TUS52" s="556"/>
      <c r="TUT52" s="556"/>
      <c r="TUU52" s="556"/>
      <c r="TUV52" s="556"/>
      <c r="TUW52" s="556"/>
      <c r="TUX52" s="556"/>
      <c r="TUY52" s="556"/>
      <c r="TUZ52" s="556"/>
      <c r="TVA52" s="556"/>
      <c r="TVB52" s="556"/>
      <c r="TVC52" s="556"/>
      <c r="TVD52" s="556"/>
      <c r="TVE52" s="556"/>
      <c r="TVF52" s="556"/>
      <c r="TVG52" s="556"/>
      <c r="TVH52" s="556"/>
      <c r="TVI52" s="556"/>
      <c r="TVJ52" s="556"/>
      <c r="TVK52" s="556"/>
      <c r="TVL52" s="556"/>
      <c r="TVM52" s="556"/>
      <c r="TVN52" s="556"/>
      <c r="TVO52" s="556"/>
      <c r="TVP52" s="556"/>
      <c r="TVQ52" s="556"/>
      <c r="TVR52" s="556"/>
      <c r="TVS52" s="556"/>
      <c r="TVT52" s="556"/>
      <c r="TVU52" s="556"/>
      <c r="TVV52" s="556"/>
      <c r="TVW52" s="556"/>
      <c r="TVX52" s="556"/>
      <c r="TVY52" s="556"/>
      <c r="TVZ52" s="556"/>
      <c r="TWA52" s="556"/>
      <c r="TWB52" s="556"/>
      <c r="TWC52" s="556"/>
      <c r="TWD52" s="556"/>
      <c r="TWE52" s="556"/>
      <c r="TWF52" s="556"/>
      <c r="TWG52" s="556"/>
      <c r="TWH52" s="556"/>
      <c r="TWI52" s="556"/>
      <c r="TWJ52" s="556"/>
      <c r="TWK52" s="556"/>
      <c r="TWL52" s="556"/>
      <c r="TWM52" s="556"/>
      <c r="TWN52" s="556"/>
      <c r="TWO52" s="556"/>
      <c r="TWP52" s="556"/>
      <c r="TWQ52" s="556"/>
      <c r="TWR52" s="556"/>
      <c r="TWS52" s="556"/>
      <c r="TWT52" s="556"/>
      <c r="TWU52" s="556"/>
      <c r="TWV52" s="556"/>
      <c r="TWW52" s="556"/>
      <c r="TWX52" s="556"/>
      <c r="TWY52" s="556"/>
      <c r="TWZ52" s="556"/>
      <c r="TXA52" s="556"/>
      <c r="TXB52" s="556"/>
      <c r="TXC52" s="556"/>
      <c r="TXD52" s="556"/>
      <c r="TXE52" s="556"/>
      <c r="TXF52" s="556"/>
      <c r="TXG52" s="556"/>
      <c r="TXH52" s="556"/>
      <c r="TXI52" s="556"/>
      <c r="TXJ52" s="556"/>
      <c r="TXK52" s="556"/>
      <c r="TXL52" s="556"/>
      <c r="TXM52" s="556"/>
      <c r="TXN52" s="556"/>
      <c r="TXO52" s="556"/>
      <c r="TXP52" s="556"/>
      <c r="TXQ52" s="556"/>
      <c r="TXR52" s="556"/>
      <c r="TXS52" s="556"/>
      <c r="TXT52" s="556"/>
      <c r="TXU52" s="556"/>
      <c r="TXV52" s="556"/>
      <c r="TXW52" s="556"/>
      <c r="TXX52" s="556"/>
      <c r="TXY52" s="556"/>
      <c r="TXZ52" s="556"/>
      <c r="TYA52" s="556"/>
      <c r="TYB52" s="556"/>
      <c r="TYC52" s="556"/>
      <c r="TYD52" s="556"/>
      <c r="TYE52" s="556"/>
      <c r="TYF52" s="556"/>
      <c r="TYG52" s="556"/>
      <c r="TYH52" s="556"/>
      <c r="TYI52" s="556"/>
      <c r="TYJ52" s="556"/>
      <c r="TYK52" s="556"/>
      <c r="TYL52" s="556"/>
      <c r="TYM52" s="556"/>
      <c r="TYN52" s="556"/>
      <c r="TYO52" s="556"/>
      <c r="TYP52" s="556"/>
      <c r="TYQ52" s="556"/>
      <c r="TYR52" s="556"/>
      <c r="TYS52" s="556"/>
      <c r="TYT52" s="556"/>
      <c r="TYU52" s="556"/>
      <c r="TYV52" s="556"/>
      <c r="TYW52" s="556"/>
      <c r="TYX52" s="556"/>
      <c r="TYY52" s="556"/>
      <c r="TYZ52" s="556"/>
      <c r="TZA52" s="556"/>
      <c r="TZB52" s="556"/>
      <c r="TZC52" s="556"/>
      <c r="TZD52" s="556"/>
      <c r="TZE52" s="556"/>
      <c r="TZF52" s="556"/>
      <c r="TZG52" s="556"/>
      <c r="TZH52" s="556"/>
      <c r="TZI52" s="556"/>
      <c r="TZJ52" s="556"/>
      <c r="TZK52" s="556"/>
      <c r="TZL52" s="556"/>
      <c r="TZM52" s="556"/>
      <c r="TZN52" s="556"/>
      <c r="TZO52" s="556"/>
      <c r="TZP52" s="556"/>
      <c r="TZQ52" s="556"/>
      <c r="TZR52" s="556"/>
      <c r="TZS52" s="556"/>
      <c r="TZT52" s="556"/>
      <c r="TZU52" s="556"/>
      <c r="TZV52" s="556"/>
      <c r="TZW52" s="556"/>
      <c r="TZX52" s="556"/>
      <c r="TZY52" s="556"/>
      <c r="TZZ52" s="556"/>
      <c r="UAA52" s="556"/>
      <c r="UAB52" s="556"/>
      <c r="UAC52" s="556"/>
      <c r="UAD52" s="556"/>
      <c r="UAE52" s="556"/>
      <c r="UAF52" s="556"/>
      <c r="UAG52" s="556"/>
      <c r="UAH52" s="556"/>
      <c r="UAI52" s="556"/>
      <c r="UAJ52" s="556"/>
      <c r="UAK52" s="556"/>
      <c r="UAL52" s="556"/>
      <c r="UAM52" s="556"/>
      <c r="UAN52" s="556"/>
      <c r="UAO52" s="556"/>
      <c r="UAP52" s="556"/>
      <c r="UAQ52" s="556"/>
      <c r="UAR52" s="556"/>
      <c r="UAS52" s="556"/>
      <c r="UAT52" s="556"/>
      <c r="UAU52" s="556"/>
      <c r="UAV52" s="556"/>
      <c r="UAW52" s="556"/>
      <c r="UAX52" s="556"/>
      <c r="UAY52" s="556"/>
      <c r="UAZ52" s="556"/>
      <c r="UBA52" s="556"/>
      <c r="UBB52" s="556"/>
      <c r="UBC52" s="556"/>
      <c r="UBD52" s="556"/>
      <c r="UBE52" s="556"/>
      <c r="UBF52" s="556"/>
      <c r="UBG52" s="556"/>
      <c r="UBH52" s="556"/>
      <c r="UBI52" s="556"/>
      <c r="UBJ52" s="556"/>
      <c r="UBK52" s="556"/>
      <c r="UBL52" s="556"/>
      <c r="UBM52" s="556"/>
      <c r="UBN52" s="556"/>
      <c r="UBO52" s="556"/>
      <c r="UBP52" s="556"/>
      <c r="UBQ52" s="556"/>
      <c r="UBR52" s="556"/>
      <c r="UBS52" s="556"/>
      <c r="UBT52" s="556"/>
      <c r="UBU52" s="556"/>
      <c r="UBV52" s="556"/>
      <c r="UBW52" s="556"/>
      <c r="UBX52" s="556"/>
      <c r="UBY52" s="556"/>
      <c r="UBZ52" s="556"/>
      <c r="UCA52" s="556"/>
      <c r="UCB52" s="556"/>
      <c r="UCC52" s="556"/>
      <c r="UCD52" s="556"/>
      <c r="UCE52" s="556"/>
      <c r="UCF52" s="556"/>
      <c r="UCG52" s="556"/>
      <c r="UCH52" s="556"/>
      <c r="UCI52" s="556"/>
      <c r="UCJ52" s="556"/>
      <c r="UCK52" s="556"/>
      <c r="UCL52" s="556"/>
      <c r="UCM52" s="556"/>
      <c r="UCN52" s="556"/>
      <c r="UCO52" s="556"/>
      <c r="UCP52" s="556"/>
      <c r="UCQ52" s="556"/>
      <c r="UCR52" s="556"/>
      <c r="UCS52" s="556"/>
      <c r="UCT52" s="556"/>
      <c r="UCU52" s="556"/>
      <c r="UCV52" s="556"/>
      <c r="UCW52" s="556"/>
      <c r="UCX52" s="556"/>
      <c r="UCY52" s="556"/>
      <c r="UCZ52" s="556"/>
      <c r="UDA52" s="556"/>
      <c r="UDB52" s="556"/>
      <c r="UDC52" s="556"/>
      <c r="UDD52" s="556"/>
      <c r="UDE52" s="556"/>
      <c r="UDF52" s="556"/>
      <c r="UDG52" s="556"/>
      <c r="UDH52" s="556"/>
      <c r="UDI52" s="556"/>
      <c r="UDJ52" s="556"/>
      <c r="UDK52" s="556"/>
      <c r="UDL52" s="556"/>
      <c r="UDM52" s="556"/>
      <c r="UDN52" s="556"/>
      <c r="UDO52" s="556"/>
      <c r="UDP52" s="556"/>
      <c r="UDQ52" s="556"/>
      <c r="UDR52" s="556"/>
      <c r="UDS52" s="556"/>
      <c r="UDT52" s="556"/>
      <c r="UDU52" s="556"/>
      <c r="UDV52" s="556"/>
      <c r="UDW52" s="556"/>
      <c r="UDX52" s="556"/>
      <c r="UDY52" s="556"/>
      <c r="UDZ52" s="556"/>
      <c r="UEA52" s="556"/>
      <c r="UEB52" s="556"/>
      <c r="UEC52" s="556"/>
      <c r="UED52" s="556"/>
      <c r="UEE52" s="556"/>
      <c r="UEF52" s="556"/>
      <c r="UEG52" s="556"/>
      <c r="UEH52" s="556"/>
      <c r="UEI52" s="556"/>
      <c r="UEJ52" s="556"/>
      <c r="UEK52" s="556"/>
      <c r="UEL52" s="556"/>
      <c r="UEM52" s="556"/>
      <c r="UEN52" s="556"/>
      <c r="UEO52" s="556"/>
      <c r="UEP52" s="556"/>
      <c r="UEQ52" s="556"/>
      <c r="UER52" s="556"/>
      <c r="UES52" s="556"/>
      <c r="UET52" s="556"/>
      <c r="UEU52" s="556"/>
      <c r="UEV52" s="556"/>
      <c r="UEW52" s="556"/>
      <c r="UEX52" s="556"/>
      <c r="UEY52" s="556"/>
      <c r="UEZ52" s="556"/>
      <c r="UFA52" s="556"/>
      <c r="UFB52" s="556"/>
      <c r="UFC52" s="556"/>
      <c r="UFD52" s="556"/>
      <c r="UFE52" s="556"/>
      <c r="UFF52" s="556"/>
      <c r="UFG52" s="556"/>
      <c r="UFH52" s="556"/>
      <c r="UFI52" s="556"/>
      <c r="UFJ52" s="556"/>
      <c r="UFK52" s="556"/>
      <c r="UFL52" s="556"/>
      <c r="UFM52" s="556"/>
      <c r="UFN52" s="556"/>
      <c r="UFO52" s="556"/>
      <c r="UFP52" s="556"/>
      <c r="UFQ52" s="556"/>
      <c r="UFR52" s="556"/>
      <c r="UFS52" s="556"/>
      <c r="UFT52" s="556"/>
      <c r="UFU52" s="556"/>
      <c r="UFV52" s="556"/>
      <c r="UFW52" s="556"/>
      <c r="UFX52" s="556"/>
      <c r="UFY52" s="556"/>
      <c r="UFZ52" s="556"/>
      <c r="UGA52" s="556"/>
      <c r="UGB52" s="556"/>
      <c r="UGC52" s="556"/>
      <c r="UGD52" s="556"/>
      <c r="UGE52" s="556"/>
      <c r="UGF52" s="556"/>
      <c r="UGG52" s="556"/>
      <c r="UGH52" s="556"/>
      <c r="UGI52" s="556"/>
      <c r="UGJ52" s="556"/>
      <c r="UGK52" s="556"/>
      <c r="UGL52" s="556"/>
      <c r="UGM52" s="556"/>
      <c r="UGN52" s="556"/>
      <c r="UGO52" s="556"/>
      <c r="UGP52" s="556"/>
      <c r="UGQ52" s="556"/>
      <c r="UGR52" s="556"/>
      <c r="UGS52" s="556"/>
      <c r="UGT52" s="556"/>
      <c r="UGU52" s="556"/>
      <c r="UGV52" s="556"/>
      <c r="UGW52" s="556"/>
      <c r="UGX52" s="556"/>
      <c r="UGY52" s="556"/>
      <c r="UGZ52" s="556"/>
      <c r="UHA52" s="556"/>
      <c r="UHB52" s="556"/>
      <c r="UHC52" s="556"/>
      <c r="UHD52" s="556"/>
      <c r="UHE52" s="556"/>
      <c r="UHF52" s="556"/>
      <c r="UHG52" s="556"/>
      <c r="UHH52" s="556"/>
      <c r="UHI52" s="556"/>
      <c r="UHJ52" s="556"/>
      <c r="UHK52" s="556"/>
      <c r="UHL52" s="556"/>
      <c r="UHM52" s="556"/>
      <c r="UHN52" s="556"/>
      <c r="UHO52" s="556"/>
      <c r="UHP52" s="556"/>
      <c r="UHQ52" s="556"/>
      <c r="UHR52" s="556"/>
      <c r="UHS52" s="556"/>
      <c r="UHT52" s="556"/>
      <c r="UHU52" s="556"/>
      <c r="UHV52" s="556"/>
      <c r="UHW52" s="556"/>
      <c r="UHX52" s="556"/>
      <c r="UHY52" s="556"/>
      <c r="UHZ52" s="556"/>
      <c r="UIA52" s="556"/>
      <c r="UIB52" s="556"/>
      <c r="UIC52" s="556"/>
      <c r="UID52" s="556"/>
      <c r="UIE52" s="556"/>
      <c r="UIF52" s="556"/>
      <c r="UIG52" s="556"/>
      <c r="UIH52" s="556"/>
      <c r="UII52" s="556"/>
      <c r="UIJ52" s="556"/>
      <c r="UIK52" s="556"/>
      <c r="UIL52" s="556"/>
      <c r="UIM52" s="556"/>
      <c r="UIN52" s="556"/>
      <c r="UIO52" s="556"/>
      <c r="UIP52" s="556"/>
      <c r="UIQ52" s="556"/>
      <c r="UIR52" s="556"/>
      <c r="UIS52" s="556"/>
      <c r="UIT52" s="556"/>
      <c r="UIU52" s="556"/>
      <c r="UIV52" s="556"/>
      <c r="UIW52" s="556"/>
      <c r="UIX52" s="556"/>
      <c r="UIY52" s="556"/>
      <c r="UIZ52" s="556"/>
      <c r="UJA52" s="556"/>
      <c r="UJB52" s="556"/>
      <c r="UJC52" s="556"/>
      <c r="UJD52" s="556"/>
      <c r="UJE52" s="556"/>
      <c r="UJF52" s="556"/>
      <c r="UJG52" s="556"/>
      <c r="UJH52" s="556"/>
      <c r="UJI52" s="556"/>
      <c r="UJJ52" s="556"/>
      <c r="UJK52" s="556"/>
      <c r="UJL52" s="556"/>
      <c r="UJM52" s="556"/>
      <c r="UJN52" s="556"/>
      <c r="UJO52" s="556"/>
      <c r="UJP52" s="556"/>
      <c r="UJQ52" s="556"/>
      <c r="UJR52" s="556"/>
      <c r="UJS52" s="556"/>
      <c r="UJT52" s="556"/>
      <c r="UJU52" s="556"/>
      <c r="UJV52" s="556"/>
      <c r="UJW52" s="556"/>
      <c r="UJX52" s="556"/>
      <c r="UJY52" s="556"/>
      <c r="UJZ52" s="556"/>
      <c r="UKA52" s="556"/>
      <c r="UKB52" s="556"/>
      <c r="UKC52" s="556"/>
      <c r="UKD52" s="556"/>
      <c r="UKE52" s="556"/>
      <c r="UKF52" s="556"/>
      <c r="UKG52" s="556"/>
      <c r="UKH52" s="556"/>
      <c r="UKI52" s="556"/>
      <c r="UKJ52" s="556"/>
      <c r="UKK52" s="556"/>
      <c r="UKL52" s="556"/>
      <c r="UKM52" s="556"/>
      <c r="UKN52" s="556"/>
      <c r="UKO52" s="556"/>
      <c r="UKP52" s="556"/>
      <c r="UKQ52" s="556"/>
      <c r="UKR52" s="556"/>
      <c r="UKS52" s="556"/>
      <c r="UKT52" s="556"/>
      <c r="UKU52" s="556"/>
      <c r="UKV52" s="556"/>
      <c r="UKW52" s="556"/>
      <c r="UKX52" s="556"/>
      <c r="UKY52" s="556"/>
      <c r="UKZ52" s="556"/>
      <c r="ULA52" s="556"/>
      <c r="ULB52" s="556"/>
      <c r="ULC52" s="556"/>
      <c r="ULD52" s="556"/>
      <c r="ULE52" s="556"/>
      <c r="ULF52" s="556"/>
      <c r="ULG52" s="556"/>
      <c r="ULH52" s="556"/>
      <c r="ULI52" s="556"/>
      <c r="ULJ52" s="556"/>
      <c r="ULK52" s="556"/>
      <c r="ULL52" s="556"/>
      <c r="ULM52" s="556"/>
      <c r="ULN52" s="556"/>
      <c r="ULO52" s="556"/>
      <c r="ULP52" s="556"/>
      <c r="ULQ52" s="556"/>
      <c r="ULR52" s="556"/>
      <c r="ULS52" s="556"/>
      <c r="ULT52" s="556"/>
      <c r="ULU52" s="556"/>
      <c r="ULV52" s="556"/>
      <c r="ULW52" s="556"/>
      <c r="ULX52" s="556"/>
      <c r="ULY52" s="556"/>
      <c r="ULZ52" s="556"/>
      <c r="UMA52" s="556"/>
      <c r="UMB52" s="556"/>
      <c r="UMC52" s="556"/>
      <c r="UMD52" s="556"/>
      <c r="UME52" s="556"/>
      <c r="UMF52" s="556"/>
      <c r="UMG52" s="556"/>
      <c r="UMH52" s="556"/>
      <c r="UMI52" s="556"/>
      <c r="UMJ52" s="556"/>
      <c r="UMK52" s="556"/>
      <c r="UML52" s="556"/>
      <c r="UMM52" s="556"/>
      <c r="UMN52" s="556"/>
      <c r="UMO52" s="556"/>
      <c r="UMP52" s="556"/>
      <c r="UMQ52" s="556"/>
      <c r="UMR52" s="556"/>
      <c r="UMS52" s="556"/>
      <c r="UMT52" s="556"/>
      <c r="UMU52" s="556"/>
      <c r="UMV52" s="556"/>
      <c r="UMW52" s="556"/>
      <c r="UMX52" s="556"/>
      <c r="UMY52" s="556"/>
      <c r="UMZ52" s="556"/>
      <c r="UNA52" s="556"/>
      <c r="UNB52" s="556"/>
      <c r="UNC52" s="556"/>
      <c r="UND52" s="556"/>
      <c r="UNE52" s="556"/>
      <c r="UNF52" s="556"/>
      <c r="UNG52" s="556"/>
      <c r="UNH52" s="556"/>
      <c r="UNI52" s="556"/>
      <c r="UNJ52" s="556"/>
      <c r="UNK52" s="556"/>
      <c r="UNL52" s="556"/>
      <c r="UNM52" s="556"/>
      <c r="UNN52" s="556"/>
      <c r="UNO52" s="556"/>
      <c r="UNP52" s="556"/>
      <c r="UNQ52" s="556"/>
      <c r="UNR52" s="556"/>
      <c r="UNS52" s="556"/>
      <c r="UNT52" s="556"/>
      <c r="UNU52" s="556"/>
      <c r="UNV52" s="556"/>
      <c r="UNW52" s="556"/>
      <c r="UNX52" s="556"/>
      <c r="UNY52" s="556"/>
      <c r="UNZ52" s="556"/>
      <c r="UOA52" s="556"/>
      <c r="UOB52" s="556"/>
      <c r="UOC52" s="556"/>
      <c r="UOD52" s="556"/>
      <c r="UOE52" s="556"/>
      <c r="UOF52" s="556"/>
      <c r="UOG52" s="556"/>
      <c r="UOH52" s="556"/>
      <c r="UOI52" s="556"/>
      <c r="UOJ52" s="556"/>
      <c r="UOK52" s="556"/>
      <c r="UOL52" s="556"/>
      <c r="UOM52" s="556"/>
      <c r="UON52" s="556"/>
      <c r="UOO52" s="556"/>
      <c r="UOP52" s="556"/>
      <c r="UOQ52" s="556"/>
      <c r="UOR52" s="556"/>
      <c r="UOS52" s="556"/>
      <c r="UOT52" s="556"/>
      <c r="UOU52" s="556"/>
      <c r="UOV52" s="556"/>
      <c r="UOW52" s="556"/>
      <c r="UOX52" s="556"/>
      <c r="UOY52" s="556"/>
      <c r="UOZ52" s="556"/>
      <c r="UPA52" s="556"/>
      <c r="UPB52" s="556"/>
      <c r="UPC52" s="556"/>
      <c r="UPD52" s="556"/>
      <c r="UPE52" s="556"/>
      <c r="UPF52" s="556"/>
      <c r="UPG52" s="556"/>
      <c r="UPH52" s="556"/>
      <c r="UPI52" s="556"/>
      <c r="UPJ52" s="556"/>
      <c r="UPK52" s="556"/>
      <c r="UPL52" s="556"/>
      <c r="UPM52" s="556"/>
      <c r="UPN52" s="556"/>
      <c r="UPO52" s="556"/>
      <c r="UPP52" s="556"/>
      <c r="UPQ52" s="556"/>
      <c r="UPR52" s="556"/>
      <c r="UPS52" s="556"/>
      <c r="UPT52" s="556"/>
      <c r="UPU52" s="556"/>
      <c r="UPV52" s="556"/>
      <c r="UPW52" s="556"/>
      <c r="UPX52" s="556"/>
      <c r="UPY52" s="556"/>
      <c r="UPZ52" s="556"/>
      <c r="UQA52" s="556"/>
      <c r="UQB52" s="556"/>
      <c r="UQC52" s="556"/>
      <c r="UQD52" s="556"/>
      <c r="UQE52" s="556"/>
      <c r="UQF52" s="556"/>
      <c r="UQG52" s="556"/>
      <c r="UQH52" s="556"/>
      <c r="UQI52" s="556"/>
      <c r="UQJ52" s="556"/>
      <c r="UQK52" s="556"/>
      <c r="UQL52" s="556"/>
      <c r="UQM52" s="556"/>
      <c r="UQN52" s="556"/>
      <c r="UQO52" s="556"/>
      <c r="UQP52" s="556"/>
      <c r="UQQ52" s="556"/>
      <c r="UQR52" s="556"/>
      <c r="UQS52" s="556"/>
      <c r="UQT52" s="556"/>
      <c r="UQU52" s="556"/>
      <c r="UQV52" s="556"/>
      <c r="UQW52" s="556"/>
      <c r="UQX52" s="556"/>
      <c r="UQY52" s="556"/>
      <c r="UQZ52" s="556"/>
      <c r="URA52" s="556"/>
      <c r="URB52" s="556"/>
      <c r="URC52" s="556"/>
      <c r="URD52" s="556"/>
      <c r="URE52" s="556"/>
      <c r="URF52" s="556"/>
      <c r="URG52" s="556"/>
      <c r="URH52" s="556"/>
      <c r="URI52" s="556"/>
      <c r="URJ52" s="556"/>
      <c r="URK52" s="556"/>
      <c r="URL52" s="556"/>
      <c r="URM52" s="556"/>
      <c r="URN52" s="556"/>
      <c r="URO52" s="556"/>
      <c r="URP52" s="556"/>
      <c r="URQ52" s="556"/>
      <c r="URR52" s="556"/>
      <c r="URS52" s="556"/>
      <c r="URT52" s="556"/>
      <c r="URU52" s="556"/>
      <c r="URV52" s="556"/>
      <c r="URW52" s="556"/>
      <c r="URX52" s="556"/>
      <c r="URY52" s="556"/>
      <c r="URZ52" s="556"/>
      <c r="USA52" s="556"/>
      <c r="USB52" s="556"/>
      <c r="USC52" s="556"/>
      <c r="USD52" s="556"/>
      <c r="USE52" s="556"/>
      <c r="USF52" s="556"/>
      <c r="USG52" s="556"/>
      <c r="USH52" s="556"/>
      <c r="USI52" s="556"/>
      <c r="USJ52" s="556"/>
      <c r="USK52" s="556"/>
      <c r="USL52" s="556"/>
      <c r="USM52" s="556"/>
      <c r="USN52" s="556"/>
      <c r="USO52" s="556"/>
      <c r="USP52" s="556"/>
      <c r="USQ52" s="556"/>
      <c r="USR52" s="556"/>
      <c r="USS52" s="556"/>
      <c r="UST52" s="556"/>
      <c r="USU52" s="556"/>
      <c r="USV52" s="556"/>
      <c r="USW52" s="556"/>
      <c r="USX52" s="556"/>
      <c r="USY52" s="556"/>
      <c r="USZ52" s="556"/>
      <c r="UTA52" s="556"/>
      <c r="UTB52" s="556"/>
      <c r="UTC52" s="556"/>
      <c r="UTD52" s="556"/>
      <c r="UTE52" s="556"/>
      <c r="UTF52" s="556"/>
      <c r="UTG52" s="556"/>
      <c r="UTH52" s="556"/>
      <c r="UTI52" s="556"/>
      <c r="UTJ52" s="556"/>
      <c r="UTK52" s="556"/>
      <c r="UTL52" s="556"/>
      <c r="UTM52" s="556"/>
      <c r="UTN52" s="556"/>
      <c r="UTO52" s="556"/>
      <c r="UTP52" s="556"/>
      <c r="UTQ52" s="556"/>
      <c r="UTR52" s="556"/>
      <c r="UTS52" s="556"/>
      <c r="UTT52" s="556"/>
      <c r="UTU52" s="556"/>
      <c r="UTV52" s="556"/>
      <c r="UTW52" s="556"/>
      <c r="UTX52" s="556"/>
      <c r="UTY52" s="556"/>
      <c r="UTZ52" s="556"/>
      <c r="UUA52" s="556"/>
      <c r="UUB52" s="556"/>
      <c r="UUC52" s="556"/>
      <c r="UUD52" s="556"/>
      <c r="UUE52" s="556"/>
      <c r="UUF52" s="556"/>
      <c r="UUG52" s="556"/>
      <c r="UUH52" s="556"/>
      <c r="UUI52" s="556"/>
      <c r="UUJ52" s="556"/>
      <c r="UUK52" s="556"/>
      <c r="UUL52" s="556"/>
      <c r="UUM52" s="556"/>
      <c r="UUN52" s="556"/>
      <c r="UUO52" s="556"/>
      <c r="UUP52" s="556"/>
      <c r="UUQ52" s="556"/>
      <c r="UUR52" s="556"/>
      <c r="UUS52" s="556"/>
      <c r="UUT52" s="556"/>
      <c r="UUU52" s="556"/>
      <c r="UUV52" s="556"/>
      <c r="UUW52" s="556"/>
      <c r="UUX52" s="556"/>
      <c r="UUY52" s="556"/>
      <c r="UUZ52" s="556"/>
      <c r="UVA52" s="556"/>
      <c r="UVB52" s="556"/>
      <c r="UVC52" s="556"/>
      <c r="UVD52" s="556"/>
      <c r="UVE52" s="556"/>
      <c r="UVF52" s="556"/>
      <c r="UVG52" s="556"/>
      <c r="UVH52" s="556"/>
      <c r="UVI52" s="556"/>
      <c r="UVJ52" s="556"/>
      <c r="UVK52" s="556"/>
      <c r="UVL52" s="556"/>
      <c r="UVM52" s="556"/>
      <c r="UVN52" s="556"/>
      <c r="UVO52" s="556"/>
      <c r="UVP52" s="556"/>
      <c r="UVQ52" s="556"/>
      <c r="UVR52" s="556"/>
      <c r="UVS52" s="556"/>
      <c r="UVT52" s="556"/>
      <c r="UVU52" s="556"/>
      <c r="UVV52" s="556"/>
      <c r="UVW52" s="556"/>
      <c r="UVX52" s="556"/>
      <c r="UVY52" s="556"/>
      <c r="UVZ52" s="556"/>
      <c r="UWA52" s="556"/>
      <c r="UWB52" s="556"/>
      <c r="UWC52" s="556"/>
      <c r="UWD52" s="556"/>
      <c r="UWE52" s="556"/>
      <c r="UWF52" s="556"/>
      <c r="UWG52" s="556"/>
      <c r="UWH52" s="556"/>
      <c r="UWI52" s="556"/>
      <c r="UWJ52" s="556"/>
      <c r="UWK52" s="556"/>
      <c r="UWL52" s="556"/>
      <c r="UWM52" s="556"/>
      <c r="UWN52" s="556"/>
      <c r="UWO52" s="556"/>
      <c r="UWP52" s="556"/>
      <c r="UWQ52" s="556"/>
      <c r="UWR52" s="556"/>
      <c r="UWS52" s="556"/>
      <c r="UWT52" s="556"/>
      <c r="UWU52" s="556"/>
      <c r="UWV52" s="556"/>
      <c r="UWW52" s="556"/>
      <c r="UWX52" s="556"/>
      <c r="UWY52" s="556"/>
      <c r="UWZ52" s="556"/>
      <c r="UXA52" s="556"/>
      <c r="UXB52" s="556"/>
      <c r="UXC52" s="556"/>
      <c r="UXD52" s="556"/>
      <c r="UXE52" s="556"/>
      <c r="UXF52" s="556"/>
      <c r="UXG52" s="556"/>
      <c r="UXH52" s="556"/>
      <c r="UXI52" s="556"/>
      <c r="UXJ52" s="556"/>
      <c r="UXK52" s="556"/>
      <c r="UXL52" s="556"/>
      <c r="UXM52" s="556"/>
      <c r="UXN52" s="556"/>
      <c r="UXO52" s="556"/>
      <c r="UXP52" s="556"/>
      <c r="UXQ52" s="556"/>
      <c r="UXR52" s="556"/>
      <c r="UXS52" s="556"/>
      <c r="UXT52" s="556"/>
      <c r="UXU52" s="556"/>
      <c r="UXV52" s="556"/>
      <c r="UXW52" s="556"/>
      <c r="UXX52" s="556"/>
      <c r="UXY52" s="556"/>
      <c r="UXZ52" s="556"/>
      <c r="UYA52" s="556"/>
      <c r="UYB52" s="556"/>
      <c r="UYC52" s="556"/>
      <c r="UYD52" s="556"/>
      <c r="UYE52" s="556"/>
      <c r="UYF52" s="556"/>
      <c r="UYG52" s="556"/>
      <c r="UYH52" s="556"/>
      <c r="UYI52" s="556"/>
      <c r="UYJ52" s="556"/>
      <c r="UYK52" s="556"/>
      <c r="UYL52" s="556"/>
      <c r="UYM52" s="556"/>
      <c r="UYN52" s="556"/>
      <c r="UYO52" s="556"/>
      <c r="UYP52" s="556"/>
      <c r="UYQ52" s="556"/>
      <c r="UYR52" s="556"/>
      <c r="UYS52" s="556"/>
      <c r="UYT52" s="556"/>
      <c r="UYU52" s="556"/>
      <c r="UYV52" s="556"/>
      <c r="UYW52" s="556"/>
      <c r="UYX52" s="556"/>
      <c r="UYY52" s="556"/>
      <c r="UYZ52" s="556"/>
      <c r="UZA52" s="556"/>
      <c r="UZB52" s="556"/>
      <c r="UZC52" s="556"/>
      <c r="UZD52" s="556"/>
      <c r="UZE52" s="556"/>
      <c r="UZF52" s="556"/>
      <c r="UZG52" s="556"/>
      <c r="UZH52" s="556"/>
      <c r="UZI52" s="556"/>
      <c r="UZJ52" s="556"/>
      <c r="UZK52" s="556"/>
      <c r="UZL52" s="556"/>
      <c r="UZM52" s="556"/>
      <c r="UZN52" s="556"/>
      <c r="UZO52" s="556"/>
      <c r="UZP52" s="556"/>
      <c r="UZQ52" s="556"/>
      <c r="UZR52" s="556"/>
      <c r="UZS52" s="556"/>
      <c r="UZT52" s="556"/>
      <c r="UZU52" s="556"/>
      <c r="UZV52" s="556"/>
      <c r="UZW52" s="556"/>
      <c r="UZX52" s="556"/>
      <c r="UZY52" s="556"/>
      <c r="UZZ52" s="556"/>
      <c r="VAA52" s="556"/>
      <c r="VAB52" s="556"/>
      <c r="VAC52" s="556"/>
      <c r="VAD52" s="556"/>
      <c r="VAE52" s="556"/>
      <c r="VAF52" s="556"/>
      <c r="VAG52" s="556"/>
      <c r="VAH52" s="556"/>
      <c r="VAI52" s="556"/>
      <c r="VAJ52" s="556"/>
      <c r="VAK52" s="556"/>
      <c r="VAL52" s="556"/>
      <c r="VAM52" s="556"/>
      <c r="VAN52" s="556"/>
      <c r="VAO52" s="556"/>
      <c r="VAP52" s="556"/>
      <c r="VAQ52" s="556"/>
      <c r="VAR52" s="556"/>
      <c r="VAS52" s="556"/>
      <c r="VAT52" s="556"/>
      <c r="VAU52" s="556"/>
      <c r="VAV52" s="556"/>
      <c r="VAW52" s="556"/>
      <c r="VAX52" s="556"/>
      <c r="VAY52" s="556"/>
      <c r="VAZ52" s="556"/>
      <c r="VBA52" s="556"/>
      <c r="VBB52" s="556"/>
      <c r="VBC52" s="556"/>
      <c r="VBD52" s="556"/>
      <c r="VBE52" s="556"/>
      <c r="VBF52" s="556"/>
      <c r="VBG52" s="556"/>
      <c r="VBH52" s="556"/>
      <c r="VBI52" s="556"/>
      <c r="VBJ52" s="556"/>
      <c r="VBK52" s="556"/>
      <c r="VBL52" s="556"/>
      <c r="VBM52" s="556"/>
      <c r="VBN52" s="556"/>
      <c r="VBO52" s="556"/>
      <c r="VBP52" s="556"/>
      <c r="VBQ52" s="556"/>
      <c r="VBR52" s="556"/>
      <c r="VBS52" s="556"/>
      <c r="VBT52" s="556"/>
      <c r="VBU52" s="556"/>
      <c r="VBV52" s="556"/>
      <c r="VBW52" s="556"/>
      <c r="VBX52" s="556"/>
      <c r="VBY52" s="556"/>
      <c r="VBZ52" s="556"/>
      <c r="VCA52" s="556"/>
      <c r="VCB52" s="556"/>
      <c r="VCC52" s="556"/>
      <c r="VCD52" s="556"/>
      <c r="VCE52" s="556"/>
      <c r="VCF52" s="556"/>
      <c r="VCG52" s="556"/>
      <c r="VCH52" s="556"/>
      <c r="VCI52" s="556"/>
      <c r="VCJ52" s="556"/>
      <c r="VCK52" s="556"/>
      <c r="VCL52" s="556"/>
      <c r="VCM52" s="556"/>
      <c r="VCN52" s="556"/>
      <c r="VCO52" s="556"/>
      <c r="VCP52" s="556"/>
      <c r="VCQ52" s="556"/>
      <c r="VCR52" s="556"/>
      <c r="VCS52" s="556"/>
      <c r="VCT52" s="556"/>
      <c r="VCU52" s="556"/>
      <c r="VCV52" s="556"/>
      <c r="VCW52" s="556"/>
      <c r="VCX52" s="556"/>
      <c r="VCY52" s="556"/>
      <c r="VCZ52" s="556"/>
      <c r="VDA52" s="556"/>
      <c r="VDB52" s="556"/>
      <c r="VDC52" s="556"/>
      <c r="VDD52" s="556"/>
      <c r="VDE52" s="556"/>
      <c r="VDF52" s="556"/>
      <c r="VDG52" s="556"/>
      <c r="VDH52" s="556"/>
      <c r="VDI52" s="556"/>
      <c r="VDJ52" s="556"/>
      <c r="VDK52" s="556"/>
      <c r="VDL52" s="556"/>
      <c r="VDM52" s="556"/>
      <c r="VDN52" s="556"/>
      <c r="VDO52" s="556"/>
      <c r="VDP52" s="556"/>
      <c r="VDQ52" s="556"/>
      <c r="VDR52" s="556"/>
      <c r="VDS52" s="556"/>
      <c r="VDT52" s="556"/>
      <c r="VDU52" s="556"/>
      <c r="VDV52" s="556"/>
      <c r="VDW52" s="556"/>
      <c r="VDX52" s="556"/>
      <c r="VDY52" s="556"/>
      <c r="VDZ52" s="556"/>
      <c r="VEA52" s="556"/>
      <c r="VEB52" s="556"/>
      <c r="VEC52" s="556"/>
      <c r="VED52" s="556"/>
      <c r="VEE52" s="556"/>
      <c r="VEF52" s="556"/>
      <c r="VEG52" s="556"/>
      <c r="VEH52" s="556"/>
      <c r="VEI52" s="556"/>
      <c r="VEJ52" s="556"/>
      <c r="VEK52" s="556"/>
      <c r="VEL52" s="556"/>
      <c r="VEM52" s="556"/>
      <c r="VEN52" s="556"/>
      <c r="VEO52" s="556"/>
      <c r="VEP52" s="556"/>
      <c r="VEQ52" s="556"/>
      <c r="VER52" s="556"/>
      <c r="VES52" s="556"/>
      <c r="VET52" s="556"/>
      <c r="VEU52" s="556"/>
      <c r="VEV52" s="556"/>
      <c r="VEW52" s="556"/>
      <c r="VEX52" s="556"/>
      <c r="VEY52" s="556"/>
      <c r="VEZ52" s="556"/>
      <c r="VFA52" s="556"/>
      <c r="VFB52" s="556"/>
      <c r="VFC52" s="556"/>
      <c r="VFD52" s="556"/>
      <c r="VFE52" s="556"/>
      <c r="VFF52" s="556"/>
      <c r="VFG52" s="556"/>
      <c r="VFH52" s="556"/>
      <c r="VFI52" s="556"/>
      <c r="VFJ52" s="556"/>
      <c r="VFK52" s="556"/>
      <c r="VFL52" s="556"/>
      <c r="VFM52" s="556"/>
      <c r="VFN52" s="556"/>
      <c r="VFO52" s="556"/>
      <c r="VFP52" s="556"/>
      <c r="VFQ52" s="556"/>
      <c r="VFR52" s="556"/>
      <c r="VFS52" s="556"/>
      <c r="VFT52" s="556"/>
      <c r="VFU52" s="556"/>
      <c r="VFV52" s="556"/>
      <c r="VFW52" s="556"/>
      <c r="VFX52" s="556"/>
      <c r="VFY52" s="556"/>
      <c r="VFZ52" s="556"/>
      <c r="VGA52" s="556"/>
      <c r="VGB52" s="556"/>
      <c r="VGC52" s="556"/>
      <c r="VGD52" s="556"/>
      <c r="VGE52" s="556"/>
      <c r="VGF52" s="556"/>
      <c r="VGG52" s="556"/>
      <c r="VGH52" s="556"/>
      <c r="VGI52" s="556"/>
      <c r="VGJ52" s="556"/>
      <c r="VGK52" s="556"/>
      <c r="VGL52" s="556"/>
      <c r="VGM52" s="556"/>
      <c r="VGN52" s="556"/>
      <c r="VGO52" s="556"/>
      <c r="VGP52" s="556"/>
      <c r="VGQ52" s="556"/>
      <c r="VGR52" s="556"/>
      <c r="VGS52" s="556"/>
      <c r="VGT52" s="556"/>
      <c r="VGU52" s="556"/>
      <c r="VGV52" s="556"/>
      <c r="VGW52" s="556"/>
      <c r="VGX52" s="556"/>
      <c r="VGY52" s="556"/>
      <c r="VGZ52" s="556"/>
      <c r="VHA52" s="556"/>
      <c r="VHB52" s="556"/>
      <c r="VHC52" s="556"/>
      <c r="VHD52" s="556"/>
      <c r="VHE52" s="556"/>
      <c r="VHF52" s="556"/>
      <c r="VHG52" s="556"/>
      <c r="VHH52" s="556"/>
      <c r="VHI52" s="556"/>
      <c r="VHJ52" s="556"/>
      <c r="VHK52" s="556"/>
      <c r="VHL52" s="556"/>
      <c r="VHM52" s="556"/>
      <c r="VHN52" s="556"/>
      <c r="VHO52" s="556"/>
      <c r="VHP52" s="556"/>
      <c r="VHQ52" s="556"/>
      <c r="VHR52" s="556"/>
      <c r="VHS52" s="556"/>
      <c r="VHT52" s="556"/>
      <c r="VHU52" s="556"/>
      <c r="VHV52" s="556"/>
      <c r="VHW52" s="556"/>
      <c r="VHX52" s="556"/>
      <c r="VHY52" s="556"/>
      <c r="VHZ52" s="556"/>
      <c r="VIA52" s="556"/>
      <c r="VIB52" s="556"/>
      <c r="VIC52" s="556"/>
      <c r="VID52" s="556"/>
      <c r="VIE52" s="556"/>
      <c r="VIF52" s="556"/>
      <c r="VIG52" s="556"/>
      <c r="VIH52" s="556"/>
      <c r="VII52" s="556"/>
      <c r="VIJ52" s="556"/>
      <c r="VIK52" s="556"/>
      <c r="VIL52" s="556"/>
      <c r="VIM52" s="556"/>
      <c r="VIN52" s="556"/>
      <c r="VIO52" s="556"/>
      <c r="VIP52" s="556"/>
      <c r="VIQ52" s="556"/>
      <c r="VIR52" s="556"/>
      <c r="VIS52" s="556"/>
      <c r="VIT52" s="556"/>
      <c r="VIU52" s="556"/>
      <c r="VIV52" s="556"/>
      <c r="VIW52" s="556"/>
      <c r="VIX52" s="556"/>
      <c r="VIY52" s="556"/>
      <c r="VIZ52" s="556"/>
      <c r="VJA52" s="556"/>
      <c r="VJB52" s="556"/>
      <c r="VJC52" s="556"/>
      <c r="VJD52" s="556"/>
      <c r="VJE52" s="556"/>
      <c r="VJF52" s="556"/>
      <c r="VJG52" s="556"/>
      <c r="VJH52" s="556"/>
      <c r="VJI52" s="556"/>
      <c r="VJJ52" s="556"/>
      <c r="VJK52" s="556"/>
      <c r="VJL52" s="556"/>
      <c r="VJM52" s="556"/>
      <c r="VJN52" s="556"/>
      <c r="VJO52" s="556"/>
      <c r="VJP52" s="556"/>
      <c r="VJQ52" s="556"/>
      <c r="VJR52" s="556"/>
      <c r="VJS52" s="556"/>
      <c r="VJT52" s="556"/>
      <c r="VJU52" s="556"/>
      <c r="VJV52" s="556"/>
      <c r="VJW52" s="556"/>
      <c r="VJX52" s="556"/>
      <c r="VJY52" s="556"/>
      <c r="VJZ52" s="556"/>
      <c r="VKA52" s="556"/>
      <c r="VKB52" s="556"/>
      <c r="VKC52" s="556"/>
      <c r="VKD52" s="556"/>
      <c r="VKE52" s="556"/>
      <c r="VKF52" s="556"/>
      <c r="VKG52" s="556"/>
      <c r="VKH52" s="556"/>
      <c r="VKI52" s="556"/>
      <c r="VKJ52" s="556"/>
      <c r="VKK52" s="556"/>
      <c r="VKL52" s="556"/>
      <c r="VKM52" s="556"/>
      <c r="VKN52" s="556"/>
      <c r="VKO52" s="556"/>
      <c r="VKP52" s="556"/>
      <c r="VKQ52" s="556"/>
      <c r="VKR52" s="556"/>
      <c r="VKS52" s="556"/>
      <c r="VKT52" s="556"/>
      <c r="VKU52" s="556"/>
      <c r="VKV52" s="556"/>
      <c r="VKW52" s="556"/>
      <c r="VKX52" s="556"/>
      <c r="VKY52" s="556"/>
      <c r="VKZ52" s="556"/>
      <c r="VLA52" s="556"/>
      <c r="VLB52" s="556"/>
      <c r="VLC52" s="556"/>
      <c r="VLD52" s="556"/>
      <c r="VLE52" s="556"/>
      <c r="VLF52" s="556"/>
      <c r="VLG52" s="556"/>
      <c r="VLH52" s="556"/>
      <c r="VLI52" s="556"/>
      <c r="VLJ52" s="556"/>
      <c r="VLK52" s="556"/>
      <c r="VLL52" s="556"/>
      <c r="VLM52" s="556"/>
      <c r="VLN52" s="556"/>
      <c r="VLO52" s="556"/>
      <c r="VLP52" s="556"/>
      <c r="VLQ52" s="556"/>
      <c r="VLR52" s="556"/>
      <c r="VLS52" s="556"/>
      <c r="VLT52" s="556"/>
      <c r="VLU52" s="556"/>
      <c r="VLV52" s="556"/>
      <c r="VLW52" s="556"/>
      <c r="VLX52" s="556"/>
      <c r="VLY52" s="556"/>
      <c r="VLZ52" s="556"/>
      <c r="VMA52" s="556"/>
      <c r="VMB52" s="556"/>
      <c r="VMC52" s="556"/>
      <c r="VMD52" s="556"/>
      <c r="VME52" s="556"/>
      <c r="VMF52" s="556"/>
      <c r="VMG52" s="556"/>
      <c r="VMH52" s="556"/>
      <c r="VMI52" s="556"/>
      <c r="VMJ52" s="556"/>
      <c r="VMK52" s="556"/>
      <c r="VML52" s="556"/>
      <c r="VMM52" s="556"/>
      <c r="VMN52" s="556"/>
      <c r="VMO52" s="556"/>
      <c r="VMP52" s="556"/>
      <c r="VMQ52" s="556"/>
      <c r="VMR52" s="556"/>
      <c r="VMS52" s="556"/>
      <c r="VMT52" s="556"/>
      <c r="VMU52" s="556"/>
      <c r="VMV52" s="556"/>
      <c r="VMW52" s="556"/>
      <c r="VMX52" s="556"/>
      <c r="VMY52" s="556"/>
      <c r="VMZ52" s="556"/>
      <c r="VNA52" s="556"/>
      <c r="VNB52" s="556"/>
      <c r="VNC52" s="556"/>
      <c r="VND52" s="556"/>
      <c r="VNE52" s="556"/>
      <c r="VNF52" s="556"/>
      <c r="VNG52" s="556"/>
      <c r="VNH52" s="556"/>
      <c r="VNI52" s="556"/>
      <c r="VNJ52" s="556"/>
      <c r="VNK52" s="556"/>
      <c r="VNL52" s="556"/>
      <c r="VNM52" s="556"/>
      <c r="VNN52" s="556"/>
      <c r="VNO52" s="556"/>
      <c r="VNP52" s="556"/>
      <c r="VNQ52" s="556"/>
      <c r="VNR52" s="556"/>
      <c r="VNS52" s="556"/>
      <c r="VNT52" s="556"/>
      <c r="VNU52" s="556"/>
      <c r="VNV52" s="556"/>
      <c r="VNW52" s="556"/>
      <c r="VNX52" s="556"/>
      <c r="VNY52" s="556"/>
      <c r="VNZ52" s="556"/>
      <c r="VOA52" s="556"/>
      <c r="VOB52" s="556"/>
      <c r="VOC52" s="556"/>
      <c r="VOD52" s="556"/>
      <c r="VOE52" s="556"/>
      <c r="VOF52" s="556"/>
      <c r="VOG52" s="556"/>
      <c r="VOH52" s="556"/>
      <c r="VOI52" s="556"/>
      <c r="VOJ52" s="556"/>
      <c r="VOK52" s="556"/>
      <c r="VOL52" s="556"/>
      <c r="VOM52" s="556"/>
      <c r="VON52" s="556"/>
      <c r="VOO52" s="556"/>
      <c r="VOP52" s="556"/>
      <c r="VOQ52" s="556"/>
      <c r="VOR52" s="556"/>
      <c r="VOS52" s="556"/>
      <c r="VOT52" s="556"/>
      <c r="VOU52" s="556"/>
      <c r="VOV52" s="556"/>
      <c r="VOW52" s="556"/>
      <c r="VOX52" s="556"/>
      <c r="VOY52" s="556"/>
      <c r="VOZ52" s="556"/>
      <c r="VPA52" s="556"/>
      <c r="VPB52" s="556"/>
      <c r="VPC52" s="556"/>
      <c r="VPD52" s="556"/>
      <c r="VPE52" s="556"/>
      <c r="VPF52" s="556"/>
      <c r="VPG52" s="556"/>
      <c r="VPH52" s="556"/>
      <c r="VPI52" s="556"/>
      <c r="VPJ52" s="556"/>
      <c r="VPK52" s="556"/>
      <c r="VPL52" s="556"/>
      <c r="VPM52" s="556"/>
      <c r="VPN52" s="556"/>
      <c r="VPO52" s="556"/>
      <c r="VPP52" s="556"/>
      <c r="VPQ52" s="556"/>
      <c r="VPR52" s="556"/>
      <c r="VPS52" s="556"/>
      <c r="VPT52" s="556"/>
      <c r="VPU52" s="556"/>
      <c r="VPV52" s="556"/>
      <c r="VPW52" s="556"/>
      <c r="VPX52" s="556"/>
      <c r="VPY52" s="556"/>
      <c r="VPZ52" s="556"/>
      <c r="VQA52" s="556"/>
      <c r="VQB52" s="556"/>
      <c r="VQC52" s="556"/>
      <c r="VQD52" s="556"/>
      <c r="VQE52" s="556"/>
      <c r="VQF52" s="556"/>
      <c r="VQG52" s="556"/>
      <c r="VQH52" s="556"/>
      <c r="VQI52" s="556"/>
      <c r="VQJ52" s="556"/>
      <c r="VQK52" s="556"/>
      <c r="VQL52" s="556"/>
      <c r="VQM52" s="556"/>
      <c r="VQN52" s="556"/>
      <c r="VQO52" s="556"/>
      <c r="VQP52" s="556"/>
      <c r="VQQ52" s="556"/>
      <c r="VQR52" s="556"/>
      <c r="VQS52" s="556"/>
      <c r="VQT52" s="556"/>
      <c r="VQU52" s="556"/>
      <c r="VQV52" s="556"/>
      <c r="VQW52" s="556"/>
      <c r="VQX52" s="556"/>
      <c r="VQY52" s="556"/>
      <c r="VQZ52" s="556"/>
      <c r="VRA52" s="556"/>
      <c r="VRB52" s="556"/>
      <c r="VRC52" s="556"/>
      <c r="VRD52" s="556"/>
      <c r="VRE52" s="556"/>
      <c r="VRF52" s="556"/>
      <c r="VRG52" s="556"/>
      <c r="VRH52" s="556"/>
      <c r="VRI52" s="556"/>
      <c r="VRJ52" s="556"/>
      <c r="VRK52" s="556"/>
      <c r="VRL52" s="556"/>
      <c r="VRM52" s="556"/>
      <c r="VRN52" s="556"/>
      <c r="VRO52" s="556"/>
      <c r="VRP52" s="556"/>
      <c r="VRQ52" s="556"/>
      <c r="VRR52" s="556"/>
      <c r="VRS52" s="556"/>
      <c r="VRT52" s="556"/>
      <c r="VRU52" s="556"/>
      <c r="VRV52" s="556"/>
      <c r="VRW52" s="556"/>
      <c r="VRX52" s="556"/>
      <c r="VRY52" s="556"/>
      <c r="VRZ52" s="556"/>
      <c r="VSA52" s="556"/>
      <c r="VSB52" s="556"/>
      <c r="VSC52" s="556"/>
      <c r="VSD52" s="556"/>
      <c r="VSE52" s="556"/>
      <c r="VSF52" s="556"/>
      <c r="VSG52" s="556"/>
      <c r="VSH52" s="556"/>
      <c r="VSI52" s="556"/>
      <c r="VSJ52" s="556"/>
      <c r="VSK52" s="556"/>
      <c r="VSL52" s="556"/>
      <c r="VSM52" s="556"/>
      <c r="VSN52" s="556"/>
      <c r="VSO52" s="556"/>
      <c r="VSP52" s="556"/>
      <c r="VSQ52" s="556"/>
      <c r="VSR52" s="556"/>
      <c r="VSS52" s="556"/>
      <c r="VST52" s="556"/>
      <c r="VSU52" s="556"/>
      <c r="VSV52" s="556"/>
      <c r="VSW52" s="556"/>
      <c r="VSX52" s="556"/>
      <c r="VSY52" s="556"/>
      <c r="VSZ52" s="556"/>
      <c r="VTA52" s="556"/>
      <c r="VTB52" s="556"/>
      <c r="VTC52" s="556"/>
      <c r="VTD52" s="556"/>
      <c r="VTE52" s="556"/>
      <c r="VTF52" s="556"/>
      <c r="VTG52" s="556"/>
      <c r="VTH52" s="556"/>
      <c r="VTI52" s="556"/>
      <c r="VTJ52" s="556"/>
      <c r="VTK52" s="556"/>
      <c r="VTL52" s="556"/>
      <c r="VTM52" s="556"/>
      <c r="VTN52" s="556"/>
      <c r="VTO52" s="556"/>
      <c r="VTP52" s="556"/>
      <c r="VTQ52" s="556"/>
      <c r="VTR52" s="556"/>
      <c r="VTS52" s="556"/>
      <c r="VTT52" s="556"/>
      <c r="VTU52" s="556"/>
      <c r="VTV52" s="556"/>
      <c r="VTW52" s="556"/>
      <c r="VTX52" s="556"/>
      <c r="VTY52" s="556"/>
      <c r="VTZ52" s="556"/>
      <c r="VUA52" s="556"/>
      <c r="VUB52" s="556"/>
      <c r="VUC52" s="556"/>
      <c r="VUD52" s="556"/>
      <c r="VUE52" s="556"/>
      <c r="VUF52" s="556"/>
      <c r="VUG52" s="556"/>
      <c r="VUH52" s="556"/>
      <c r="VUI52" s="556"/>
      <c r="VUJ52" s="556"/>
      <c r="VUK52" s="556"/>
      <c r="VUL52" s="556"/>
      <c r="VUM52" s="556"/>
      <c r="VUN52" s="556"/>
      <c r="VUO52" s="556"/>
      <c r="VUP52" s="556"/>
      <c r="VUQ52" s="556"/>
      <c r="VUR52" s="556"/>
      <c r="VUS52" s="556"/>
      <c r="VUT52" s="556"/>
      <c r="VUU52" s="556"/>
      <c r="VUV52" s="556"/>
      <c r="VUW52" s="556"/>
      <c r="VUX52" s="556"/>
      <c r="VUY52" s="556"/>
      <c r="VUZ52" s="556"/>
      <c r="VVA52" s="556"/>
      <c r="VVB52" s="556"/>
      <c r="VVC52" s="556"/>
      <c r="VVD52" s="556"/>
      <c r="VVE52" s="556"/>
      <c r="VVF52" s="556"/>
      <c r="VVG52" s="556"/>
      <c r="VVH52" s="556"/>
      <c r="VVI52" s="556"/>
      <c r="VVJ52" s="556"/>
      <c r="VVK52" s="556"/>
      <c r="VVL52" s="556"/>
      <c r="VVM52" s="556"/>
      <c r="VVN52" s="556"/>
      <c r="VVO52" s="556"/>
      <c r="VVP52" s="556"/>
      <c r="VVQ52" s="556"/>
      <c r="VVR52" s="556"/>
      <c r="VVS52" s="556"/>
      <c r="VVT52" s="556"/>
      <c r="VVU52" s="556"/>
      <c r="VVV52" s="556"/>
      <c r="VVW52" s="556"/>
      <c r="VVX52" s="556"/>
      <c r="VVY52" s="556"/>
      <c r="VVZ52" s="556"/>
      <c r="VWA52" s="556"/>
      <c r="VWB52" s="556"/>
      <c r="VWC52" s="556"/>
      <c r="VWD52" s="556"/>
      <c r="VWE52" s="556"/>
      <c r="VWF52" s="556"/>
      <c r="VWG52" s="556"/>
      <c r="VWH52" s="556"/>
      <c r="VWI52" s="556"/>
      <c r="VWJ52" s="556"/>
      <c r="VWK52" s="556"/>
      <c r="VWL52" s="556"/>
      <c r="VWM52" s="556"/>
      <c r="VWN52" s="556"/>
      <c r="VWO52" s="556"/>
      <c r="VWP52" s="556"/>
      <c r="VWQ52" s="556"/>
      <c r="VWR52" s="556"/>
      <c r="VWS52" s="556"/>
      <c r="VWT52" s="556"/>
      <c r="VWU52" s="556"/>
      <c r="VWV52" s="556"/>
      <c r="VWW52" s="556"/>
      <c r="VWX52" s="556"/>
      <c r="VWY52" s="556"/>
      <c r="VWZ52" s="556"/>
      <c r="VXA52" s="556"/>
      <c r="VXB52" s="556"/>
      <c r="VXC52" s="556"/>
      <c r="VXD52" s="556"/>
      <c r="VXE52" s="556"/>
      <c r="VXF52" s="556"/>
      <c r="VXG52" s="556"/>
      <c r="VXH52" s="556"/>
      <c r="VXI52" s="556"/>
      <c r="VXJ52" s="556"/>
      <c r="VXK52" s="556"/>
      <c r="VXL52" s="556"/>
      <c r="VXM52" s="556"/>
      <c r="VXN52" s="556"/>
      <c r="VXO52" s="556"/>
      <c r="VXP52" s="556"/>
      <c r="VXQ52" s="556"/>
      <c r="VXR52" s="556"/>
      <c r="VXS52" s="556"/>
      <c r="VXT52" s="556"/>
      <c r="VXU52" s="556"/>
      <c r="VXV52" s="556"/>
      <c r="VXW52" s="556"/>
      <c r="VXX52" s="556"/>
      <c r="VXY52" s="556"/>
      <c r="VXZ52" s="556"/>
      <c r="VYA52" s="556"/>
      <c r="VYB52" s="556"/>
      <c r="VYC52" s="556"/>
      <c r="VYD52" s="556"/>
      <c r="VYE52" s="556"/>
      <c r="VYF52" s="556"/>
      <c r="VYG52" s="556"/>
      <c r="VYH52" s="556"/>
      <c r="VYI52" s="556"/>
      <c r="VYJ52" s="556"/>
      <c r="VYK52" s="556"/>
      <c r="VYL52" s="556"/>
      <c r="VYM52" s="556"/>
      <c r="VYN52" s="556"/>
      <c r="VYO52" s="556"/>
      <c r="VYP52" s="556"/>
      <c r="VYQ52" s="556"/>
      <c r="VYR52" s="556"/>
      <c r="VYS52" s="556"/>
      <c r="VYT52" s="556"/>
      <c r="VYU52" s="556"/>
      <c r="VYV52" s="556"/>
      <c r="VYW52" s="556"/>
      <c r="VYX52" s="556"/>
      <c r="VYY52" s="556"/>
      <c r="VYZ52" s="556"/>
      <c r="VZA52" s="556"/>
      <c r="VZB52" s="556"/>
      <c r="VZC52" s="556"/>
      <c r="VZD52" s="556"/>
      <c r="VZE52" s="556"/>
      <c r="VZF52" s="556"/>
      <c r="VZG52" s="556"/>
      <c r="VZH52" s="556"/>
      <c r="VZI52" s="556"/>
      <c r="VZJ52" s="556"/>
      <c r="VZK52" s="556"/>
      <c r="VZL52" s="556"/>
      <c r="VZM52" s="556"/>
      <c r="VZN52" s="556"/>
      <c r="VZO52" s="556"/>
      <c r="VZP52" s="556"/>
      <c r="VZQ52" s="556"/>
      <c r="VZR52" s="556"/>
      <c r="VZS52" s="556"/>
      <c r="VZT52" s="556"/>
      <c r="VZU52" s="556"/>
      <c r="VZV52" s="556"/>
      <c r="VZW52" s="556"/>
      <c r="VZX52" s="556"/>
      <c r="VZY52" s="556"/>
      <c r="VZZ52" s="556"/>
      <c r="WAA52" s="556"/>
      <c r="WAB52" s="556"/>
      <c r="WAC52" s="556"/>
      <c r="WAD52" s="556"/>
      <c r="WAE52" s="556"/>
      <c r="WAF52" s="556"/>
      <c r="WAG52" s="556"/>
      <c r="WAH52" s="556"/>
      <c r="WAI52" s="556"/>
      <c r="WAJ52" s="556"/>
      <c r="WAK52" s="556"/>
      <c r="WAL52" s="556"/>
      <c r="WAM52" s="556"/>
      <c r="WAN52" s="556"/>
      <c r="WAO52" s="556"/>
      <c r="WAP52" s="556"/>
      <c r="WAQ52" s="556"/>
      <c r="WAR52" s="556"/>
      <c r="WAS52" s="556"/>
      <c r="WAT52" s="556"/>
      <c r="WAU52" s="556"/>
      <c r="WAV52" s="556"/>
      <c r="WAW52" s="556"/>
      <c r="WAX52" s="556"/>
      <c r="WAY52" s="556"/>
      <c r="WAZ52" s="556"/>
      <c r="WBA52" s="556"/>
      <c r="WBB52" s="556"/>
      <c r="WBC52" s="556"/>
      <c r="WBD52" s="556"/>
      <c r="WBE52" s="556"/>
      <c r="WBF52" s="556"/>
      <c r="WBG52" s="556"/>
      <c r="WBH52" s="556"/>
      <c r="WBI52" s="556"/>
      <c r="WBJ52" s="556"/>
      <c r="WBK52" s="556"/>
      <c r="WBL52" s="556"/>
      <c r="WBM52" s="556"/>
      <c r="WBN52" s="556"/>
      <c r="WBO52" s="556"/>
      <c r="WBP52" s="556"/>
      <c r="WBQ52" s="556"/>
      <c r="WBR52" s="556"/>
      <c r="WBS52" s="556"/>
      <c r="WBT52" s="556"/>
      <c r="WBU52" s="556"/>
      <c r="WBV52" s="556"/>
      <c r="WBW52" s="556"/>
      <c r="WBX52" s="556"/>
      <c r="WBY52" s="556"/>
      <c r="WBZ52" s="556"/>
      <c r="WCA52" s="556"/>
      <c r="WCB52" s="556"/>
      <c r="WCC52" s="556"/>
      <c r="WCD52" s="556"/>
      <c r="WCE52" s="556"/>
      <c r="WCF52" s="556"/>
      <c r="WCG52" s="556"/>
      <c r="WCH52" s="556"/>
      <c r="WCI52" s="556"/>
      <c r="WCJ52" s="556"/>
      <c r="WCK52" s="556"/>
      <c r="WCL52" s="556"/>
      <c r="WCM52" s="556"/>
      <c r="WCN52" s="556"/>
      <c r="WCO52" s="556"/>
      <c r="WCP52" s="556"/>
      <c r="WCQ52" s="556"/>
      <c r="WCR52" s="556"/>
      <c r="WCS52" s="556"/>
      <c r="WCT52" s="556"/>
      <c r="WCU52" s="556"/>
      <c r="WCV52" s="556"/>
      <c r="WCW52" s="556"/>
      <c r="WCX52" s="556"/>
      <c r="WCY52" s="556"/>
      <c r="WCZ52" s="556"/>
      <c r="WDA52" s="556"/>
      <c r="WDB52" s="556"/>
      <c r="WDC52" s="556"/>
      <c r="WDD52" s="556"/>
      <c r="WDE52" s="556"/>
      <c r="WDF52" s="556"/>
      <c r="WDG52" s="556"/>
      <c r="WDH52" s="556"/>
      <c r="WDI52" s="556"/>
      <c r="WDJ52" s="556"/>
      <c r="WDK52" s="556"/>
      <c r="WDL52" s="556"/>
      <c r="WDM52" s="556"/>
      <c r="WDN52" s="556"/>
      <c r="WDO52" s="556"/>
      <c r="WDP52" s="556"/>
      <c r="WDQ52" s="556"/>
      <c r="WDR52" s="556"/>
      <c r="WDS52" s="556"/>
      <c r="WDT52" s="556"/>
      <c r="WDU52" s="556"/>
      <c r="WDV52" s="556"/>
      <c r="WDW52" s="556"/>
      <c r="WDX52" s="556"/>
      <c r="WDY52" s="556"/>
      <c r="WDZ52" s="556"/>
      <c r="WEA52" s="556"/>
      <c r="WEB52" s="556"/>
      <c r="WEC52" s="556"/>
      <c r="WED52" s="556"/>
      <c r="WEE52" s="556"/>
      <c r="WEF52" s="556"/>
      <c r="WEG52" s="556"/>
      <c r="WEH52" s="556"/>
      <c r="WEI52" s="556"/>
      <c r="WEJ52" s="556"/>
      <c r="WEK52" s="556"/>
      <c r="WEL52" s="556"/>
      <c r="WEM52" s="556"/>
      <c r="WEN52" s="556"/>
      <c r="WEO52" s="556"/>
      <c r="WEP52" s="556"/>
      <c r="WEQ52" s="556"/>
      <c r="WER52" s="556"/>
      <c r="WES52" s="556"/>
      <c r="WET52" s="556"/>
      <c r="WEU52" s="556"/>
      <c r="WEV52" s="556"/>
      <c r="WEW52" s="556"/>
      <c r="WEX52" s="556"/>
      <c r="WEY52" s="556"/>
      <c r="WEZ52" s="556"/>
      <c r="WFA52" s="556"/>
      <c r="WFB52" s="556"/>
      <c r="WFC52" s="556"/>
      <c r="WFD52" s="556"/>
      <c r="WFE52" s="556"/>
      <c r="WFF52" s="556"/>
      <c r="WFG52" s="556"/>
      <c r="WFH52" s="556"/>
      <c r="WFI52" s="556"/>
      <c r="WFJ52" s="556"/>
      <c r="WFK52" s="556"/>
      <c r="WFL52" s="556"/>
      <c r="WFM52" s="556"/>
      <c r="WFN52" s="556"/>
      <c r="WFO52" s="556"/>
      <c r="WFP52" s="556"/>
      <c r="WFQ52" s="556"/>
      <c r="WFR52" s="556"/>
      <c r="WFS52" s="556"/>
      <c r="WFT52" s="556"/>
      <c r="WFU52" s="556"/>
      <c r="WFV52" s="556"/>
      <c r="WFW52" s="556"/>
      <c r="WFX52" s="556"/>
      <c r="WFY52" s="556"/>
      <c r="WFZ52" s="556"/>
      <c r="WGA52" s="556"/>
      <c r="WGB52" s="556"/>
      <c r="WGC52" s="556"/>
      <c r="WGD52" s="556"/>
      <c r="WGE52" s="556"/>
      <c r="WGF52" s="556"/>
      <c r="WGG52" s="556"/>
      <c r="WGH52" s="556"/>
      <c r="WGI52" s="556"/>
      <c r="WGJ52" s="556"/>
      <c r="WGK52" s="556"/>
      <c r="WGL52" s="556"/>
      <c r="WGM52" s="556"/>
      <c r="WGN52" s="556"/>
      <c r="WGO52" s="556"/>
      <c r="WGP52" s="556"/>
      <c r="WGQ52" s="556"/>
      <c r="WGR52" s="556"/>
      <c r="WGS52" s="556"/>
      <c r="WGT52" s="556"/>
      <c r="WGU52" s="556"/>
      <c r="WGV52" s="556"/>
      <c r="WGW52" s="556"/>
      <c r="WGX52" s="556"/>
      <c r="WGY52" s="556"/>
      <c r="WGZ52" s="556"/>
      <c r="WHA52" s="556"/>
      <c r="WHB52" s="556"/>
      <c r="WHC52" s="556"/>
      <c r="WHD52" s="556"/>
      <c r="WHE52" s="556"/>
      <c r="WHF52" s="556"/>
      <c r="WHG52" s="556"/>
      <c r="WHH52" s="556"/>
      <c r="WHI52" s="556"/>
      <c r="WHJ52" s="556"/>
      <c r="WHK52" s="556"/>
      <c r="WHL52" s="556"/>
      <c r="WHM52" s="556"/>
      <c r="WHN52" s="556"/>
      <c r="WHO52" s="556"/>
      <c r="WHP52" s="556"/>
      <c r="WHQ52" s="556"/>
      <c r="WHR52" s="556"/>
      <c r="WHS52" s="556"/>
      <c r="WHT52" s="556"/>
      <c r="WHU52" s="556"/>
      <c r="WHV52" s="556"/>
      <c r="WHW52" s="556"/>
      <c r="WHX52" s="556"/>
      <c r="WHY52" s="556"/>
      <c r="WHZ52" s="556"/>
      <c r="WIA52" s="556"/>
      <c r="WIB52" s="556"/>
      <c r="WIC52" s="556"/>
      <c r="WID52" s="556"/>
      <c r="WIE52" s="556"/>
      <c r="WIF52" s="556"/>
      <c r="WIG52" s="556"/>
      <c r="WIH52" s="556"/>
      <c r="WII52" s="556"/>
      <c r="WIJ52" s="556"/>
      <c r="WIK52" s="556"/>
      <c r="WIL52" s="556"/>
      <c r="WIM52" s="556"/>
      <c r="WIN52" s="556"/>
      <c r="WIO52" s="556"/>
      <c r="WIP52" s="556"/>
      <c r="WIQ52" s="556"/>
      <c r="WIR52" s="556"/>
      <c r="WIS52" s="556"/>
      <c r="WIT52" s="556"/>
      <c r="WIU52" s="556"/>
      <c r="WIV52" s="556"/>
      <c r="WIW52" s="556"/>
      <c r="WIX52" s="556"/>
      <c r="WIY52" s="556"/>
      <c r="WIZ52" s="556"/>
      <c r="WJA52" s="556"/>
      <c r="WJB52" s="556"/>
      <c r="WJC52" s="556"/>
      <c r="WJD52" s="556"/>
      <c r="WJE52" s="556"/>
      <c r="WJF52" s="556"/>
      <c r="WJG52" s="556"/>
      <c r="WJH52" s="556"/>
      <c r="WJI52" s="556"/>
      <c r="WJJ52" s="556"/>
      <c r="WJK52" s="556"/>
      <c r="WJL52" s="556"/>
      <c r="WJM52" s="556"/>
      <c r="WJN52" s="556"/>
      <c r="WJO52" s="556"/>
      <c r="WJP52" s="556"/>
      <c r="WJQ52" s="556"/>
      <c r="WJR52" s="556"/>
      <c r="WJS52" s="556"/>
      <c r="WJT52" s="556"/>
      <c r="WJU52" s="556"/>
      <c r="WJV52" s="556"/>
      <c r="WJW52" s="556"/>
      <c r="WJX52" s="556"/>
      <c r="WJY52" s="556"/>
      <c r="WJZ52" s="556"/>
      <c r="WKA52" s="556"/>
      <c r="WKB52" s="556"/>
      <c r="WKC52" s="556"/>
      <c r="WKD52" s="556"/>
      <c r="WKE52" s="556"/>
      <c r="WKF52" s="556"/>
      <c r="WKG52" s="556"/>
      <c r="WKH52" s="556"/>
      <c r="WKI52" s="556"/>
      <c r="WKJ52" s="556"/>
      <c r="WKK52" s="556"/>
      <c r="WKL52" s="556"/>
      <c r="WKM52" s="556"/>
      <c r="WKN52" s="556"/>
      <c r="WKO52" s="556"/>
      <c r="WKP52" s="556"/>
      <c r="WKQ52" s="556"/>
      <c r="WKR52" s="556"/>
      <c r="WKS52" s="556"/>
      <c r="WKT52" s="556"/>
      <c r="WKU52" s="556"/>
      <c r="WKV52" s="556"/>
      <c r="WKW52" s="556"/>
      <c r="WKX52" s="556"/>
      <c r="WKY52" s="556"/>
      <c r="WKZ52" s="556"/>
      <c r="WLA52" s="556"/>
      <c r="WLB52" s="556"/>
      <c r="WLC52" s="556"/>
      <c r="WLD52" s="556"/>
      <c r="WLE52" s="556"/>
      <c r="WLF52" s="556"/>
      <c r="WLG52" s="556"/>
      <c r="WLH52" s="556"/>
      <c r="WLI52" s="556"/>
      <c r="WLJ52" s="556"/>
      <c r="WLK52" s="556"/>
      <c r="WLL52" s="556"/>
      <c r="WLM52" s="556"/>
      <c r="WLN52" s="556"/>
      <c r="WLO52" s="556"/>
      <c r="WLP52" s="556"/>
      <c r="WLQ52" s="556"/>
      <c r="WLR52" s="556"/>
      <c r="WLS52" s="556"/>
      <c r="WLT52" s="556"/>
      <c r="WLU52" s="556"/>
      <c r="WLV52" s="556"/>
      <c r="WLW52" s="556"/>
      <c r="WLX52" s="556"/>
      <c r="WLY52" s="556"/>
      <c r="WLZ52" s="556"/>
      <c r="WMA52" s="556"/>
      <c r="WMB52" s="556"/>
      <c r="WMC52" s="556"/>
      <c r="WMD52" s="556"/>
      <c r="WME52" s="556"/>
      <c r="WMF52" s="556"/>
      <c r="WMG52" s="556"/>
      <c r="WMH52" s="556"/>
      <c r="WMI52" s="556"/>
      <c r="WMJ52" s="556"/>
      <c r="WMK52" s="556"/>
      <c r="WML52" s="556"/>
      <c r="WMM52" s="556"/>
      <c r="WMN52" s="556"/>
      <c r="WMO52" s="556"/>
      <c r="WMP52" s="556"/>
      <c r="WMQ52" s="556"/>
      <c r="WMR52" s="556"/>
      <c r="WMS52" s="556"/>
      <c r="WMT52" s="556"/>
      <c r="WMU52" s="556"/>
      <c r="WMV52" s="556"/>
      <c r="WMW52" s="556"/>
      <c r="WMX52" s="556"/>
      <c r="WMY52" s="556"/>
      <c r="WMZ52" s="556"/>
      <c r="WNA52" s="556"/>
      <c r="WNB52" s="556"/>
      <c r="WNC52" s="556"/>
      <c r="WND52" s="556"/>
      <c r="WNE52" s="556"/>
      <c r="WNF52" s="556"/>
      <c r="WNG52" s="556"/>
      <c r="WNH52" s="556"/>
      <c r="WNI52" s="556"/>
      <c r="WNJ52" s="556"/>
      <c r="WNK52" s="556"/>
      <c r="WNL52" s="556"/>
      <c r="WNM52" s="556"/>
      <c r="WNN52" s="556"/>
      <c r="WNO52" s="556"/>
      <c r="WNP52" s="556"/>
      <c r="WNQ52" s="556"/>
      <c r="WNR52" s="556"/>
      <c r="WNS52" s="556"/>
      <c r="WNT52" s="556"/>
      <c r="WNU52" s="556"/>
      <c r="WNV52" s="556"/>
      <c r="WNW52" s="556"/>
      <c r="WNX52" s="556"/>
      <c r="WNY52" s="556"/>
      <c r="WNZ52" s="556"/>
      <c r="WOA52" s="556"/>
      <c r="WOB52" s="556"/>
      <c r="WOC52" s="556"/>
      <c r="WOD52" s="556"/>
      <c r="WOE52" s="556"/>
      <c r="WOF52" s="556"/>
      <c r="WOG52" s="556"/>
      <c r="WOH52" s="556"/>
      <c r="WOI52" s="556"/>
      <c r="WOJ52" s="556"/>
      <c r="WOK52" s="556"/>
      <c r="WOL52" s="556"/>
      <c r="WOM52" s="556"/>
      <c r="WON52" s="556"/>
      <c r="WOO52" s="556"/>
      <c r="WOP52" s="556"/>
      <c r="WOQ52" s="556"/>
      <c r="WOR52" s="556"/>
      <c r="WOS52" s="556"/>
      <c r="WOT52" s="556"/>
      <c r="WOU52" s="556"/>
      <c r="WOV52" s="556"/>
      <c r="WOW52" s="556"/>
      <c r="WOX52" s="556"/>
      <c r="WOY52" s="556"/>
      <c r="WOZ52" s="556"/>
      <c r="WPA52" s="556"/>
      <c r="WPB52" s="556"/>
      <c r="WPC52" s="556"/>
      <c r="WPD52" s="556"/>
      <c r="WPE52" s="556"/>
      <c r="WPF52" s="556"/>
      <c r="WPG52" s="556"/>
      <c r="WPH52" s="556"/>
      <c r="WPI52" s="556"/>
      <c r="WPJ52" s="556"/>
      <c r="WPK52" s="556"/>
      <c r="WPL52" s="556"/>
      <c r="WPM52" s="556"/>
      <c r="WPN52" s="556"/>
      <c r="WPO52" s="556"/>
      <c r="WPP52" s="556"/>
      <c r="WPQ52" s="556"/>
      <c r="WPR52" s="556"/>
      <c r="WPS52" s="556"/>
      <c r="WPT52" s="556"/>
      <c r="WPU52" s="556"/>
      <c r="WPV52" s="556"/>
      <c r="WPW52" s="556"/>
      <c r="WPX52" s="556"/>
      <c r="WPY52" s="556"/>
      <c r="WPZ52" s="556"/>
      <c r="WQA52" s="556"/>
      <c r="WQB52" s="556"/>
      <c r="WQC52" s="556"/>
      <c r="WQD52" s="556"/>
      <c r="WQE52" s="556"/>
      <c r="WQF52" s="556"/>
      <c r="WQG52" s="556"/>
      <c r="WQH52" s="556"/>
      <c r="WQI52" s="556"/>
      <c r="WQJ52" s="556"/>
      <c r="WQK52" s="556"/>
      <c r="WQL52" s="556"/>
      <c r="WQM52" s="556"/>
      <c r="WQN52" s="556"/>
      <c r="WQO52" s="556"/>
      <c r="WQP52" s="556"/>
      <c r="WQQ52" s="556"/>
      <c r="WQR52" s="556"/>
      <c r="WQS52" s="556"/>
      <c r="WQT52" s="556"/>
      <c r="WQU52" s="556"/>
      <c r="WQV52" s="556"/>
      <c r="WQW52" s="556"/>
      <c r="WQX52" s="556"/>
      <c r="WQY52" s="556"/>
      <c r="WQZ52" s="556"/>
      <c r="WRA52" s="556"/>
      <c r="WRB52" s="556"/>
      <c r="WRC52" s="556"/>
      <c r="WRD52" s="556"/>
      <c r="WRE52" s="556"/>
      <c r="WRF52" s="556"/>
      <c r="WRG52" s="556"/>
      <c r="WRH52" s="556"/>
      <c r="WRI52" s="556"/>
      <c r="WRJ52" s="556"/>
      <c r="WRK52" s="556"/>
      <c r="WRL52" s="556"/>
      <c r="WRM52" s="556"/>
      <c r="WRN52" s="556"/>
      <c r="WRO52" s="556"/>
      <c r="WRP52" s="556"/>
      <c r="WRQ52" s="556"/>
      <c r="WRR52" s="556"/>
      <c r="WRS52" s="556"/>
      <c r="WRT52" s="556"/>
      <c r="WRU52" s="556"/>
      <c r="WRV52" s="556"/>
      <c r="WRW52" s="556"/>
      <c r="WRX52" s="556"/>
      <c r="WRY52" s="556"/>
      <c r="WRZ52" s="556"/>
      <c r="WSA52" s="556"/>
      <c r="WSB52" s="556"/>
      <c r="WSC52" s="556"/>
      <c r="WSD52" s="556"/>
      <c r="WSE52" s="556"/>
      <c r="WSF52" s="556"/>
      <c r="WSG52" s="556"/>
      <c r="WSH52" s="556"/>
      <c r="WSI52" s="556"/>
      <c r="WSJ52" s="556"/>
      <c r="WSK52" s="556"/>
      <c r="WSL52" s="556"/>
      <c r="WSM52" s="556"/>
      <c r="WSN52" s="556"/>
      <c r="WSO52" s="556"/>
      <c r="WSP52" s="556"/>
      <c r="WSQ52" s="556"/>
      <c r="WSR52" s="556"/>
      <c r="WSS52" s="556"/>
      <c r="WST52" s="556"/>
      <c r="WSU52" s="556"/>
      <c r="WSV52" s="556"/>
      <c r="WSW52" s="556"/>
      <c r="WSX52" s="556"/>
      <c r="WSY52" s="556"/>
      <c r="WSZ52" s="556"/>
      <c r="WTA52" s="556"/>
      <c r="WTB52" s="556"/>
      <c r="WTC52" s="556"/>
      <c r="WTD52" s="556"/>
      <c r="WTE52" s="556"/>
      <c r="WTF52" s="556"/>
      <c r="WTG52" s="556"/>
      <c r="WTH52" s="556"/>
      <c r="WTI52" s="556"/>
      <c r="WTJ52" s="556"/>
      <c r="WTK52" s="556"/>
      <c r="WTL52" s="556"/>
      <c r="WTM52" s="556"/>
      <c r="WTN52" s="556"/>
      <c r="WTO52" s="556"/>
      <c r="WTP52" s="556"/>
      <c r="WTQ52" s="556"/>
      <c r="WTR52" s="556"/>
      <c r="WTS52" s="556"/>
      <c r="WTT52" s="556"/>
      <c r="WTU52" s="556"/>
      <c r="WTV52" s="556"/>
      <c r="WTW52" s="556"/>
      <c r="WTX52" s="556"/>
      <c r="WTY52" s="556"/>
      <c r="WTZ52" s="556"/>
      <c r="WUA52" s="556"/>
      <c r="WUB52" s="556"/>
      <c r="WUC52" s="556"/>
      <c r="WUD52" s="556"/>
      <c r="WUE52" s="556"/>
      <c r="WUF52" s="556"/>
      <c r="WUG52" s="556"/>
      <c r="WUH52" s="556"/>
      <c r="WUI52" s="556"/>
      <c r="WUJ52" s="556"/>
      <c r="WUK52" s="556"/>
      <c r="WUL52" s="556"/>
      <c r="WUM52" s="556"/>
      <c r="WUN52" s="556"/>
      <c r="WUO52" s="556"/>
      <c r="WUP52" s="556"/>
      <c r="WUQ52" s="556"/>
      <c r="WUR52" s="556"/>
      <c r="WUS52" s="556"/>
      <c r="WUT52" s="556"/>
      <c r="WUU52" s="556"/>
      <c r="WUV52" s="556"/>
      <c r="WUW52" s="556"/>
      <c r="WUX52" s="556"/>
      <c r="WUY52" s="556"/>
      <c r="WUZ52" s="556"/>
      <c r="WVA52" s="556"/>
      <c r="WVB52" s="556"/>
      <c r="WVC52" s="556"/>
      <c r="WVD52" s="556"/>
      <c r="WVE52" s="556"/>
      <c r="WVF52" s="556"/>
      <c r="WVG52" s="556"/>
      <c r="WVH52" s="556"/>
      <c r="WVI52" s="556"/>
      <c r="WVJ52" s="556"/>
      <c r="WVK52" s="556"/>
      <c r="WVL52" s="556"/>
      <c r="WVM52" s="556"/>
      <c r="WVN52" s="556"/>
      <c r="WVO52" s="556"/>
      <c r="WVP52" s="556"/>
      <c r="WVQ52" s="556"/>
      <c r="WVR52" s="556"/>
      <c r="WVS52" s="556"/>
      <c r="WVT52" s="556"/>
      <c r="WVU52" s="556"/>
      <c r="WVV52" s="556"/>
      <c r="WVW52" s="556"/>
      <c r="WVX52" s="556"/>
      <c r="WVY52" s="556"/>
      <c r="WVZ52" s="556"/>
      <c r="WWA52" s="556"/>
      <c r="WWB52" s="556"/>
      <c r="WWC52" s="556"/>
      <c r="WWD52" s="556"/>
      <c r="WWE52" s="556"/>
      <c r="WWF52" s="556"/>
      <c r="WWG52" s="556"/>
      <c r="WWH52" s="556"/>
      <c r="WWI52" s="556"/>
      <c r="WWJ52" s="556"/>
      <c r="WWK52" s="556"/>
      <c r="WWL52" s="556"/>
      <c r="WWM52" s="556"/>
      <c r="WWN52" s="556"/>
      <c r="WWO52" s="556"/>
      <c r="WWP52" s="556"/>
      <c r="WWQ52" s="556"/>
      <c r="WWR52" s="556"/>
      <c r="WWS52" s="556"/>
      <c r="WWT52" s="556"/>
      <c r="WWU52" s="556"/>
      <c r="WWV52" s="556"/>
      <c r="WWW52" s="556"/>
      <c r="WWX52" s="556"/>
      <c r="WWY52" s="556"/>
      <c r="WWZ52" s="556"/>
      <c r="WXA52" s="556"/>
      <c r="WXB52" s="556"/>
      <c r="WXC52" s="556"/>
      <c r="WXD52" s="556"/>
      <c r="WXE52" s="556"/>
      <c r="WXF52" s="556"/>
      <c r="WXG52" s="556"/>
      <c r="WXH52" s="556"/>
      <c r="WXI52" s="556"/>
      <c r="WXJ52" s="556"/>
      <c r="WXK52" s="556"/>
      <c r="WXL52" s="556"/>
      <c r="WXM52" s="556"/>
      <c r="WXN52" s="556"/>
      <c r="WXO52" s="556"/>
      <c r="WXP52" s="556"/>
      <c r="WXQ52" s="556"/>
      <c r="WXR52" s="556"/>
      <c r="WXS52" s="556"/>
      <c r="WXT52" s="556"/>
      <c r="WXU52" s="556"/>
      <c r="WXV52" s="556"/>
      <c r="WXW52" s="556"/>
      <c r="WXX52" s="556"/>
      <c r="WXY52" s="556"/>
      <c r="WXZ52" s="556"/>
      <c r="WYA52" s="556"/>
      <c r="WYB52" s="556"/>
      <c r="WYC52" s="556"/>
      <c r="WYD52" s="556"/>
      <c r="WYE52" s="556"/>
      <c r="WYF52" s="556"/>
      <c r="WYG52" s="556"/>
      <c r="WYH52" s="556"/>
      <c r="WYI52" s="556"/>
      <c r="WYJ52" s="556"/>
      <c r="WYK52" s="556"/>
      <c r="WYL52" s="556"/>
      <c r="WYM52" s="556"/>
      <c r="WYN52" s="556"/>
      <c r="WYO52" s="556"/>
      <c r="WYP52" s="556"/>
      <c r="WYQ52" s="556"/>
      <c r="WYR52" s="556"/>
      <c r="WYS52" s="556"/>
      <c r="WYT52" s="556"/>
      <c r="WYU52" s="556"/>
      <c r="WYV52" s="556"/>
      <c r="WYW52" s="556"/>
      <c r="WYX52" s="556"/>
      <c r="WYY52" s="556"/>
      <c r="WYZ52" s="556"/>
      <c r="WZA52" s="556"/>
      <c r="WZB52" s="556"/>
      <c r="WZC52" s="556"/>
      <c r="WZD52" s="556"/>
      <c r="WZE52" s="556"/>
      <c r="WZF52" s="556"/>
      <c r="WZG52" s="556"/>
      <c r="WZH52" s="556"/>
      <c r="WZI52" s="556"/>
      <c r="WZJ52" s="556"/>
      <c r="WZK52" s="556"/>
      <c r="WZL52" s="556"/>
      <c r="WZM52" s="556"/>
      <c r="WZN52" s="556"/>
      <c r="WZO52" s="556"/>
      <c r="WZP52" s="556"/>
      <c r="WZQ52" s="556"/>
      <c r="WZR52" s="556"/>
      <c r="WZS52" s="556"/>
      <c r="WZT52" s="556"/>
      <c r="WZU52" s="556"/>
      <c r="WZV52" s="556"/>
      <c r="WZW52" s="556"/>
      <c r="WZX52" s="556"/>
      <c r="WZY52" s="556"/>
      <c r="WZZ52" s="556"/>
      <c r="XAA52" s="556"/>
      <c r="XAB52" s="556"/>
      <c r="XAC52" s="556"/>
      <c r="XAD52" s="556"/>
      <c r="XAE52" s="556"/>
      <c r="XAF52" s="556"/>
      <c r="XAG52" s="556"/>
      <c r="XAH52" s="556"/>
      <c r="XAI52" s="556"/>
      <c r="XAJ52" s="556"/>
      <c r="XAK52" s="556"/>
      <c r="XAL52" s="556"/>
      <c r="XAM52" s="556"/>
      <c r="XAN52" s="556"/>
      <c r="XAO52" s="556"/>
      <c r="XAP52" s="556"/>
      <c r="XAQ52" s="556"/>
      <c r="XAR52" s="556"/>
      <c r="XAS52" s="556"/>
      <c r="XAT52" s="556"/>
      <c r="XAU52" s="556"/>
      <c r="XAV52" s="556"/>
      <c r="XAW52" s="556"/>
      <c r="XAX52" s="556"/>
      <c r="XAY52" s="556"/>
      <c r="XAZ52" s="556"/>
      <c r="XBA52" s="556"/>
      <c r="XBB52" s="556"/>
      <c r="XBC52" s="556"/>
      <c r="XBD52" s="556"/>
      <c r="XBE52" s="556"/>
      <c r="XBF52" s="556"/>
      <c r="XBG52" s="556"/>
      <c r="XBH52" s="556"/>
      <c r="XBI52" s="556"/>
      <c r="XBJ52" s="556"/>
      <c r="XBK52" s="556"/>
      <c r="XBL52" s="556"/>
      <c r="XBM52" s="556"/>
      <c r="XBN52" s="556"/>
      <c r="XBO52" s="556"/>
      <c r="XBP52" s="556"/>
      <c r="XBQ52" s="556"/>
      <c r="XBR52" s="556"/>
      <c r="XBS52" s="556"/>
      <c r="XBT52" s="556"/>
      <c r="XBU52" s="556"/>
      <c r="XBV52" s="556"/>
      <c r="XBW52" s="556"/>
      <c r="XBX52" s="556"/>
      <c r="XBY52" s="556"/>
      <c r="XBZ52" s="556"/>
      <c r="XCA52" s="556"/>
      <c r="XCB52" s="556"/>
      <c r="XCC52" s="556"/>
      <c r="XCD52" s="556"/>
      <c r="XCE52" s="556"/>
      <c r="XCF52" s="556"/>
      <c r="XCG52" s="556"/>
      <c r="XCH52" s="556"/>
      <c r="XCI52" s="556"/>
      <c r="XCJ52" s="556"/>
      <c r="XCK52" s="556"/>
      <c r="XCL52" s="556"/>
      <c r="XCM52" s="556"/>
      <c r="XCN52" s="556"/>
      <c r="XCO52" s="556"/>
      <c r="XCP52" s="556"/>
      <c r="XCQ52" s="556"/>
      <c r="XCR52" s="556"/>
      <c r="XCS52" s="556"/>
      <c r="XCT52" s="556"/>
      <c r="XCU52" s="556"/>
      <c r="XCV52" s="556"/>
      <c r="XCW52" s="556"/>
      <c r="XCX52" s="556"/>
      <c r="XCY52" s="556"/>
      <c r="XCZ52" s="556"/>
      <c r="XDA52" s="556"/>
      <c r="XDB52" s="556"/>
      <c r="XDC52" s="556"/>
      <c r="XDD52" s="556"/>
      <c r="XDE52" s="556"/>
      <c r="XDF52" s="556"/>
      <c r="XDG52" s="556"/>
      <c r="XDH52" s="556"/>
      <c r="XDI52" s="556"/>
      <c r="XDJ52" s="556"/>
      <c r="XDK52" s="556"/>
      <c r="XDL52" s="556"/>
      <c r="XDM52" s="556"/>
      <c r="XDN52" s="556"/>
      <c r="XDO52" s="556"/>
      <c r="XDP52" s="556"/>
      <c r="XDQ52" s="556"/>
      <c r="XDR52" s="556"/>
      <c r="XDS52" s="556"/>
      <c r="XDT52" s="556"/>
      <c r="XDU52" s="556"/>
      <c r="XDV52" s="556"/>
      <c r="XDW52" s="556"/>
      <c r="XDX52" s="556"/>
      <c r="XDY52" s="556"/>
      <c r="XDZ52" s="556"/>
      <c r="XEA52" s="556"/>
      <c r="XEB52" s="556"/>
      <c r="XEC52" s="556"/>
      <c r="XED52" s="556"/>
      <c r="XEE52" s="556"/>
      <c r="XEF52" s="556"/>
      <c r="XEG52" s="556"/>
      <c r="XEH52" s="556"/>
      <c r="XEI52" s="556"/>
      <c r="XEJ52" s="556"/>
      <c r="XEK52" s="556"/>
    </row>
    <row r="53" spans="1:16365" s="60" customFormat="1" ht="17.25" customHeight="1" x14ac:dyDescent="0.3">
      <c r="A53" s="552" t="s">
        <v>67</v>
      </c>
      <c r="B53" s="552"/>
      <c r="C53" s="552"/>
      <c r="D53" s="552"/>
      <c r="E53" s="552"/>
      <c r="F53" s="182"/>
      <c r="G53" s="402">
        <f t="shared" ref="G53" si="2">SUM(G51:G52)</f>
        <v>0</v>
      </c>
      <c r="H53" s="308"/>
      <c r="I53" s="308"/>
      <c r="J53" s="308"/>
      <c r="K53" s="308"/>
      <c r="L53" s="308"/>
      <c r="M53" s="352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6"/>
      <c r="AF53" s="556"/>
      <c r="AG53" s="556"/>
      <c r="AH53" s="556"/>
      <c r="AI53" s="556"/>
      <c r="AJ53" s="556"/>
      <c r="AK53" s="556"/>
      <c r="AL53" s="556"/>
      <c r="AM53" s="556"/>
      <c r="AN53" s="556"/>
      <c r="AO53" s="556"/>
      <c r="AP53" s="556"/>
      <c r="AQ53" s="556"/>
      <c r="AR53" s="556"/>
      <c r="AS53" s="556"/>
      <c r="AT53" s="556"/>
      <c r="AU53" s="556"/>
      <c r="AV53" s="556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  <c r="BG53" s="556"/>
      <c r="BH53" s="556"/>
      <c r="BI53" s="556"/>
      <c r="BJ53" s="556"/>
      <c r="BK53" s="556"/>
      <c r="BL53" s="556"/>
      <c r="BM53" s="556"/>
      <c r="BN53" s="556"/>
      <c r="BO53" s="556"/>
      <c r="BP53" s="556"/>
      <c r="BQ53" s="556"/>
      <c r="BR53" s="556"/>
      <c r="BS53" s="556"/>
      <c r="BT53" s="556"/>
      <c r="BU53" s="556"/>
      <c r="BV53" s="556"/>
      <c r="BW53" s="556"/>
      <c r="BX53" s="556"/>
      <c r="BY53" s="556"/>
      <c r="BZ53" s="556"/>
      <c r="CA53" s="556"/>
      <c r="CB53" s="556"/>
      <c r="CC53" s="556"/>
      <c r="CD53" s="556"/>
      <c r="CE53" s="556"/>
      <c r="CF53" s="556"/>
      <c r="CG53" s="556"/>
      <c r="CH53" s="556"/>
      <c r="CI53" s="556"/>
      <c r="CJ53" s="556"/>
      <c r="CK53" s="556"/>
      <c r="CL53" s="556"/>
      <c r="CM53" s="556"/>
      <c r="CN53" s="556"/>
      <c r="CO53" s="556"/>
      <c r="CP53" s="556"/>
      <c r="CQ53" s="556"/>
      <c r="CR53" s="556"/>
      <c r="CS53" s="556"/>
      <c r="CT53" s="556"/>
      <c r="CU53" s="556"/>
      <c r="CV53" s="556"/>
      <c r="CW53" s="556"/>
      <c r="CX53" s="556"/>
      <c r="CY53" s="556"/>
      <c r="CZ53" s="556"/>
      <c r="DA53" s="556"/>
      <c r="DB53" s="556"/>
      <c r="DC53" s="556"/>
      <c r="DD53" s="556"/>
      <c r="DE53" s="556"/>
      <c r="DF53" s="556"/>
      <c r="DG53" s="556"/>
      <c r="DH53" s="556"/>
      <c r="DI53" s="556"/>
      <c r="DJ53" s="556"/>
      <c r="DK53" s="556"/>
      <c r="DL53" s="556"/>
      <c r="DM53" s="556"/>
      <c r="DN53" s="556"/>
      <c r="DO53" s="556"/>
      <c r="DP53" s="556"/>
      <c r="DQ53" s="556"/>
      <c r="DR53" s="556"/>
      <c r="DS53" s="556"/>
      <c r="DT53" s="556"/>
      <c r="DU53" s="556"/>
      <c r="DV53" s="556"/>
      <c r="DW53" s="556"/>
      <c r="DX53" s="556"/>
      <c r="DY53" s="556"/>
      <c r="DZ53" s="556"/>
      <c r="EA53" s="556"/>
      <c r="EB53" s="556"/>
      <c r="EC53" s="556"/>
      <c r="ED53" s="556"/>
      <c r="EE53" s="556"/>
      <c r="EF53" s="556"/>
      <c r="EG53" s="556"/>
      <c r="EH53" s="556"/>
      <c r="EI53" s="556"/>
      <c r="EJ53" s="556"/>
      <c r="EK53" s="556"/>
      <c r="EL53" s="556"/>
      <c r="EM53" s="556"/>
      <c r="EN53" s="556"/>
      <c r="EO53" s="556"/>
      <c r="EP53" s="556"/>
      <c r="EQ53" s="556"/>
      <c r="ER53" s="556"/>
      <c r="ES53" s="556"/>
      <c r="ET53" s="556"/>
      <c r="EU53" s="556"/>
      <c r="EV53" s="556"/>
      <c r="EW53" s="556"/>
      <c r="EX53" s="556"/>
      <c r="EY53" s="556"/>
      <c r="EZ53" s="556"/>
      <c r="FA53" s="556"/>
      <c r="FB53" s="556"/>
      <c r="FC53" s="556"/>
      <c r="FD53" s="556"/>
      <c r="FE53" s="556"/>
      <c r="FF53" s="556"/>
      <c r="FG53" s="556"/>
      <c r="FH53" s="556"/>
      <c r="FI53" s="556"/>
      <c r="FJ53" s="556"/>
      <c r="FK53" s="556"/>
      <c r="FL53" s="556"/>
      <c r="FM53" s="556"/>
      <c r="FN53" s="556"/>
      <c r="FO53" s="556"/>
      <c r="FP53" s="556"/>
      <c r="FQ53" s="556"/>
      <c r="FR53" s="556"/>
      <c r="FS53" s="556"/>
      <c r="FT53" s="556"/>
      <c r="FU53" s="556"/>
      <c r="FV53" s="556"/>
      <c r="FW53" s="556"/>
      <c r="FX53" s="556"/>
      <c r="FY53" s="556"/>
      <c r="FZ53" s="556"/>
      <c r="GA53" s="556"/>
      <c r="GB53" s="556"/>
      <c r="GC53" s="556"/>
      <c r="GD53" s="556"/>
      <c r="GE53" s="556"/>
      <c r="GF53" s="556"/>
      <c r="GG53" s="556"/>
      <c r="GH53" s="556"/>
      <c r="GI53" s="556"/>
      <c r="GJ53" s="556"/>
      <c r="GK53" s="556"/>
      <c r="GL53" s="556"/>
      <c r="GM53" s="556"/>
      <c r="GN53" s="556"/>
      <c r="GO53" s="556"/>
      <c r="GP53" s="556"/>
      <c r="GQ53" s="556"/>
      <c r="GR53" s="556"/>
      <c r="GS53" s="556"/>
      <c r="GT53" s="556"/>
      <c r="GU53" s="556"/>
      <c r="GV53" s="556"/>
      <c r="GW53" s="556"/>
      <c r="GX53" s="556"/>
      <c r="GY53" s="556"/>
      <c r="GZ53" s="556"/>
      <c r="HA53" s="556"/>
      <c r="HB53" s="556"/>
      <c r="HC53" s="556"/>
      <c r="HD53" s="556"/>
      <c r="HE53" s="556"/>
      <c r="HF53" s="556"/>
      <c r="HG53" s="556"/>
      <c r="HH53" s="556"/>
      <c r="HI53" s="556"/>
      <c r="HJ53" s="556"/>
      <c r="HK53" s="556"/>
      <c r="HL53" s="556"/>
      <c r="HM53" s="556"/>
      <c r="HN53" s="556"/>
      <c r="HO53" s="556"/>
      <c r="HP53" s="556"/>
      <c r="HQ53" s="556"/>
      <c r="HR53" s="556"/>
      <c r="HS53" s="556"/>
      <c r="HT53" s="556"/>
      <c r="HU53" s="556"/>
      <c r="HV53" s="556"/>
      <c r="HW53" s="556"/>
      <c r="HX53" s="556"/>
      <c r="HY53" s="556"/>
      <c r="HZ53" s="556"/>
      <c r="IA53" s="556"/>
      <c r="IB53" s="556"/>
      <c r="IC53" s="556"/>
      <c r="ID53" s="556"/>
      <c r="IE53" s="556"/>
      <c r="IF53" s="556"/>
      <c r="IG53" s="556"/>
      <c r="IH53" s="556"/>
      <c r="II53" s="556"/>
      <c r="IJ53" s="556"/>
      <c r="IK53" s="556"/>
      <c r="IL53" s="556"/>
      <c r="IM53" s="556"/>
      <c r="IN53" s="556"/>
      <c r="IO53" s="556"/>
      <c r="IP53" s="556"/>
      <c r="IQ53" s="556"/>
      <c r="IR53" s="556"/>
      <c r="IS53" s="556"/>
      <c r="IT53" s="556"/>
      <c r="IU53" s="556"/>
      <c r="IV53" s="556"/>
      <c r="IW53" s="556"/>
      <c r="IX53" s="556"/>
      <c r="IY53" s="556"/>
      <c r="IZ53" s="556"/>
      <c r="JA53" s="556"/>
      <c r="JB53" s="556"/>
      <c r="JC53" s="556"/>
      <c r="JD53" s="556"/>
      <c r="JE53" s="556"/>
      <c r="JF53" s="556"/>
      <c r="JG53" s="556"/>
      <c r="JH53" s="556"/>
      <c r="JI53" s="556"/>
      <c r="JJ53" s="556"/>
      <c r="JK53" s="556"/>
      <c r="JL53" s="556"/>
      <c r="JM53" s="556"/>
      <c r="JN53" s="556"/>
      <c r="JO53" s="556"/>
      <c r="JP53" s="556"/>
      <c r="JQ53" s="556"/>
      <c r="JR53" s="556"/>
      <c r="JS53" s="556"/>
      <c r="JT53" s="556"/>
      <c r="JU53" s="556"/>
      <c r="JV53" s="556"/>
      <c r="JW53" s="556"/>
      <c r="JX53" s="556"/>
      <c r="JY53" s="556"/>
      <c r="JZ53" s="556"/>
      <c r="KA53" s="556"/>
      <c r="KB53" s="556"/>
      <c r="KC53" s="556"/>
      <c r="KD53" s="556"/>
      <c r="KE53" s="556"/>
      <c r="KF53" s="556"/>
      <c r="KG53" s="556"/>
      <c r="KH53" s="556"/>
      <c r="KI53" s="556"/>
      <c r="KJ53" s="556"/>
      <c r="KK53" s="556"/>
      <c r="KL53" s="556"/>
      <c r="KM53" s="556"/>
      <c r="KN53" s="556"/>
      <c r="KO53" s="556"/>
      <c r="KP53" s="556"/>
      <c r="KQ53" s="556"/>
      <c r="KR53" s="556"/>
      <c r="KS53" s="556"/>
      <c r="KT53" s="556"/>
      <c r="KU53" s="556"/>
      <c r="KV53" s="556"/>
      <c r="KW53" s="556"/>
      <c r="KX53" s="556"/>
      <c r="KY53" s="556"/>
      <c r="KZ53" s="556"/>
      <c r="LA53" s="556"/>
      <c r="LB53" s="556"/>
      <c r="LC53" s="556"/>
      <c r="LD53" s="556"/>
      <c r="LE53" s="556"/>
      <c r="LF53" s="556"/>
      <c r="LG53" s="556"/>
      <c r="LH53" s="556"/>
      <c r="LI53" s="556"/>
      <c r="LJ53" s="556"/>
      <c r="LK53" s="556"/>
      <c r="LL53" s="556"/>
      <c r="LM53" s="556"/>
      <c r="LN53" s="556"/>
      <c r="LO53" s="556"/>
      <c r="LP53" s="556"/>
      <c r="LQ53" s="556"/>
      <c r="LR53" s="556"/>
      <c r="LS53" s="556"/>
      <c r="LT53" s="556"/>
      <c r="LU53" s="556"/>
      <c r="LV53" s="556"/>
      <c r="LW53" s="556"/>
      <c r="LX53" s="556"/>
      <c r="LY53" s="556"/>
      <c r="LZ53" s="556"/>
      <c r="MA53" s="556"/>
      <c r="MB53" s="556"/>
      <c r="MC53" s="556"/>
      <c r="MD53" s="556"/>
      <c r="ME53" s="556"/>
      <c r="MF53" s="556"/>
      <c r="MG53" s="556"/>
      <c r="MH53" s="556"/>
      <c r="MI53" s="556"/>
      <c r="MJ53" s="556"/>
      <c r="MK53" s="556"/>
      <c r="ML53" s="556"/>
      <c r="MM53" s="556"/>
      <c r="MN53" s="556"/>
      <c r="MO53" s="556"/>
      <c r="MP53" s="556"/>
      <c r="MQ53" s="556"/>
      <c r="MR53" s="556"/>
      <c r="MS53" s="556"/>
      <c r="MT53" s="556"/>
      <c r="MU53" s="556"/>
      <c r="MV53" s="556"/>
      <c r="MW53" s="556"/>
      <c r="MX53" s="556"/>
      <c r="MY53" s="556"/>
      <c r="MZ53" s="556"/>
      <c r="NA53" s="556"/>
      <c r="NB53" s="556"/>
      <c r="NC53" s="556"/>
      <c r="ND53" s="556"/>
      <c r="NE53" s="556"/>
      <c r="NF53" s="556"/>
      <c r="NG53" s="556"/>
      <c r="NH53" s="556"/>
      <c r="NI53" s="556"/>
      <c r="NJ53" s="556"/>
      <c r="NK53" s="556"/>
      <c r="NL53" s="556"/>
      <c r="NM53" s="556"/>
      <c r="NN53" s="556"/>
      <c r="NO53" s="556"/>
      <c r="NP53" s="556"/>
      <c r="NQ53" s="556"/>
      <c r="NR53" s="556"/>
      <c r="NS53" s="556"/>
      <c r="NT53" s="556"/>
      <c r="NU53" s="556"/>
      <c r="NV53" s="556"/>
      <c r="NW53" s="556"/>
      <c r="NX53" s="556"/>
      <c r="NY53" s="556"/>
      <c r="NZ53" s="556"/>
      <c r="OA53" s="556"/>
      <c r="OB53" s="556"/>
      <c r="OC53" s="556"/>
      <c r="OD53" s="556"/>
      <c r="OE53" s="556"/>
      <c r="OF53" s="556"/>
      <c r="OG53" s="556"/>
      <c r="OH53" s="556"/>
      <c r="OI53" s="556"/>
      <c r="OJ53" s="556"/>
      <c r="OK53" s="556"/>
      <c r="OL53" s="556"/>
      <c r="OM53" s="556"/>
      <c r="ON53" s="556"/>
      <c r="OO53" s="556"/>
      <c r="OP53" s="556"/>
      <c r="OQ53" s="556"/>
      <c r="OR53" s="556"/>
      <c r="OS53" s="556"/>
      <c r="OT53" s="556"/>
      <c r="OU53" s="556"/>
      <c r="OV53" s="556"/>
      <c r="OW53" s="556"/>
      <c r="OX53" s="556"/>
      <c r="OY53" s="556"/>
      <c r="OZ53" s="556"/>
      <c r="PA53" s="556"/>
      <c r="PB53" s="556"/>
      <c r="PC53" s="556"/>
      <c r="PD53" s="556"/>
      <c r="PE53" s="556"/>
      <c r="PF53" s="556"/>
      <c r="PG53" s="556"/>
      <c r="PH53" s="556"/>
      <c r="PI53" s="556"/>
      <c r="PJ53" s="556"/>
      <c r="PK53" s="556"/>
      <c r="PL53" s="556"/>
      <c r="PM53" s="556"/>
      <c r="PN53" s="556"/>
      <c r="PO53" s="556"/>
      <c r="PP53" s="556"/>
      <c r="PQ53" s="556"/>
      <c r="PR53" s="556"/>
      <c r="PS53" s="556"/>
      <c r="PT53" s="556"/>
      <c r="PU53" s="556"/>
      <c r="PV53" s="556"/>
      <c r="PW53" s="556"/>
      <c r="PX53" s="556"/>
      <c r="PY53" s="556"/>
      <c r="PZ53" s="556"/>
      <c r="QA53" s="556"/>
      <c r="QB53" s="556"/>
      <c r="QC53" s="556"/>
      <c r="QD53" s="556"/>
      <c r="QE53" s="556"/>
      <c r="QF53" s="556"/>
      <c r="QG53" s="556"/>
      <c r="QH53" s="556"/>
      <c r="QI53" s="556"/>
      <c r="QJ53" s="556"/>
      <c r="QK53" s="556"/>
      <c r="QL53" s="556"/>
      <c r="QM53" s="556"/>
      <c r="QN53" s="556"/>
      <c r="QO53" s="556"/>
      <c r="QP53" s="556"/>
      <c r="QQ53" s="556"/>
      <c r="QR53" s="556"/>
      <c r="QS53" s="556"/>
      <c r="QT53" s="556"/>
      <c r="QU53" s="556"/>
      <c r="QV53" s="556"/>
      <c r="QW53" s="556"/>
      <c r="QX53" s="556"/>
      <c r="QY53" s="556"/>
      <c r="QZ53" s="556"/>
      <c r="RA53" s="556"/>
      <c r="RB53" s="556"/>
      <c r="RC53" s="556"/>
      <c r="RD53" s="556"/>
      <c r="RE53" s="556"/>
      <c r="RF53" s="556"/>
      <c r="RG53" s="556"/>
      <c r="RH53" s="556"/>
      <c r="RI53" s="556"/>
      <c r="RJ53" s="556"/>
      <c r="RK53" s="556"/>
      <c r="RL53" s="556"/>
      <c r="RM53" s="556"/>
      <c r="RN53" s="556"/>
      <c r="RO53" s="556"/>
      <c r="RP53" s="556"/>
      <c r="RQ53" s="556"/>
      <c r="RR53" s="556"/>
      <c r="RS53" s="556"/>
      <c r="RT53" s="556"/>
      <c r="RU53" s="556"/>
      <c r="RV53" s="556"/>
      <c r="RW53" s="556"/>
      <c r="RX53" s="556"/>
      <c r="RY53" s="556"/>
      <c r="RZ53" s="556"/>
      <c r="SA53" s="556"/>
      <c r="SB53" s="556"/>
      <c r="SC53" s="556"/>
      <c r="SD53" s="556"/>
      <c r="SE53" s="556"/>
      <c r="SF53" s="556"/>
      <c r="SG53" s="556"/>
      <c r="SH53" s="556"/>
      <c r="SI53" s="556"/>
      <c r="SJ53" s="556"/>
      <c r="SK53" s="556"/>
      <c r="SL53" s="556"/>
      <c r="SM53" s="556"/>
      <c r="SN53" s="556"/>
      <c r="SO53" s="556"/>
      <c r="SP53" s="556"/>
      <c r="SQ53" s="556"/>
      <c r="SR53" s="556"/>
      <c r="SS53" s="556"/>
      <c r="ST53" s="556"/>
      <c r="SU53" s="556"/>
      <c r="SV53" s="556"/>
      <c r="SW53" s="556"/>
      <c r="SX53" s="556"/>
      <c r="SY53" s="556"/>
      <c r="SZ53" s="556"/>
      <c r="TA53" s="556"/>
      <c r="TB53" s="556"/>
      <c r="TC53" s="556"/>
      <c r="TD53" s="556"/>
      <c r="TE53" s="556"/>
      <c r="TF53" s="556"/>
      <c r="TG53" s="556"/>
      <c r="TH53" s="556"/>
      <c r="TI53" s="556"/>
      <c r="TJ53" s="556"/>
      <c r="TK53" s="556"/>
      <c r="TL53" s="556"/>
      <c r="TM53" s="556"/>
      <c r="TN53" s="556"/>
      <c r="TO53" s="556"/>
      <c r="TP53" s="556"/>
      <c r="TQ53" s="556"/>
      <c r="TR53" s="556"/>
      <c r="TS53" s="556"/>
      <c r="TT53" s="556"/>
      <c r="TU53" s="556"/>
      <c r="TV53" s="556"/>
      <c r="TW53" s="556"/>
      <c r="TX53" s="556"/>
      <c r="TY53" s="556"/>
      <c r="TZ53" s="556"/>
      <c r="UA53" s="556"/>
      <c r="UB53" s="556"/>
      <c r="UC53" s="556"/>
      <c r="UD53" s="556"/>
      <c r="UE53" s="556"/>
      <c r="UF53" s="556"/>
      <c r="UG53" s="556"/>
      <c r="UH53" s="556"/>
      <c r="UI53" s="556"/>
      <c r="UJ53" s="556"/>
      <c r="UK53" s="556"/>
      <c r="UL53" s="556"/>
      <c r="UM53" s="556"/>
      <c r="UN53" s="556"/>
      <c r="UO53" s="556"/>
      <c r="UP53" s="556"/>
      <c r="UQ53" s="556"/>
      <c r="UR53" s="556"/>
      <c r="US53" s="556"/>
      <c r="UT53" s="556"/>
      <c r="UU53" s="556"/>
      <c r="UV53" s="556"/>
      <c r="UW53" s="556"/>
      <c r="UX53" s="556"/>
      <c r="UY53" s="556"/>
      <c r="UZ53" s="556"/>
      <c r="VA53" s="556"/>
      <c r="VB53" s="556"/>
      <c r="VC53" s="556"/>
      <c r="VD53" s="556"/>
      <c r="VE53" s="556"/>
      <c r="VF53" s="556"/>
      <c r="VG53" s="556"/>
      <c r="VH53" s="556"/>
      <c r="VI53" s="556"/>
      <c r="VJ53" s="556"/>
      <c r="VK53" s="556"/>
      <c r="VL53" s="556"/>
      <c r="VM53" s="556"/>
      <c r="VN53" s="556"/>
      <c r="VO53" s="556"/>
      <c r="VP53" s="556"/>
      <c r="VQ53" s="556"/>
      <c r="VR53" s="556"/>
      <c r="VS53" s="556"/>
      <c r="VT53" s="556"/>
      <c r="VU53" s="556"/>
      <c r="VV53" s="556"/>
      <c r="VW53" s="556"/>
      <c r="VX53" s="556"/>
      <c r="VY53" s="556"/>
      <c r="VZ53" s="556"/>
      <c r="WA53" s="556"/>
      <c r="WB53" s="556"/>
      <c r="WC53" s="556"/>
      <c r="WD53" s="556"/>
      <c r="WE53" s="556"/>
      <c r="WF53" s="556"/>
      <c r="WG53" s="556"/>
      <c r="WH53" s="556"/>
      <c r="WI53" s="556"/>
      <c r="WJ53" s="556"/>
      <c r="WK53" s="556"/>
      <c r="WL53" s="556"/>
      <c r="WM53" s="556"/>
      <c r="WN53" s="556"/>
      <c r="WO53" s="556"/>
      <c r="WP53" s="556"/>
      <c r="WQ53" s="556"/>
      <c r="WR53" s="556"/>
      <c r="WS53" s="556"/>
      <c r="WT53" s="556"/>
      <c r="WU53" s="556"/>
      <c r="WV53" s="556"/>
      <c r="WW53" s="556"/>
      <c r="WX53" s="556"/>
      <c r="WY53" s="556"/>
      <c r="WZ53" s="556"/>
      <c r="XA53" s="556"/>
      <c r="XB53" s="556"/>
      <c r="XC53" s="556"/>
      <c r="XD53" s="556"/>
      <c r="XE53" s="556"/>
      <c r="XF53" s="556"/>
      <c r="XG53" s="556"/>
      <c r="XH53" s="556"/>
      <c r="XI53" s="556"/>
      <c r="XJ53" s="556"/>
      <c r="XK53" s="556"/>
      <c r="XL53" s="556"/>
      <c r="XM53" s="556"/>
      <c r="XN53" s="556"/>
      <c r="XO53" s="556"/>
      <c r="XP53" s="556"/>
      <c r="XQ53" s="556"/>
      <c r="XR53" s="556"/>
      <c r="XS53" s="556"/>
      <c r="XT53" s="556"/>
      <c r="XU53" s="556"/>
      <c r="XV53" s="556"/>
      <c r="XW53" s="556"/>
      <c r="XX53" s="556"/>
      <c r="XY53" s="556"/>
      <c r="XZ53" s="556"/>
      <c r="YA53" s="556"/>
      <c r="YB53" s="556"/>
      <c r="YC53" s="556"/>
      <c r="YD53" s="556"/>
      <c r="YE53" s="556"/>
      <c r="YF53" s="556"/>
      <c r="YG53" s="556"/>
      <c r="YH53" s="556"/>
      <c r="YI53" s="556"/>
      <c r="YJ53" s="556"/>
      <c r="YK53" s="556"/>
      <c r="YL53" s="556"/>
      <c r="YM53" s="556"/>
      <c r="YN53" s="556"/>
      <c r="YO53" s="556"/>
      <c r="YP53" s="556"/>
      <c r="YQ53" s="556"/>
      <c r="YR53" s="556"/>
      <c r="YS53" s="556"/>
      <c r="YT53" s="556"/>
      <c r="YU53" s="556"/>
      <c r="YV53" s="556"/>
      <c r="YW53" s="556"/>
      <c r="YX53" s="556"/>
      <c r="YY53" s="556"/>
      <c r="YZ53" s="556"/>
      <c r="ZA53" s="556"/>
      <c r="ZB53" s="556"/>
      <c r="ZC53" s="556"/>
      <c r="ZD53" s="556"/>
      <c r="ZE53" s="556"/>
      <c r="ZF53" s="556"/>
      <c r="ZG53" s="556"/>
      <c r="ZH53" s="556"/>
      <c r="ZI53" s="556"/>
      <c r="ZJ53" s="556" t="s">
        <v>83</v>
      </c>
      <c r="ZK53" s="556"/>
      <c r="ZL53" s="556"/>
      <c r="ZM53" s="556"/>
      <c r="ZN53" s="556"/>
      <c r="ZO53" s="556"/>
      <c r="ZP53" s="556"/>
      <c r="ZQ53" s="556"/>
      <c r="ZR53" s="556"/>
      <c r="ZS53" s="556"/>
      <c r="ZT53" s="556"/>
      <c r="ZU53" s="556"/>
      <c r="ZV53" s="556"/>
      <c r="ZW53" s="556"/>
      <c r="ZX53" s="556"/>
      <c r="ZY53" s="556"/>
      <c r="ZZ53" s="556"/>
      <c r="AAA53" s="556"/>
      <c r="AAB53" s="556"/>
      <c r="AAC53" s="556"/>
      <c r="AAD53" s="556"/>
      <c r="AAE53" s="556"/>
      <c r="AAF53" s="556"/>
      <c r="AAG53" s="556"/>
      <c r="AAH53" s="556"/>
      <c r="AAI53" s="556"/>
      <c r="AAJ53" s="556"/>
      <c r="AAK53" s="556"/>
      <c r="AAL53" s="556"/>
      <c r="AAM53" s="556"/>
      <c r="AAN53" s="556"/>
      <c r="AAO53" s="556"/>
      <c r="AAP53" s="556"/>
      <c r="AAQ53" s="556"/>
      <c r="AAR53" s="556"/>
      <c r="AAS53" s="556"/>
      <c r="AAT53" s="556"/>
      <c r="AAU53" s="556"/>
      <c r="AAV53" s="556"/>
      <c r="AAW53" s="556"/>
      <c r="AAX53" s="556"/>
      <c r="AAY53" s="556"/>
      <c r="AAZ53" s="556"/>
      <c r="ABA53" s="556"/>
      <c r="ABB53" s="556"/>
      <c r="ABC53" s="556"/>
      <c r="ABD53" s="556"/>
      <c r="ABE53" s="556"/>
      <c r="ABF53" s="556"/>
      <c r="ABG53" s="556"/>
      <c r="ABH53" s="556"/>
      <c r="ABI53" s="556"/>
      <c r="ABJ53" s="556"/>
      <c r="ABK53" s="556"/>
      <c r="ABL53" s="556"/>
      <c r="ABM53" s="556"/>
      <c r="ABN53" s="556"/>
      <c r="ABO53" s="556"/>
      <c r="ABP53" s="556"/>
      <c r="ABQ53" s="556"/>
      <c r="ABR53" s="556"/>
      <c r="ABS53" s="556"/>
      <c r="ABT53" s="556"/>
      <c r="ABU53" s="556"/>
      <c r="ABV53" s="556"/>
      <c r="ABW53" s="556"/>
      <c r="ABX53" s="556"/>
      <c r="ABY53" s="556"/>
      <c r="ABZ53" s="556"/>
      <c r="ACA53" s="556"/>
      <c r="ACB53" s="556"/>
      <c r="ACC53" s="556"/>
      <c r="ACD53" s="556"/>
      <c r="ACE53" s="556"/>
      <c r="ACF53" s="556"/>
      <c r="ACG53" s="556"/>
      <c r="ACH53" s="556"/>
      <c r="ACI53" s="556"/>
      <c r="ACJ53" s="556"/>
      <c r="ACK53" s="556"/>
      <c r="ACL53" s="556"/>
      <c r="ACM53" s="556"/>
      <c r="ACN53" s="556"/>
      <c r="ACO53" s="556"/>
      <c r="ACP53" s="556"/>
      <c r="ACQ53" s="556"/>
      <c r="ACR53" s="556"/>
      <c r="ACS53" s="556"/>
      <c r="ACT53" s="556"/>
      <c r="ACU53" s="556"/>
      <c r="ACV53" s="556"/>
      <c r="ACW53" s="556"/>
      <c r="ACX53" s="556"/>
      <c r="ACY53" s="556"/>
      <c r="ACZ53" s="556"/>
      <c r="ADA53" s="556"/>
      <c r="ADB53" s="556"/>
      <c r="ADC53" s="556"/>
      <c r="ADD53" s="556"/>
      <c r="ADE53" s="556"/>
      <c r="ADF53" s="556"/>
      <c r="ADG53" s="556"/>
      <c r="ADH53" s="556"/>
      <c r="ADI53" s="556"/>
      <c r="ADJ53" s="556"/>
      <c r="ADK53" s="556"/>
      <c r="ADL53" s="556"/>
      <c r="ADM53" s="556"/>
      <c r="ADN53" s="556"/>
      <c r="ADO53" s="556"/>
      <c r="ADP53" s="556"/>
      <c r="ADQ53" s="556"/>
      <c r="ADR53" s="556"/>
      <c r="ADS53" s="556"/>
      <c r="ADT53" s="556"/>
      <c r="ADU53" s="556"/>
      <c r="ADV53" s="556"/>
      <c r="ADW53" s="556"/>
      <c r="ADX53" s="556"/>
      <c r="ADY53" s="556"/>
      <c r="ADZ53" s="556"/>
      <c r="AEA53" s="556"/>
      <c r="AEB53" s="556"/>
      <c r="AEC53" s="556"/>
      <c r="AED53" s="556"/>
      <c r="AEE53" s="556"/>
      <c r="AEF53" s="556"/>
      <c r="AEG53" s="556"/>
      <c r="AEH53" s="556"/>
      <c r="AEI53" s="556"/>
      <c r="AEJ53" s="556"/>
      <c r="AEK53" s="556"/>
      <c r="AEL53" s="556"/>
      <c r="AEM53" s="556"/>
      <c r="AEN53" s="556"/>
      <c r="AEO53" s="556"/>
      <c r="AEP53" s="556"/>
      <c r="AEQ53" s="556"/>
      <c r="AER53" s="556"/>
      <c r="AES53" s="556"/>
      <c r="AET53" s="556"/>
      <c r="AEU53" s="556"/>
      <c r="AEV53" s="556"/>
      <c r="AEW53" s="556"/>
      <c r="AEX53" s="556"/>
      <c r="AEY53" s="556"/>
      <c r="AEZ53" s="556"/>
      <c r="AFA53" s="556"/>
      <c r="AFB53" s="556"/>
      <c r="AFC53" s="556"/>
      <c r="AFD53" s="556"/>
      <c r="AFE53" s="556"/>
      <c r="AFF53" s="556"/>
      <c r="AFG53" s="556"/>
      <c r="AFH53" s="556"/>
      <c r="AFI53" s="556"/>
      <c r="AFJ53" s="556"/>
      <c r="AFK53" s="556"/>
      <c r="AFL53" s="556"/>
      <c r="AFM53" s="556"/>
      <c r="AFN53" s="556"/>
      <c r="AFO53" s="556"/>
      <c r="AFP53" s="556"/>
      <c r="AFQ53" s="556"/>
      <c r="AFR53" s="556"/>
      <c r="AFS53" s="556"/>
      <c r="AFT53" s="556"/>
      <c r="AFU53" s="556"/>
      <c r="AFV53" s="556"/>
      <c r="AFW53" s="556"/>
      <c r="AFX53" s="556"/>
      <c r="AFY53" s="556"/>
      <c r="AFZ53" s="556"/>
      <c r="AGA53" s="556"/>
      <c r="AGB53" s="556"/>
      <c r="AGC53" s="556"/>
      <c r="AGD53" s="556"/>
      <c r="AGE53" s="556"/>
      <c r="AGF53" s="556"/>
      <c r="AGG53" s="556"/>
      <c r="AGH53" s="556"/>
      <c r="AGI53" s="556"/>
      <c r="AGJ53" s="556"/>
      <c r="AGK53" s="556"/>
      <c r="AGL53" s="556"/>
      <c r="AGM53" s="556"/>
      <c r="AGN53" s="556"/>
      <c r="AGO53" s="556"/>
      <c r="AGP53" s="556"/>
      <c r="AGQ53" s="556"/>
      <c r="AGR53" s="556"/>
      <c r="AGS53" s="556"/>
      <c r="AGT53" s="556"/>
      <c r="AGU53" s="556"/>
      <c r="AGV53" s="556"/>
      <c r="AGW53" s="556"/>
      <c r="AGX53" s="556"/>
      <c r="AGY53" s="556"/>
      <c r="AGZ53" s="556"/>
      <c r="AHA53" s="556"/>
      <c r="AHB53" s="556"/>
      <c r="AHC53" s="556"/>
      <c r="AHD53" s="556"/>
      <c r="AHE53" s="556"/>
      <c r="AHF53" s="556"/>
      <c r="AHG53" s="556"/>
      <c r="AHH53" s="556"/>
      <c r="AHI53" s="556"/>
      <c r="AHJ53" s="556"/>
      <c r="AHK53" s="556"/>
      <c r="AHL53" s="556"/>
      <c r="AHM53" s="556"/>
      <c r="AHN53" s="556"/>
      <c r="AHO53" s="556"/>
      <c r="AHP53" s="556"/>
      <c r="AHQ53" s="556"/>
      <c r="AHR53" s="556"/>
      <c r="AHS53" s="556"/>
      <c r="AHT53" s="556"/>
      <c r="AHU53" s="556"/>
      <c r="AHV53" s="556"/>
      <c r="AHW53" s="556"/>
      <c r="AHX53" s="556"/>
      <c r="AHY53" s="556"/>
      <c r="AHZ53" s="556"/>
      <c r="AIA53" s="556"/>
      <c r="AIB53" s="556"/>
      <c r="AIC53" s="556"/>
      <c r="AID53" s="556"/>
      <c r="AIE53" s="556"/>
      <c r="AIF53" s="556"/>
      <c r="AIG53" s="556"/>
      <c r="AIH53" s="556"/>
      <c r="AII53" s="556"/>
      <c r="AIJ53" s="556"/>
      <c r="AIK53" s="556"/>
      <c r="AIL53" s="556"/>
      <c r="AIM53" s="556"/>
      <c r="AIN53" s="556"/>
      <c r="AIO53" s="556"/>
      <c r="AIP53" s="556"/>
      <c r="AIQ53" s="556"/>
      <c r="AIR53" s="556"/>
      <c r="AIS53" s="556"/>
      <c r="AIT53" s="556"/>
      <c r="AIU53" s="556"/>
      <c r="AIV53" s="556"/>
      <c r="AIW53" s="556"/>
      <c r="AIX53" s="556"/>
      <c r="AIY53" s="556"/>
      <c r="AIZ53" s="556"/>
      <c r="AJA53" s="556"/>
      <c r="AJB53" s="556"/>
      <c r="AJC53" s="556"/>
      <c r="AJD53" s="556"/>
      <c r="AJE53" s="556"/>
      <c r="AJF53" s="556"/>
      <c r="AJG53" s="556"/>
      <c r="AJH53" s="556"/>
      <c r="AJI53" s="556"/>
      <c r="AJJ53" s="556"/>
      <c r="AJK53" s="556"/>
      <c r="AJL53" s="556"/>
      <c r="AJM53" s="556"/>
      <c r="AJN53" s="556"/>
      <c r="AJO53" s="556"/>
      <c r="AJP53" s="556"/>
      <c r="AJQ53" s="556"/>
      <c r="AJR53" s="556"/>
      <c r="AJS53" s="556"/>
      <c r="AJT53" s="556"/>
      <c r="AJU53" s="556"/>
      <c r="AJV53" s="556"/>
      <c r="AJW53" s="556"/>
      <c r="AJX53" s="556"/>
      <c r="AJY53" s="556"/>
      <c r="AJZ53" s="556"/>
      <c r="AKA53" s="556"/>
      <c r="AKB53" s="556"/>
      <c r="AKC53" s="556"/>
      <c r="AKD53" s="556"/>
      <c r="AKE53" s="556"/>
      <c r="AKF53" s="556"/>
      <c r="AKG53" s="556"/>
      <c r="AKH53" s="556"/>
      <c r="AKI53" s="556"/>
      <c r="AKJ53" s="556"/>
      <c r="AKK53" s="556"/>
      <c r="AKL53" s="556"/>
      <c r="AKM53" s="556"/>
      <c r="AKN53" s="556"/>
      <c r="AKO53" s="556"/>
      <c r="AKP53" s="556"/>
      <c r="AKQ53" s="556"/>
      <c r="AKR53" s="556"/>
      <c r="AKS53" s="556"/>
      <c r="AKT53" s="556"/>
      <c r="AKU53" s="556"/>
      <c r="AKV53" s="556"/>
      <c r="AKW53" s="556"/>
      <c r="AKX53" s="556"/>
      <c r="AKY53" s="556"/>
      <c r="AKZ53" s="556"/>
      <c r="ALA53" s="556"/>
      <c r="ALB53" s="556"/>
      <c r="ALC53" s="556"/>
      <c r="ALD53" s="556"/>
      <c r="ALE53" s="556"/>
      <c r="ALF53" s="556"/>
      <c r="ALG53" s="556"/>
      <c r="ALH53" s="556"/>
      <c r="ALI53" s="556"/>
      <c r="ALJ53" s="556"/>
      <c r="ALK53" s="556"/>
      <c r="ALL53" s="556"/>
      <c r="ALM53" s="556"/>
      <c r="ALN53" s="556"/>
      <c r="ALO53" s="556"/>
      <c r="ALP53" s="556"/>
      <c r="ALQ53" s="556"/>
      <c r="ALR53" s="556"/>
      <c r="ALS53" s="556"/>
      <c r="ALT53" s="556"/>
      <c r="ALU53" s="556"/>
      <c r="ALV53" s="556"/>
      <c r="ALW53" s="556"/>
      <c r="ALX53" s="556"/>
      <c r="ALY53" s="556"/>
      <c r="ALZ53" s="556"/>
      <c r="AMA53" s="556"/>
      <c r="AMB53" s="556"/>
      <c r="AMC53" s="556"/>
      <c r="AMD53" s="556"/>
      <c r="AME53" s="556"/>
      <c r="AMF53" s="556"/>
      <c r="AMG53" s="556"/>
      <c r="AMH53" s="556"/>
      <c r="AMI53" s="556"/>
      <c r="AMJ53" s="556"/>
      <c r="AMK53" s="556"/>
      <c r="AML53" s="556"/>
      <c r="AMM53" s="556"/>
      <c r="AMN53" s="556"/>
      <c r="AMO53" s="556"/>
      <c r="AMP53" s="556"/>
      <c r="AMQ53" s="556"/>
      <c r="AMR53" s="556"/>
      <c r="AMS53" s="556"/>
      <c r="AMT53" s="556"/>
      <c r="AMU53" s="556"/>
      <c r="AMV53" s="556"/>
      <c r="AMW53" s="556"/>
      <c r="AMX53" s="556"/>
      <c r="AMY53" s="556"/>
      <c r="AMZ53" s="556"/>
      <c r="ANA53" s="556"/>
      <c r="ANB53" s="556"/>
      <c r="ANC53" s="556"/>
      <c r="AND53" s="556"/>
      <c r="ANE53" s="556"/>
      <c r="ANF53" s="556"/>
      <c r="ANG53" s="556"/>
      <c r="ANH53" s="556"/>
      <c r="ANI53" s="556"/>
      <c r="ANJ53" s="556"/>
      <c r="ANK53" s="556"/>
      <c r="ANL53" s="556"/>
      <c r="ANM53" s="556"/>
      <c r="ANN53" s="556"/>
      <c r="ANO53" s="556"/>
      <c r="ANP53" s="556"/>
      <c r="ANQ53" s="556"/>
      <c r="ANR53" s="556"/>
      <c r="ANS53" s="556"/>
      <c r="ANT53" s="556"/>
      <c r="ANU53" s="556"/>
      <c r="ANV53" s="556"/>
      <c r="ANW53" s="556"/>
      <c r="ANX53" s="556"/>
      <c r="ANY53" s="556"/>
      <c r="ANZ53" s="556"/>
      <c r="AOA53" s="556"/>
      <c r="AOB53" s="556"/>
      <c r="AOC53" s="556"/>
      <c r="AOD53" s="556"/>
      <c r="AOE53" s="556"/>
      <c r="AOF53" s="556"/>
      <c r="AOG53" s="556"/>
      <c r="AOH53" s="556"/>
      <c r="AOI53" s="556"/>
      <c r="AOJ53" s="556"/>
      <c r="AOK53" s="556"/>
      <c r="AOL53" s="556"/>
      <c r="AOM53" s="556"/>
      <c r="AON53" s="556"/>
      <c r="AOO53" s="556"/>
      <c r="AOP53" s="556"/>
      <c r="AOQ53" s="556"/>
      <c r="AOR53" s="556"/>
      <c r="AOS53" s="556"/>
      <c r="AOT53" s="556"/>
      <c r="AOU53" s="556"/>
      <c r="AOV53" s="556"/>
      <c r="AOW53" s="556"/>
      <c r="AOX53" s="556"/>
      <c r="AOY53" s="556"/>
      <c r="AOZ53" s="556"/>
      <c r="APA53" s="556"/>
      <c r="APB53" s="556"/>
      <c r="APC53" s="556"/>
      <c r="APD53" s="556"/>
      <c r="APE53" s="556"/>
      <c r="APF53" s="556"/>
      <c r="APG53" s="556"/>
      <c r="APH53" s="556"/>
      <c r="API53" s="556"/>
      <c r="APJ53" s="556"/>
      <c r="APK53" s="556"/>
      <c r="APL53" s="556"/>
      <c r="APM53" s="556"/>
      <c r="APN53" s="556"/>
      <c r="APO53" s="556"/>
      <c r="APP53" s="556"/>
      <c r="APQ53" s="556"/>
      <c r="APR53" s="556"/>
      <c r="APS53" s="556"/>
      <c r="APT53" s="556"/>
      <c r="APU53" s="556"/>
      <c r="APV53" s="556"/>
      <c r="APW53" s="556"/>
      <c r="APX53" s="556"/>
      <c r="APY53" s="556"/>
      <c r="APZ53" s="556"/>
      <c r="AQA53" s="556"/>
      <c r="AQB53" s="556"/>
      <c r="AQC53" s="556"/>
      <c r="AQD53" s="556"/>
      <c r="AQE53" s="556"/>
      <c r="AQF53" s="556"/>
      <c r="AQG53" s="556"/>
      <c r="AQH53" s="556"/>
      <c r="AQI53" s="556"/>
      <c r="AQJ53" s="556"/>
      <c r="AQK53" s="556"/>
      <c r="AQL53" s="556"/>
      <c r="AQM53" s="556"/>
      <c r="AQN53" s="556"/>
      <c r="AQO53" s="556"/>
      <c r="AQP53" s="556"/>
      <c r="AQQ53" s="556"/>
      <c r="AQR53" s="556"/>
      <c r="AQS53" s="556"/>
      <c r="AQT53" s="556"/>
      <c r="AQU53" s="556"/>
      <c r="AQV53" s="556"/>
      <c r="AQW53" s="556"/>
      <c r="AQX53" s="556"/>
      <c r="AQY53" s="556"/>
      <c r="AQZ53" s="556"/>
      <c r="ARA53" s="556"/>
      <c r="ARB53" s="556"/>
      <c r="ARC53" s="556"/>
      <c r="ARD53" s="556"/>
      <c r="ARE53" s="556"/>
      <c r="ARF53" s="556"/>
      <c r="ARG53" s="556"/>
      <c r="ARH53" s="556"/>
      <c r="ARI53" s="556"/>
      <c r="ARJ53" s="556"/>
      <c r="ARK53" s="556"/>
      <c r="ARL53" s="556"/>
      <c r="ARM53" s="556"/>
      <c r="ARN53" s="556"/>
      <c r="ARO53" s="556"/>
      <c r="ARP53" s="556"/>
      <c r="ARQ53" s="556"/>
      <c r="ARR53" s="556"/>
      <c r="ARS53" s="556"/>
      <c r="ART53" s="556"/>
      <c r="ARU53" s="556"/>
      <c r="ARV53" s="556"/>
      <c r="ARW53" s="556"/>
      <c r="ARX53" s="556"/>
      <c r="ARY53" s="556"/>
      <c r="ARZ53" s="556"/>
      <c r="ASA53" s="556"/>
      <c r="ASB53" s="556"/>
      <c r="ASC53" s="556"/>
      <c r="ASD53" s="556"/>
      <c r="ASE53" s="556"/>
      <c r="ASF53" s="556"/>
      <c r="ASG53" s="556"/>
      <c r="ASH53" s="556"/>
      <c r="ASI53" s="556"/>
      <c r="ASJ53" s="556"/>
      <c r="ASK53" s="556"/>
      <c r="ASL53" s="556"/>
      <c r="ASM53" s="556"/>
      <c r="ASN53" s="556"/>
      <c r="ASO53" s="556"/>
      <c r="ASP53" s="556"/>
      <c r="ASQ53" s="556"/>
      <c r="ASR53" s="556"/>
      <c r="ASS53" s="556"/>
      <c r="AST53" s="556"/>
      <c r="ASU53" s="556"/>
      <c r="ASV53" s="556"/>
      <c r="ASW53" s="556"/>
      <c r="ASX53" s="556"/>
      <c r="ASY53" s="556"/>
      <c r="ASZ53" s="556"/>
      <c r="ATA53" s="556"/>
      <c r="ATB53" s="556"/>
      <c r="ATC53" s="556"/>
      <c r="ATD53" s="556"/>
      <c r="ATE53" s="556"/>
      <c r="ATF53" s="556"/>
      <c r="ATG53" s="556"/>
      <c r="ATH53" s="556"/>
      <c r="ATI53" s="556"/>
      <c r="ATJ53" s="556"/>
      <c r="ATK53" s="556"/>
      <c r="ATL53" s="556"/>
      <c r="ATM53" s="556"/>
      <c r="ATN53" s="556"/>
      <c r="ATO53" s="556"/>
      <c r="ATP53" s="556"/>
      <c r="ATQ53" s="556"/>
      <c r="ATR53" s="556"/>
      <c r="ATS53" s="556"/>
      <c r="ATT53" s="556"/>
      <c r="ATU53" s="556"/>
      <c r="ATV53" s="556"/>
      <c r="ATW53" s="556"/>
      <c r="ATX53" s="556"/>
      <c r="ATY53" s="556"/>
      <c r="ATZ53" s="556"/>
      <c r="AUA53" s="556"/>
      <c r="AUB53" s="556"/>
      <c r="AUC53" s="556"/>
      <c r="AUD53" s="556"/>
      <c r="AUE53" s="556"/>
      <c r="AUF53" s="556"/>
      <c r="AUG53" s="556"/>
      <c r="AUH53" s="556"/>
      <c r="AUI53" s="556"/>
      <c r="AUJ53" s="556"/>
      <c r="AUK53" s="556"/>
      <c r="AUL53" s="556"/>
      <c r="AUM53" s="556"/>
      <c r="AUN53" s="556"/>
      <c r="AUO53" s="556"/>
      <c r="AUP53" s="556"/>
      <c r="AUQ53" s="556"/>
      <c r="AUR53" s="556"/>
      <c r="AUS53" s="556"/>
      <c r="AUT53" s="556"/>
      <c r="AUU53" s="556"/>
      <c r="AUV53" s="556"/>
      <c r="AUW53" s="556"/>
      <c r="AUX53" s="556"/>
      <c r="AUY53" s="556"/>
      <c r="AUZ53" s="556"/>
      <c r="AVA53" s="556"/>
      <c r="AVB53" s="556"/>
      <c r="AVC53" s="556"/>
      <c r="AVD53" s="556"/>
      <c r="AVE53" s="556"/>
      <c r="AVF53" s="556"/>
      <c r="AVG53" s="556"/>
      <c r="AVH53" s="556"/>
      <c r="AVI53" s="556"/>
      <c r="AVJ53" s="556"/>
      <c r="AVK53" s="556"/>
      <c r="AVL53" s="556"/>
      <c r="AVM53" s="556"/>
      <c r="AVN53" s="556"/>
      <c r="AVO53" s="556"/>
      <c r="AVP53" s="556"/>
      <c r="AVQ53" s="556"/>
      <c r="AVR53" s="556"/>
      <c r="AVS53" s="556"/>
      <c r="AVT53" s="556"/>
      <c r="AVU53" s="556"/>
      <c r="AVV53" s="556"/>
      <c r="AVW53" s="556"/>
      <c r="AVX53" s="556"/>
      <c r="AVY53" s="556"/>
      <c r="AVZ53" s="556"/>
      <c r="AWA53" s="556"/>
      <c r="AWB53" s="556"/>
      <c r="AWC53" s="556"/>
      <c r="AWD53" s="556"/>
      <c r="AWE53" s="556"/>
      <c r="AWF53" s="556"/>
      <c r="AWG53" s="556"/>
      <c r="AWH53" s="556"/>
      <c r="AWI53" s="556"/>
      <c r="AWJ53" s="556"/>
      <c r="AWK53" s="556"/>
      <c r="AWL53" s="556"/>
      <c r="AWM53" s="556"/>
      <c r="AWN53" s="556"/>
      <c r="AWO53" s="556"/>
      <c r="AWP53" s="556"/>
      <c r="AWQ53" s="556"/>
      <c r="AWR53" s="556"/>
      <c r="AWS53" s="556"/>
      <c r="AWT53" s="556"/>
      <c r="AWU53" s="556"/>
      <c r="AWV53" s="556"/>
      <c r="AWW53" s="556"/>
      <c r="AWX53" s="556"/>
      <c r="AWY53" s="556"/>
      <c r="AWZ53" s="556"/>
      <c r="AXA53" s="556"/>
      <c r="AXB53" s="556"/>
      <c r="AXC53" s="556"/>
      <c r="AXD53" s="556"/>
      <c r="AXE53" s="556"/>
      <c r="AXF53" s="556"/>
      <c r="AXG53" s="556"/>
      <c r="AXH53" s="556"/>
      <c r="AXI53" s="556"/>
      <c r="AXJ53" s="556"/>
      <c r="AXK53" s="556"/>
      <c r="AXL53" s="556"/>
      <c r="AXM53" s="556"/>
      <c r="AXN53" s="556"/>
      <c r="AXO53" s="556"/>
      <c r="AXP53" s="556"/>
      <c r="AXQ53" s="556"/>
      <c r="AXR53" s="556"/>
      <c r="AXS53" s="556"/>
      <c r="AXT53" s="556"/>
      <c r="AXU53" s="556"/>
      <c r="AXV53" s="556"/>
      <c r="AXW53" s="556"/>
      <c r="AXX53" s="556"/>
      <c r="AXY53" s="556"/>
      <c r="AXZ53" s="556"/>
      <c r="AYA53" s="556"/>
      <c r="AYB53" s="556"/>
      <c r="AYC53" s="556"/>
      <c r="AYD53" s="556"/>
      <c r="AYE53" s="556"/>
      <c r="AYF53" s="556"/>
      <c r="AYG53" s="556"/>
      <c r="AYH53" s="556"/>
      <c r="AYI53" s="556"/>
      <c r="AYJ53" s="556"/>
      <c r="AYK53" s="556"/>
      <c r="AYL53" s="556"/>
      <c r="AYM53" s="556"/>
      <c r="AYN53" s="556"/>
      <c r="AYO53" s="556"/>
      <c r="AYP53" s="556"/>
      <c r="AYQ53" s="556"/>
      <c r="AYR53" s="556"/>
      <c r="AYS53" s="556"/>
      <c r="AYT53" s="556"/>
      <c r="AYU53" s="556"/>
      <c r="AYV53" s="556"/>
      <c r="AYW53" s="556"/>
      <c r="AYX53" s="556"/>
      <c r="AYY53" s="556"/>
      <c r="AYZ53" s="556"/>
      <c r="AZA53" s="556"/>
      <c r="AZB53" s="556"/>
      <c r="AZC53" s="556"/>
      <c r="AZD53" s="556"/>
      <c r="AZE53" s="556"/>
      <c r="AZF53" s="556"/>
      <c r="AZG53" s="556"/>
      <c r="AZH53" s="556"/>
      <c r="AZI53" s="556"/>
      <c r="AZJ53" s="556"/>
      <c r="AZK53" s="556"/>
      <c r="AZL53" s="556"/>
      <c r="AZM53" s="556"/>
      <c r="AZN53" s="556"/>
      <c r="AZO53" s="556"/>
      <c r="AZP53" s="556"/>
      <c r="AZQ53" s="556"/>
      <c r="AZR53" s="556"/>
      <c r="AZS53" s="556"/>
      <c r="AZT53" s="556"/>
      <c r="AZU53" s="556"/>
      <c r="AZV53" s="556"/>
      <c r="AZW53" s="556"/>
      <c r="AZX53" s="556"/>
      <c r="AZY53" s="556"/>
      <c r="AZZ53" s="556"/>
      <c r="BAA53" s="556"/>
      <c r="BAB53" s="556"/>
      <c r="BAC53" s="556"/>
      <c r="BAD53" s="556"/>
      <c r="BAE53" s="556"/>
      <c r="BAF53" s="556"/>
      <c r="BAG53" s="556"/>
      <c r="BAH53" s="556"/>
      <c r="BAI53" s="556"/>
      <c r="BAJ53" s="556"/>
      <c r="BAK53" s="556"/>
      <c r="BAL53" s="556"/>
      <c r="BAM53" s="556"/>
      <c r="BAN53" s="556"/>
      <c r="BAO53" s="556"/>
      <c r="BAP53" s="556"/>
      <c r="BAQ53" s="556"/>
      <c r="BAR53" s="556"/>
      <c r="BAS53" s="556"/>
      <c r="BAT53" s="556"/>
      <c r="BAU53" s="556"/>
      <c r="BAV53" s="556"/>
      <c r="BAW53" s="556"/>
      <c r="BAX53" s="556"/>
      <c r="BAY53" s="556"/>
      <c r="BAZ53" s="556"/>
      <c r="BBA53" s="556"/>
      <c r="BBB53" s="556"/>
      <c r="BBC53" s="556"/>
      <c r="BBD53" s="556"/>
      <c r="BBE53" s="556"/>
      <c r="BBF53" s="556"/>
      <c r="BBG53" s="556"/>
      <c r="BBH53" s="556"/>
      <c r="BBI53" s="556"/>
      <c r="BBJ53" s="556"/>
      <c r="BBK53" s="556"/>
      <c r="BBL53" s="556"/>
      <c r="BBM53" s="556"/>
      <c r="BBN53" s="556"/>
      <c r="BBO53" s="556"/>
      <c r="BBP53" s="556"/>
      <c r="BBQ53" s="556"/>
      <c r="BBR53" s="556"/>
      <c r="BBS53" s="556"/>
      <c r="BBT53" s="556"/>
      <c r="BBU53" s="556"/>
      <c r="BBV53" s="556"/>
      <c r="BBW53" s="556"/>
      <c r="BBX53" s="556"/>
      <c r="BBY53" s="556"/>
      <c r="BBZ53" s="556"/>
      <c r="BCA53" s="556"/>
      <c r="BCB53" s="556"/>
      <c r="BCC53" s="556"/>
      <c r="BCD53" s="556"/>
      <c r="BCE53" s="556"/>
      <c r="BCF53" s="556"/>
      <c r="BCG53" s="556"/>
      <c r="BCH53" s="556"/>
      <c r="BCI53" s="556"/>
      <c r="BCJ53" s="556"/>
      <c r="BCK53" s="556"/>
      <c r="BCL53" s="556"/>
      <c r="BCM53" s="556"/>
      <c r="BCN53" s="556"/>
      <c r="BCO53" s="556"/>
      <c r="BCP53" s="556"/>
      <c r="BCQ53" s="556"/>
      <c r="BCR53" s="556"/>
      <c r="BCS53" s="556"/>
      <c r="BCT53" s="556"/>
      <c r="BCU53" s="556"/>
      <c r="BCV53" s="556"/>
      <c r="BCW53" s="556"/>
      <c r="BCX53" s="556"/>
      <c r="BCY53" s="556"/>
      <c r="BCZ53" s="556"/>
      <c r="BDA53" s="556"/>
      <c r="BDB53" s="556"/>
      <c r="BDC53" s="556"/>
      <c r="BDD53" s="556"/>
      <c r="BDE53" s="556"/>
      <c r="BDF53" s="556"/>
      <c r="BDG53" s="556"/>
      <c r="BDH53" s="556"/>
      <c r="BDI53" s="556"/>
      <c r="BDJ53" s="556"/>
      <c r="BDK53" s="556"/>
      <c r="BDL53" s="556"/>
      <c r="BDM53" s="556"/>
      <c r="BDN53" s="556"/>
      <c r="BDO53" s="556"/>
      <c r="BDP53" s="556"/>
      <c r="BDQ53" s="556"/>
      <c r="BDR53" s="556"/>
      <c r="BDS53" s="556"/>
      <c r="BDT53" s="556"/>
      <c r="BDU53" s="556"/>
      <c r="BDV53" s="556"/>
      <c r="BDW53" s="556"/>
      <c r="BDX53" s="556"/>
      <c r="BDY53" s="556"/>
      <c r="BDZ53" s="556"/>
      <c r="BEA53" s="556"/>
      <c r="BEB53" s="556"/>
      <c r="BEC53" s="556"/>
      <c r="BED53" s="556"/>
      <c r="BEE53" s="556"/>
      <c r="BEF53" s="556"/>
      <c r="BEG53" s="556"/>
      <c r="BEH53" s="556"/>
      <c r="BEI53" s="556"/>
      <c r="BEJ53" s="556"/>
      <c r="BEK53" s="556"/>
      <c r="BEL53" s="556"/>
      <c r="BEM53" s="556"/>
      <c r="BEN53" s="556"/>
      <c r="BEO53" s="556"/>
      <c r="BEP53" s="556"/>
      <c r="BEQ53" s="556"/>
      <c r="BER53" s="556"/>
      <c r="BES53" s="556"/>
      <c r="BET53" s="556"/>
      <c r="BEU53" s="556"/>
      <c r="BEV53" s="556"/>
      <c r="BEW53" s="556"/>
      <c r="BEX53" s="556"/>
      <c r="BEY53" s="556"/>
      <c r="BEZ53" s="556"/>
      <c r="BFA53" s="556"/>
      <c r="BFB53" s="556"/>
      <c r="BFC53" s="556"/>
      <c r="BFD53" s="556"/>
      <c r="BFE53" s="556"/>
      <c r="BFF53" s="556"/>
      <c r="BFG53" s="556"/>
      <c r="BFH53" s="556"/>
      <c r="BFI53" s="556"/>
      <c r="BFJ53" s="556"/>
      <c r="BFK53" s="556"/>
      <c r="BFL53" s="556"/>
      <c r="BFM53" s="556"/>
      <c r="BFN53" s="556"/>
      <c r="BFO53" s="556"/>
      <c r="BFP53" s="556"/>
      <c r="BFQ53" s="556"/>
      <c r="BFR53" s="556"/>
      <c r="BFS53" s="556"/>
      <c r="BFT53" s="556"/>
      <c r="BFU53" s="556"/>
      <c r="BFV53" s="556"/>
      <c r="BFW53" s="556"/>
      <c r="BFX53" s="556"/>
      <c r="BFY53" s="556"/>
      <c r="BFZ53" s="556"/>
      <c r="BGA53" s="556"/>
      <c r="BGB53" s="556"/>
      <c r="BGC53" s="556"/>
      <c r="BGD53" s="556"/>
      <c r="BGE53" s="556"/>
      <c r="BGF53" s="556"/>
      <c r="BGG53" s="556"/>
      <c r="BGH53" s="556"/>
      <c r="BGI53" s="556"/>
      <c r="BGJ53" s="556"/>
      <c r="BGK53" s="556"/>
      <c r="BGL53" s="556"/>
      <c r="BGM53" s="556"/>
      <c r="BGN53" s="556"/>
      <c r="BGO53" s="556"/>
      <c r="BGP53" s="556"/>
      <c r="BGQ53" s="556"/>
      <c r="BGR53" s="556"/>
      <c r="BGS53" s="556"/>
      <c r="BGT53" s="556"/>
      <c r="BGU53" s="556"/>
      <c r="BGV53" s="556"/>
      <c r="BGW53" s="556"/>
      <c r="BGX53" s="556"/>
      <c r="BGY53" s="556"/>
      <c r="BGZ53" s="556"/>
      <c r="BHA53" s="556"/>
      <c r="BHB53" s="556"/>
      <c r="BHC53" s="556"/>
      <c r="BHD53" s="556"/>
      <c r="BHE53" s="556"/>
      <c r="BHF53" s="556"/>
      <c r="BHG53" s="556"/>
      <c r="BHH53" s="556"/>
      <c r="BHI53" s="556"/>
      <c r="BHJ53" s="556"/>
      <c r="BHK53" s="556"/>
      <c r="BHL53" s="556"/>
      <c r="BHM53" s="556"/>
      <c r="BHN53" s="556"/>
      <c r="BHO53" s="556"/>
      <c r="BHP53" s="556"/>
      <c r="BHQ53" s="556"/>
      <c r="BHR53" s="556"/>
      <c r="BHS53" s="556"/>
      <c r="BHT53" s="556"/>
      <c r="BHU53" s="556"/>
      <c r="BHV53" s="556"/>
      <c r="BHW53" s="556"/>
      <c r="BHX53" s="556"/>
      <c r="BHY53" s="556"/>
      <c r="BHZ53" s="556"/>
      <c r="BIA53" s="556"/>
      <c r="BIB53" s="556"/>
      <c r="BIC53" s="556"/>
      <c r="BID53" s="556"/>
      <c r="BIE53" s="556"/>
      <c r="BIF53" s="556"/>
      <c r="BIG53" s="556"/>
      <c r="BIH53" s="556"/>
      <c r="BII53" s="556"/>
      <c r="BIJ53" s="556"/>
      <c r="BIK53" s="556"/>
      <c r="BIL53" s="556"/>
      <c r="BIM53" s="556"/>
      <c r="BIN53" s="556"/>
      <c r="BIO53" s="556"/>
      <c r="BIP53" s="556"/>
      <c r="BIQ53" s="556"/>
      <c r="BIR53" s="556"/>
      <c r="BIS53" s="556"/>
      <c r="BIT53" s="556"/>
      <c r="BIU53" s="556"/>
      <c r="BIV53" s="556"/>
      <c r="BIW53" s="556"/>
      <c r="BIX53" s="556"/>
      <c r="BIY53" s="556"/>
      <c r="BIZ53" s="556"/>
      <c r="BJA53" s="556"/>
      <c r="BJB53" s="556"/>
      <c r="BJC53" s="556"/>
      <c r="BJD53" s="556"/>
      <c r="BJE53" s="556"/>
      <c r="BJF53" s="556"/>
      <c r="BJG53" s="556"/>
      <c r="BJH53" s="556"/>
      <c r="BJI53" s="556"/>
      <c r="BJJ53" s="556"/>
      <c r="BJK53" s="556"/>
      <c r="BJL53" s="556"/>
      <c r="BJM53" s="556"/>
      <c r="BJN53" s="556"/>
      <c r="BJO53" s="556"/>
      <c r="BJP53" s="556"/>
      <c r="BJQ53" s="556"/>
      <c r="BJR53" s="556"/>
      <c r="BJS53" s="556"/>
      <c r="BJT53" s="556"/>
      <c r="BJU53" s="556"/>
      <c r="BJV53" s="556"/>
      <c r="BJW53" s="556"/>
      <c r="BJX53" s="556"/>
      <c r="BJY53" s="556"/>
      <c r="BJZ53" s="556"/>
      <c r="BKA53" s="556"/>
      <c r="BKB53" s="556"/>
      <c r="BKC53" s="556"/>
      <c r="BKD53" s="556"/>
      <c r="BKE53" s="556"/>
      <c r="BKF53" s="556"/>
      <c r="BKG53" s="556"/>
      <c r="BKH53" s="556"/>
      <c r="BKI53" s="556"/>
      <c r="BKJ53" s="556"/>
      <c r="BKK53" s="556"/>
      <c r="BKL53" s="556"/>
      <c r="BKM53" s="556"/>
      <c r="BKN53" s="556"/>
      <c r="BKO53" s="556"/>
      <c r="BKP53" s="556"/>
      <c r="BKQ53" s="556"/>
      <c r="BKR53" s="556"/>
      <c r="BKS53" s="556"/>
      <c r="BKT53" s="556"/>
      <c r="BKU53" s="556"/>
      <c r="BKV53" s="556"/>
      <c r="BKW53" s="556"/>
      <c r="BKX53" s="556"/>
      <c r="BKY53" s="556"/>
      <c r="BKZ53" s="556"/>
      <c r="BLA53" s="556"/>
      <c r="BLB53" s="556"/>
      <c r="BLC53" s="556"/>
      <c r="BLD53" s="556"/>
      <c r="BLE53" s="556"/>
      <c r="BLF53" s="556"/>
      <c r="BLG53" s="556"/>
      <c r="BLH53" s="556"/>
      <c r="BLI53" s="556"/>
      <c r="BLJ53" s="556"/>
      <c r="BLK53" s="556"/>
      <c r="BLL53" s="556"/>
      <c r="BLM53" s="556"/>
      <c r="BLN53" s="556"/>
      <c r="BLO53" s="556"/>
      <c r="BLP53" s="556"/>
      <c r="BLQ53" s="556"/>
      <c r="BLR53" s="556"/>
      <c r="BLS53" s="556"/>
      <c r="BLT53" s="556"/>
      <c r="BLU53" s="556"/>
      <c r="BLV53" s="556"/>
      <c r="BLW53" s="556"/>
      <c r="BLX53" s="556"/>
      <c r="BLY53" s="556"/>
      <c r="BLZ53" s="556"/>
      <c r="BMA53" s="556"/>
      <c r="BMB53" s="556"/>
      <c r="BMC53" s="556"/>
      <c r="BMD53" s="556"/>
      <c r="BME53" s="556"/>
      <c r="BMF53" s="556"/>
      <c r="BMG53" s="556"/>
      <c r="BMH53" s="556"/>
      <c r="BMI53" s="556"/>
      <c r="BMJ53" s="556"/>
      <c r="BMK53" s="556"/>
      <c r="BML53" s="556"/>
      <c r="BMM53" s="556"/>
      <c r="BMN53" s="556"/>
      <c r="BMO53" s="556"/>
      <c r="BMP53" s="556"/>
      <c r="BMQ53" s="556"/>
      <c r="BMR53" s="556"/>
      <c r="BMS53" s="556"/>
      <c r="BMT53" s="556"/>
      <c r="BMU53" s="556"/>
      <c r="BMV53" s="556"/>
      <c r="BMW53" s="556"/>
      <c r="BMX53" s="556"/>
      <c r="BMY53" s="556"/>
      <c r="BMZ53" s="556"/>
      <c r="BNA53" s="556"/>
      <c r="BNB53" s="556"/>
      <c r="BNC53" s="556"/>
      <c r="BND53" s="556"/>
      <c r="BNE53" s="556"/>
      <c r="BNF53" s="556"/>
      <c r="BNG53" s="556"/>
      <c r="BNH53" s="556"/>
      <c r="BNI53" s="556"/>
      <c r="BNJ53" s="556"/>
      <c r="BNK53" s="556"/>
      <c r="BNL53" s="556"/>
      <c r="BNM53" s="556"/>
      <c r="BNN53" s="556"/>
      <c r="BNO53" s="556"/>
      <c r="BNP53" s="556"/>
      <c r="BNQ53" s="556"/>
      <c r="BNR53" s="556"/>
      <c r="BNS53" s="556"/>
      <c r="BNT53" s="556"/>
      <c r="BNU53" s="556"/>
      <c r="BNV53" s="556"/>
      <c r="BNW53" s="556"/>
      <c r="BNX53" s="556"/>
      <c r="BNY53" s="556"/>
      <c r="BNZ53" s="556"/>
      <c r="BOA53" s="556"/>
      <c r="BOB53" s="556"/>
      <c r="BOC53" s="556"/>
      <c r="BOD53" s="556"/>
      <c r="BOE53" s="556"/>
      <c r="BOF53" s="556"/>
      <c r="BOG53" s="556"/>
      <c r="BOH53" s="556"/>
      <c r="BOI53" s="556"/>
      <c r="BOJ53" s="556"/>
      <c r="BOK53" s="556"/>
      <c r="BOL53" s="556"/>
      <c r="BOM53" s="556"/>
      <c r="BON53" s="556"/>
      <c r="BOO53" s="556"/>
      <c r="BOP53" s="556"/>
      <c r="BOQ53" s="556"/>
      <c r="BOR53" s="556"/>
      <c r="BOS53" s="556"/>
      <c r="BOT53" s="556"/>
      <c r="BOU53" s="556"/>
      <c r="BOV53" s="556"/>
      <c r="BOW53" s="556"/>
      <c r="BOX53" s="556"/>
      <c r="BOY53" s="556"/>
      <c r="BOZ53" s="556"/>
      <c r="BPA53" s="556"/>
      <c r="BPB53" s="556"/>
      <c r="BPC53" s="556"/>
      <c r="BPD53" s="556"/>
      <c r="BPE53" s="556"/>
      <c r="BPF53" s="556"/>
      <c r="BPG53" s="556"/>
      <c r="BPH53" s="556"/>
      <c r="BPI53" s="556"/>
      <c r="BPJ53" s="556"/>
      <c r="BPK53" s="556"/>
      <c r="BPL53" s="556"/>
      <c r="BPM53" s="556"/>
      <c r="BPN53" s="556"/>
      <c r="BPO53" s="556"/>
      <c r="BPP53" s="556"/>
      <c r="BPQ53" s="556"/>
      <c r="BPR53" s="556"/>
      <c r="BPS53" s="556"/>
      <c r="BPT53" s="556"/>
      <c r="BPU53" s="556"/>
      <c r="BPV53" s="556"/>
      <c r="BPW53" s="556"/>
      <c r="BPX53" s="556"/>
      <c r="BPY53" s="556"/>
      <c r="BPZ53" s="556"/>
      <c r="BQA53" s="556"/>
      <c r="BQB53" s="556"/>
      <c r="BQC53" s="556"/>
      <c r="BQD53" s="556"/>
      <c r="BQE53" s="556"/>
      <c r="BQF53" s="556"/>
      <c r="BQG53" s="556"/>
      <c r="BQH53" s="556"/>
      <c r="BQI53" s="556"/>
      <c r="BQJ53" s="556"/>
      <c r="BQK53" s="556"/>
      <c r="BQL53" s="556"/>
      <c r="BQM53" s="556"/>
      <c r="BQN53" s="556"/>
      <c r="BQO53" s="556"/>
      <c r="BQP53" s="556"/>
      <c r="BQQ53" s="556"/>
      <c r="BQR53" s="556"/>
      <c r="BQS53" s="556"/>
      <c r="BQT53" s="556"/>
      <c r="BQU53" s="556"/>
      <c r="BQV53" s="556"/>
      <c r="BQW53" s="556"/>
      <c r="BQX53" s="556"/>
      <c r="BQY53" s="556"/>
      <c r="BQZ53" s="556"/>
      <c r="BRA53" s="556"/>
      <c r="BRB53" s="556"/>
      <c r="BRC53" s="556"/>
      <c r="BRD53" s="556"/>
      <c r="BRE53" s="556"/>
      <c r="BRF53" s="556"/>
      <c r="BRG53" s="556"/>
      <c r="BRH53" s="556"/>
      <c r="BRI53" s="556"/>
      <c r="BRJ53" s="556"/>
      <c r="BRK53" s="556"/>
      <c r="BRL53" s="556"/>
      <c r="BRM53" s="556"/>
      <c r="BRN53" s="556"/>
      <c r="BRO53" s="556"/>
      <c r="BRP53" s="556"/>
      <c r="BRQ53" s="556"/>
      <c r="BRR53" s="556"/>
      <c r="BRS53" s="556"/>
      <c r="BRT53" s="556"/>
      <c r="BRU53" s="556"/>
      <c r="BRV53" s="556"/>
      <c r="BRW53" s="556"/>
      <c r="BRX53" s="556"/>
      <c r="BRY53" s="556"/>
      <c r="BRZ53" s="556"/>
      <c r="BSA53" s="556"/>
      <c r="BSB53" s="556"/>
      <c r="BSC53" s="556"/>
      <c r="BSD53" s="556"/>
      <c r="BSE53" s="556"/>
      <c r="BSF53" s="556"/>
      <c r="BSG53" s="556"/>
      <c r="BSH53" s="556"/>
      <c r="BSI53" s="556"/>
      <c r="BSJ53" s="556"/>
      <c r="BSK53" s="556"/>
      <c r="BSL53" s="556"/>
      <c r="BSM53" s="556"/>
      <c r="BSN53" s="556"/>
      <c r="BSO53" s="556"/>
      <c r="BSP53" s="556"/>
      <c r="BSQ53" s="556"/>
      <c r="BSR53" s="556"/>
      <c r="BSS53" s="556"/>
      <c r="BST53" s="556"/>
      <c r="BSU53" s="556"/>
      <c r="BSV53" s="556"/>
      <c r="BSW53" s="556"/>
      <c r="BSX53" s="556"/>
      <c r="BSY53" s="556"/>
      <c r="BSZ53" s="556"/>
      <c r="BTA53" s="556"/>
      <c r="BTB53" s="556"/>
      <c r="BTC53" s="556"/>
      <c r="BTD53" s="556"/>
      <c r="BTE53" s="556"/>
      <c r="BTF53" s="556"/>
      <c r="BTG53" s="556"/>
      <c r="BTH53" s="556"/>
      <c r="BTI53" s="556"/>
      <c r="BTJ53" s="556"/>
      <c r="BTK53" s="556"/>
      <c r="BTL53" s="556"/>
      <c r="BTM53" s="556"/>
      <c r="BTN53" s="556"/>
      <c r="BTO53" s="556"/>
      <c r="BTP53" s="556"/>
      <c r="BTQ53" s="556"/>
      <c r="BTR53" s="556"/>
      <c r="BTS53" s="556"/>
      <c r="BTT53" s="556"/>
      <c r="BTU53" s="556"/>
      <c r="BTV53" s="556"/>
      <c r="BTW53" s="556"/>
      <c r="BTX53" s="556"/>
      <c r="BTY53" s="556"/>
      <c r="BTZ53" s="556"/>
      <c r="BUA53" s="556"/>
      <c r="BUB53" s="556"/>
      <c r="BUC53" s="556"/>
      <c r="BUD53" s="556"/>
      <c r="BUE53" s="556"/>
      <c r="BUF53" s="556"/>
      <c r="BUG53" s="556"/>
      <c r="BUH53" s="556"/>
      <c r="BUI53" s="556"/>
      <c r="BUJ53" s="556"/>
      <c r="BUK53" s="556"/>
      <c r="BUL53" s="556"/>
      <c r="BUM53" s="556"/>
      <c r="BUN53" s="556"/>
      <c r="BUO53" s="556"/>
      <c r="BUP53" s="556"/>
      <c r="BUQ53" s="556"/>
      <c r="BUR53" s="556"/>
      <c r="BUS53" s="556"/>
      <c r="BUT53" s="556"/>
      <c r="BUU53" s="556"/>
      <c r="BUV53" s="556"/>
      <c r="BUW53" s="556"/>
      <c r="BUX53" s="556"/>
      <c r="BUY53" s="556"/>
      <c r="BUZ53" s="556"/>
      <c r="BVA53" s="556"/>
      <c r="BVB53" s="556"/>
      <c r="BVC53" s="556"/>
      <c r="BVD53" s="556"/>
      <c r="BVE53" s="556"/>
      <c r="BVF53" s="556"/>
      <c r="BVG53" s="556"/>
      <c r="BVH53" s="556"/>
      <c r="BVI53" s="556"/>
      <c r="BVJ53" s="556"/>
      <c r="BVK53" s="556"/>
      <c r="BVL53" s="556"/>
      <c r="BVM53" s="556"/>
      <c r="BVN53" s="556"/>
      <c r="BVO53" s="556"/>
      <c r="BVP53" s="556"/>
      <c r="BVQ53" s="556"/>
      <c r="BVR53" s="556"/>
      <c r="BVS53" s="556"/>
      <c r="BVT53" s="556"/>
      <c r="BVU53" s="556"/>
      <c r="BVV53" s="556"/>
      <c r="BVW53" s="556"/>
      <c r="BVX53" s="556"/>
      <c r="BVY53" s="556"/>
      <c r="BVZ53" s="556"/>
      <c r="BWA53" s="556"/>
      <c r="BWB53" s="556"/>
      <c r="BWC53" s="556"/>
      <c r="BWD53" s="556"/>
      <c r="BWE53" s="556"/>
      <c r="BWF53" s="556"/>
      <c r="BWG53" s="556"/>
      <c r="BWH53" s="556"/>
      <c r="BWI53" s="556"/>
      <c r="BWJ53" s="556"/>
      <c r="BWK53" s="556"/>
      <c r="BWL53" s="556"/>
      <c r="BWM53" s="556"/>
      <c r="BWN53" s="556"/>
      <c r="BWO53" s="556"/>
      <c r="BWP53" s="556"/>
      <c r="BWQ53" s="556"/>
      <c r="BWR53" s="556"/>
      <c r="BWS53" s="556"/>
      <c r="BWT53" s="556"/>
      <c r="BWU53" s="556"/>
      <c r="BWV53" s="556"/>
      <c r="BWW53" s="556"/>
      <c r="BWX53" s="556"/>
      <c r="BWY53" s="556"/>
      <c r="BWZ53" s="556"/>
      <c r="BXA53" s="556"/>
      <c r="BXB53" s="556"/>
      <c r="BXC53" s="556"/>
      <c r="BXD53" s="556"/>
      <c r="BXE53" s="556"/>
      <c r="BXF53" s="556"/>
      <c r="BXG53" s="556"/>
      <c r="BXH53" s="556"/>
      <c r="BXI53" s="556"/>
      <c r="BXJ53" s="556"/>
      <c r="BXK53" s="556"/>
      <c r="BXL53" s="556"/>
      <c r="BXM53" s="556"/>
      <c r="BXN53" s="556"/>
      <c r="BXO53" s="556"/>
      <c r="BXP53" s="556"/>
      <c r="BXQ53" s="556"/>
      <c r="BXR53" s="556"/>
      <c r="BXS53" s="556"/>
      <c r="BXT53" s="556"/>
      <c r="BXU53" s="556"/>
      <c r="BXV53" s="556"/>
      <c r="BXW53" s="556"/>
      <c r="BXX53" s="556"/>
      <c r="BXY53" s="556"/>
      <c r="BXZ53" s="556"/>
      <c r="BYA53" s="556"/>
      <c r="BYB53" s="556"/>
      <c r="BYC53" s="556"/>
      <c r="BYD53" s="556"/>
      <c r="BYE53" s="556"/>
      <c r="BYF53" s="556"/>
      <c r="BYG53" s="556"/>
      <c r="BYH53" s="556"/>
      <c r="BYI53" s="556"/>
      <c r="BYJ53" s="556"/>
      <c r="BYK53" s="556"/>
      <c r="BYL53" s="556"/>
      <c r="BYM53" s="556"/>
      <c r="BYN53" s="556"/>
      <c r="BYO53" s="556"/>
      <c r="BYP53" s="556"/>
      <c r="BYQ53" s="556"/>
      <c r="BYR53" s="556"/>
      <c r="BYS53" s="556"/>
      <c r="BYT53" s="556"/>
      <c r="BYU53" s="556"/>
      <c r="BYV53" s="556"/>
      <c r="BYW53" s="556"/>
      <c r="BYX53" s="556"/>
      <c r="BYY53" s="556"/>
      <c r="BYZ53" s="556"/>
      <c r="BZA53" s="556"/>
      <c r="BZB53" s="556"/>
      <c r="BZC53" s="556"/>
      <c r="BZD53" s="556"/>
      <c r="BZE53" s="556"/>
      <c r="BZF53" s="556"/>
      <c r="BZG53" s="556"/>
      <c r="BZH53" s="556"/>
      <c r="BZI53" s="556"/>
      <c r="BZJ53" s="556"/>
      <c r="BZK53" s="556"/>
      <c r="BZL53" s="556"/>
      <c r="BZM53" s="556"/>
      <c r="BZN53" s="556"/>
      <c r="BZO53" s="556"/>
      <c r="BZP53" s="556"/>
      <c r="BZQ53" s="556"/>
      <c r="BZR53" s="556"/>
      <c r="BZS53" s="556"/>
      <c r="BZT53" s="556"/>
      <c r="BZU53" s="556"/>
      <c r="BZV53" s="556"/>
      <c r="BZW53" s="556"/>
      <c r="BZX53" s="556"/>
      <c r="BZY53" s="556"/>
      <c r="BZZ53" s="556"/>
      <c r="CAA53" s="556"/>
      <c r="CAB53" s="556"/>
      <c r="CAC53" s="556"/>
      <c r="CAD53" s="556"/>
      <c r="CAE53" s="556"/>
      <c r="CAF53" s="556"/>
      <c r="CAG53" s="556"/>
      <c r="CAH53" s="556"/>
      <c r="CAI53" s="556"/>
      <c r="CAJ53" s="556"/>
      <c r="CAK53" s="556"/>
      <c r="CAL53" s="556"/>
      <c r="CAM53" s="556"/>
      <c r="CAN53" s="556"/>
      <c r="CAO53" s="556"/>
      <c r="CAP53" s="556"/>
      <c r="CAQ53" s="556"/>
      <c r="CAR53" s="556"/>
      <c r="CAS53" s="556"/>
      <c r="CAT53" s="556"/>
      <c r="CAU53" s="556"/>
      <c r="CAV53" s="556"/>
      <c r="CAW53" s="556"/>
      <c r="CAX53" s="556"/>
      <c r="CAY53" s="556"/>
      <c r="CAZ53" s="556"/>
      <c r="CBA53" s="556"/>
      <c r="CBB53" s="556"/>
      <c r="CBC53" s="556"/>
      <c r="CBD53" s="556"/>
      <c r="CBE53" s="556"/>
      <c r="CBF53" s="556"/>
      <c r="CBG53" s="556"/>
      <c r="CBH53" s="556"/>
      <c r="CBI53" s="556"/>
      <c r="CBJ53" s="556"/>
      <c r="CBK53" s="556"/>
      <c r="CBL53" s="556"/>
      <c r="CBM53" s="556"/>
      <c r="CBN53" s="556"/>
      <c r="CBO53" s="556"/>
      <c r="CBP53" s="556"/>
      <c r="CBQ53" s="556"/>
      <c r="CBR53" s="556"/>
      <c r="CBS53" s="556"/>
      <c r="CBT53" s="556"/>
      <c r="CBU53" s="556"/>
      <c r="CBV53" s="556"/>
      <c r="CBW53" s="556"/>
      <c r="CBX53" s="556"/>
      <c r="CBY53" s="556"/>
      <c r="CBZ53" s="556"/>
      <c r="CCA53" s="556"/>
      <c r="CCB53" s="556"/>
      <c r="CCC53" s="556"/>
      <c r="CCD53" s="556"/>
      <c r="CCE53" s="556"/>
      <c r="CCF53" s="556"/>
      <c r="CCG53" s="556"/>
      <c r="CCH53" s="556"/>
      <c r="CCI53" s="556"/>
      <c r="CCJ53" s="556"/>
      <c r="CCK53" s="556"/>
      <c r="CCL53" s="556"/>
      <c r="CCM53" s="556"/>
      <c r="CCN53" s="556"/>
      <c r="CCO53" s="556"/>
      <c r="CCP53" s="556"/>
      <c r="CCQ53" s="556"/>
      <c r="CCR53" s="556"/>
      <c r="CCS53" s="556"/>
      <c r="CCT53" s="556"/>
      <c r="CCU53" s="556"/>
      <c r="CCV53" s="556"/>
      <c r="CCW53" s="556"/>
      <c r="CCX53" s="556"/>
      <c r="CCY53" s="556"/>
      <c r="CCZ53" s="556"/>
      <c r="CDA53" s="556"/>
      <c r="CDB53" s="556"/>
      <c r="CDC53" s="556"/>
      <c r="CDD53" s="556"/>
      <c r="CDE53" s="556"/>
      <c r="CDF53" s="556"/>
      <c r="CDG53" s="556"/>
      <c r="CDH53" s="556"/>
      <c r="CDI53" s="556"/>
      <c r="CDJ53" s="556"/>
      <c r="CDK53" s="556"/>
      <c r="CDL53" s="556"/>
      <c r="CDM53" s="556"/>
      <c r="CDN53" s="556"/>
      <c r="CDO53" s="556"/>
      <c r="CDP53" s="556"/>
      <c r="CDQ53" s="556"/>
      <c r="CDR53" s="556"/>
      <c r="CDS53" s="556"/>
      <c r="CDT53" s="556"/>
      <c r="CDU53" s="556"/>
      <c r="CDV53" s="556"/>
      <c r="CDW53" s="556"/>
      <c r="CDX53" s="556"/>
      <c r="CDY53" s="556"/>
      <c r="CDZ53" s="556"/>
      <c r="CEA53" s="556"/>
      <c r="CEB53" s="556"/>
      <c r="CEC53" s="556"/>
      <c r="CED53" s="556"/>
      <c r="CEE53" s="556"/>
      <c r="CEF53" s="556"/>
      <c r="CEG53" s="556"/>
      <c r="CEH53" s="556"/>
      <c r="CEI53" s="556"/>
      <c r="CEJ53" s="556"/>
      <c r="CEK53" s="556"/>
      <c r="CEL53" s="556"/>
      <c r="CEM53" s="556"/>
      <c r="CEN53" s="556"/>
      <c r="CEO53" s="556"/>
      <c r="CEP53" s="556"/>
      <c r="CEQ53" s="556"/>
      <c r="CER53" s="556"/>
      <c r="CES53" s="556"/>
      <c r="CET53" s="556"/>
      <c r="CEU53" s="556"/>
      <c r="CEV53" s="556"/>
      <c r="CEW53" s="556"/>
      <c r="CEX53" s="556"/>
      <c r="CEY53" s="556"/>
      <c r="CEZ53" s="556"/>
      <c r="CFA53" s="556"/>
      <c r="CFB53" s="556"/>
      <c r="CFC53" s="556"/>
      <c r="CFD53" s="556"/>
      <c r="CFE53" s="556"/>
      <c r="CFF53" s="556"/>
      <c r="CFG53" s="556"/>
      <c r="CFH53" s="556"/>
      <c r="CFI53" s="556"/>
      <c r="CFJ53" s="556"/>
      <c r="CFK53" s="556"/>
      <c r="CFL53" s="556"/>
      <c r="CFM53" s="556"/>
      <c r="CFN53" s="556"/>
      <c r="CFO53" s="556"/>
      <c r="CFP53" s="556"/>
      <c r="CFQ53" s="556"/>
      <c r="CFR53" s="556"/>
      <c r="CFS53" s="556"/>
      <c r="CFT53" s="556"/>
      <c r="CFU53" s="556"/>
      <c r="CFV53" s="556"/>
      <c r="CFW53" s="556"/>
      <c r="CFX53" s="556"/>
      <c r="CFY53" s="556"/>
      <c r="CFZ53" s="556"/>
      <c r="CGA53" s="556"/>
      <c r="CGB53" s="556"/>
      <c r="CGC53" s="556"/>
      <c r="CGD53" s="556"/>
      <c r="CGE53" s="556"/>
      <c r="CGF53" s="556"/>
      <c r="CGG53" s="556"/>
      <c r="CGH53" s="556"/>
      <c r="CGI53" s="556"/>
      <c r="CGJ53" s="556"/>
      <c r="CGK53" s="556"/>
      <c r="CGL53" s="556"/>
      <c r="CGM53" s="556"/>
      <c r="CGN53" s="556"/>
      <c r="CGO53" s="556"/>
      <c r="CGP53" s="556"/>
      <c r="CGQ53" s="556"/>
      <c r="CGR53" s="556"/>
      <c r="CGS53" s="556"/>
      <c r="CGT53" s="556"/>
      <c r="CGU53" s="556"/>
      <c r="CGV53" s="556"/>
      <c r="CGW53" s="556"/>
      <c r="CGX53" s="556"/>
      <c r="CGY53" s="556"/>
      <c r="CGZ53" s="556"/>
      <c r="CHA53" s="556"/>
      <c r="CHB53" s="556"/>
      <c r="CHC53" s="556"/>
      <c r="CHD53" s="556"/>
      <c r="CHE53" s="556"/>
      <c r="CHF53" s="556"/>
      <c r="CHG53" s="556"/>
      <c r="CHH53" s="556"/>
      <c r="CHI53" s="556"/>
      <c r="CHJ53" s="556"/>
      <c r="CHK53" s="556"/>
      <c r="CHL53" s="556"/>
      <c r="CHM53" s="556"/>
      <c r="CHN53" s="556"/>
      <c r="CHO53" s="556"/>
      <c r="CHP53" s="556"/>
      <c r="CHQ53" s="556"/>
      <c r="CHR53" s="556"/>
      <c r="CHS53" s="556"/>
      <c r="CHT53" s="556"/>
      <c r="CHU53" s="556"/>
      <c r="CHV53" s="556"/>
      <c r="CHW53" s="556"/>
      <c r="CHX53" s="556"/>
      <c r="CHY53" s="556"/>
      <c r="CHZ53" s="556"/>
      <c r="CIA53" s="556"/>
      <c r="CIB53" s="556"/>
      <c r="CIC53" s="556"/>
      <c r="CID53" s="556"/>
      <c r="CIE53" s="556"/>
      <c r="CIF53" s="556"/>
      <c r="CIG53" s="556"/>
      <c r="CIH53" s="556"/>
      <c r="CII53" s="556"/>
      <c r="CIJ53" s="556"/>
      <c r="CIK53" s="556"/>
      <c r="CIL53" s="556"/>
      <c r="CIM53" s="556"/>
      <c r="CIN53" s="556"/>
      <c r="CIO53" s="556"/>
      <c r="CIP53" s="556"/>
      <c r="CIQ53" s="556"/>
      <c r="CIR53" s="556"/>
      <c r="CIS53" s="556"/>
      <c r="CIT53" s="556"/>
      <c r="CIU53" s="556"/>
      <c r="CIV53" s="556"/>
      <c r="CIW53" s="556"/>
      <c r="CIX53" s="556"/>
      <c r="CIY53" s="556"/>
      <c r="CIZ53" s="556"/>
      <c r="CJA53" s="556"/>
      <c r="CJB53" s="556"/>
      <c r="CJC53" s="556"/>
      <c r="CJD53" s="556"/>
      <c r="CJE53" s="556"/>
      <c r="CJF53" s="556"/>
      <c r="CJG53" s="556"/>
      <c r="CJH53" s="556"/>
      <c r="CJI53" s="556"/>
      <c r="CJJ53" s="556"/>
      <c r="CJK53" s="556"/>
      <c r="CJL53" s="556"/>
      <c r="CJM53" s="556"/>
      <c r="CJN53" s="556"/>
      <c r="CJO53" s="556"/>
      <c r="CJP53" s="556"/>
      <c r="CJQ53" s="556"/>
      <c r="CJR53" s="556"/>
      <c r="CJS53" s="556"/>
      <c r="CJT53" s="556"/>
      <c r="CJU53" s="556"/>
      <c r="CJV53" s="556"/>
      <c r="CJW53" s="556"/>
      <c r="CJX53" s="556"/>
      <c r="CJY53" s="556"/>
      <c r="CJZ53" s="556"/>
      <c r="CKA53" s="556"/>
      <c r="CKB53" s="556"/>
      <c r="CKC53" s="556"/>
      <c r="CKD53" s="556"/>
      <c r="CKE53" s="556"/>
      <c r="CKF53" s="556"/>
      <c r="CKG53" s="556"/>
      <c r="CKH53" s="556"/>
      <c r="CKI53" s="556"/>
      <c r="CKJ53" s="556"/>
      <c r="CKK53" s="556"/>
      <c r="CKL53" s="556"/>
      <c r="CKM53" s="556"/>
      <c r="CKN53" s="556"/>
      <c r="CKO53" s="556"/>
      <c r="CKP53" s="556"/>
      <c r="CKQ53" s="556"/>
      <c r="CKR53" s="556"/>
      <c r="CKS53" s="556"/>
      <c r="CKT53" s="556"/>
      <c r="CKU53" s="556"/>
      <c r="CKV53" s="556"/>
      <c r="CKW53" s="556"/>
      <c r="CKX53" s="556"/>
      <c r="CKY53" s="556"/>
      <c r="CKZ53" s="556"/>
      <c r="CLA53" s="556"/>
      <c r="CLB53" s="556"/>
      <c r="CLC53" s="556"/>
      <c r="CLD53" s="556"/>
      <c r="CLE53" s="556"/>
      <c r="CLF53" s="556"/>
      <c r="CLG53" s="556"/>
      <c r="CLH53" s="556"/>
      <c r="CLI53" s="556"/>
      <c r="CLJ53" s="556"/>
      <c r="CLK53" s="556"/>
      <c r="CLL53" s="556"/>
      <c r="CLM53" s="556"/>
      <c r="CLN53" s="556"/>
      <c r="CLO53" s="556"/>
      <c r="CLP53" s="556"/>
      <c r="CLQ53" s="556"/>
      <c r="CLR53" s="556"/>
      <c r="CLS53" s="556"/>
      <c r="CLT53" s="556"/>
      <c r="CLU53" s="556"/>
      <c r="CLV53" s="556"/>
      <c r="CLW53" s="556"/>
      <c r="CLX53" s="556"/>
      <c r="CLY53" s="556"/>
      <c r="CLZ53" s="556"/>
      <c r="CMA53" s="556"/>
      <c r="CMB53" s="556"/>
      <c r="CMC53" s="556"/>
      <c r="CMD53" s="556"/>
      <c r="CME53" s="556"/>
      <c r="CMF53" s="556"/>
      <c r="CMG53" s="556"/>
      <c r="CMH53" s="556"/>
      <c r="CMI53" s="556"/>
      <c r="CMJ53" s="556"/>
      <c r="CMK53" s="556"/>
      <c r="CML53" s="556"/>
      <c r="CMM53" s="556"/>
      <c r="CMN53" s="556"/>
      <c r="CMO53" s="556"/>
      <c r="CMP53" s="556"/>
      <c r="CMQ53" s="556"/>
      <c r="CMR53" s="556"/>
      <c r="CMS53" s="556"/>
      <c r="CMT53" s="556"/>
      <c r="CMU53" s="556"/>
      <c r="CMV53" s="556"/>
      <c r="CMW53" s="556"/>
      <c r="CMX53" s="556"/>
      <c r="CMY53" s="556"/>
      <c r="CMZ53" s="556"/>
      <c r="CNA53" s="556"/>
      <c r="CNB53" s="556"/>
      <c r="CNC53" s="556"/>
      <c r="CND53" s="556"/>
      <c r="CNE53" s="556"/>
      <c r="CNF53" s="556"/>
      <c r="CNG53" s="556"/>
      <c r="CNH53" s="556"/>
      <c r="CNI53" s="556"/>
      <c r="CNJ53" s="556"/>
      <c r="CNK53" s="556"/>
      <c r="CNL53" s="556"/>
      <c r="CNM53" s="556"/>
      <c r="CNN53" s="556"/>
      <c r="CNO53" s="556"/>
      <c r="CNP53" s="556"/>
      <c r="CNQ53" s="556"/>
      <c r="CNR53" s="556"/>
      <c r="CNS53" s="556"/>
      <c r="CNT53" s="556"/>
      <c r="CNU53" s="556"/>
      <c r="CNV53" s="556"/>
      <c r="CNW53" s="556"/>
      <c r="CNX53" s="556"/>
      <c r="CNY53" s="556"/>
      <c r="CNZ53" s="556"/>
      <c r="COA53" s="556"/>
      <c r="COB53" s="556"/>
      <c r="COC53" s="556"/>
      <c r="COD53" s="556"/>
      <c r="COE53" s="556"/>
      <c r="COF53" s="556"/>
      <c r="COG53" s="556"/>
      <c r="COH53" s="556"/>
      <c r="COI53" s="556"/>
      <c r="COJ53" s="556"/>
      <c r="COK53" s="556"/>
      <c r="COL53" s="556"/>
      <c r="COM53" s="556"/>
      <c r="CON53" s="556"/>
      <c r="COO53" s="556"/>
      <c r="COP53" s="556"/>
      <c r="COQ53" s="556"/>
      <c r="COR53" s="556"/>
      <c r="COS53" s="556"/>
      <c r="COT53" s="556"/>
      <c r="COU53" s="556"/>
      <c r="COV53" s="556"/>
      <c r="COW53" s="556"/>
      <c r="COX53" s="556"/>
      <c r="COY53" s="556"/>
      <c r="COZ53" s="556"/>
      <c r="CPA53" s="556"/>
      <c r="CPB53" s="556"/>
      <c r="CPC53" s="556"/>
      <c r="CPD53" s="556"/>
      <c r="CPE53" s="556"/>
      <c r="CPF53" s="556"/>
      <c r="CPG53" s="556"/>
      <c r="CPH53" s="556"/>
      <c r="CPI53" s="556"/>
      <c r="CPJ53" s="556"/>
      <c r="CPK53" s="556"/>
      <c r="CPL53" s="556"/>
      <c r="CPM53" s="556"/>
      <c r="CPN53" s="556"/>
      <c r="CPO53" s="556"/>
      <c r="CPP53" s="556"/>
      <c r="CPQ53" s="556"/>
      <c r="CPR53" s="556"/>
      <c r="CPS53" s="556"/>
      <c r="CPT53" s="556"/>
      <c r="CPU53" s="556"/>
      <c r="CPV53" s="556"/>
      <c r="CPW53" s="556"/>
      <c r="CPX53" s="556"/>
      <c r="CPY53" s="556"/>
      <c r="CPZ53" s="556"/>
      <c r="CQA53" s="556"/>
      <c r="CQB53" s="556"/>
      <c r="CQC53" s="556"/>
      <c r="CQD53" s="556"/>
      <c r="CQE53" s="556"/>
      <c r="CQF53" s="556"/>
      <c r="CQG53" s="556"/>
      <c r="CQH53" s="556"/>
      <c r="CQI53" s="556"/>
      <c r="CQJ53" s="556"/>
      <c r="CQK53" s="556"/>
      <c r="CQL53" s="556"/>
      <c r="CQM53" s="556"/>
      <c r="CQN53" s="556"/>
      <c r="CQO53" s="556"/>
      <c r="CQP53" s="556"/>
      <c r="CQQ53" s="556"/>
      <c r="CQR53" s="556"/>
      <c r="CQS53" s="556"/>
      <c r="CQT53" s="556"/>
      <c r="CQU53" s="556"/>
      <c r="CQV53" s="556"/>
      <c r="CQW53" s="556"/>
      <c r="CQX53" s="556"/>
      <c r="CQY53" s="556"/>
      <c r="CQZ53" s="556"/>
      <c r="CRA53" s="556"/>
      <c r="CRB53" s="556"/>
      <c r="CRC53" s="556"/>
      <c r="CRD53" s="556"/>
      <c r="CRE53" s="556"/>
      <c r="CRF53" s="556"/>
      <c r="CRG53" s="556"/>
      <c r="CRH53" s="556"/>
      <c r="CRI53" s="556"/>
      <c r="CRJ53" s="556"/>
      <c r="CRK53" s="556"/>
      <c r="CRL53" s="556"/>
      <c r="CRM53" s="556"/>
      <c r="CRN53" s="556"/>
      <c r="CRO53" s="556"/>
      <c r="CRP53" s="556"/>
      <c r="CRQ53" s="556"/>
      <c r="CRR53" s="556"/>
      <c r="CRS53" s="556"/>
      <c r="CRT53" s="556"/>
      <c r="CRU53" s="556"/>
      <c r="CRV53" s="556"/>
      <c r="CRW53" s="556"/>
      <c r="CRX53" s="556"/>
      <c r="CRY53" s="556"/>
      <c r="CRZ53" s="556"/>
      <c r="CSA53" s="556"/>
      <c r="CSB53" s="556"/>
      <c r="CSC53" s="556"/>
      <c r="CSD53" s="556"/>
      <c r="CSE53" s="556"/>
      <c r="CSF53" s="556"/>
      <c r="CSG53" s="556"/>
      <c r="CSH53" s="556"/>
      <c r="CSI53" s="556"/>
      <c r="CSJ53" s="556"/>
      <c r="CSK53" s="556"/>
      <c r="CSL53" s="556"/>
      <c r="CSM53" s="556"/>
      <c r="CSN53" s="556"/>
      <c r="CSO53" s="556"/>
      <c r="CSP53" s="556"/>
      <c r="CSQ53" s="556"/>
      <c r="CSR53" s="556"/>
      <c r="CSS53" s="556"/>
      <c r="CST53" s="556"/>
      <c r="CSU53" s="556"/>
      <c r="CSV53" s="556"/>
      <c r="CSW53" s="556"/>
      <c r="CSX53" s="556"/>
      <c r="CSY53" s="556"/>
      <c r="CSZ53" s="556"/>
      <c r="CTA53" s="556"/>
      <c r="CTB53" s="556"/>
      <c r="CTC53" s="556"/>
      <c r="CTD53" s="556"/>
      <c r="CTE53" s="556"/>
      <c r="CTF53" s="556"/>
      <c r="CTG53" s="556"/>
      <c r="CTH53" s="556"/>
      <c r="CTI53" s="556"/>
      <c r="CTJ53" s="556"/>
      <c r="CTK53" s="556"/>
      <c r="CTL53" s="556"/>
      <c r="CTM53" s="556"/>
      <c r="CTN53" s="556"/>
      <c r="CTO53" s="556"/>
      <c r="CTP53" s="556"/>
      <c r="CTQ53" s="556"/>
      <c r="CTR53" s="556"/>
      <c r="CTS53" s="556"/>
      <c r="CTT53" s="556"/>
      <c r="CTU53" s="556"/>
      <c r="CTV53" s="556"/>
      <c r="CTW53" s="556"/>
      <c r="CTX53" s="556"/>
      <c r="CTY53" s="556"/>
      <c r="CTZ53" s="556"/>
      <c r="CUA53" s="556"/>
      <c r="CUB53" s="556"/>
      <c r="CUC53" s="556"/>
      <c r="CUD53" s="556"/>
      <c r="CUE53" s="556"/>
      <c r="CUF53" s="556"/>
      <c r="CUG53" s="556"/>
      <c r="CUH53" s="556"/>
      <c r="CUI53" s="556"/>
      <c r="CUJ53" s="556"/>
      <c r="CUK53" s="556"/>
      <c r="CUL53" s="556"/>
      <c r="CUM53" s="556"/>
      <c r="CUN53" s="556"/>
      <c r="CUO53" s="556"/>
      <c r="CUP53" s="556"/>
      <c r="CUQ53" s="556"/>
      <c r="CUR53" s="556"/>
      <c r="CUS53" s="556"/>
      <c r="CUT53" s="556"/>
      <c r="CUU53" s="556"/>
      <c r="CUV53" s="556"/>
      <c r="CUW53" s="556"/>
      <c r="CUX53" s="556"/>
      <c r="CUY53" s="556"/>
      <c r="CUZ53" s="556"/>
      <c r="CVA53" s="556"/>
      <c r="CVB53" s="556"/>
      <c r="CVC53" s="556"/>
      <c r="CVD53" s="556"/>
      <c r="CVE53" s="556"/>
      <c r="CVF53" s="556"/>
      <c r="CVG53" s="556"/>
      <c r="CVH53" s="556"/>
      <c r="CVI53" s="556"/>
      <c r="CVJ53" s="556"/>
      <c r="CVK53" s="556"/>
      <c r="CVL53" s="556"/>
      <c r="CVM53" s="556"/>
      <c r="CVN53" s="556"/>
      <c r="CVO53" s="556"/>
      <c r="CVP53" s="556"/>
      <c r="CVQ53" s="556"/>
      <c r="CVR53" s="556"/>
      <c r="CVS53" s="556"/>
      <c r="CVT53" s="556"/>
      <c r="CVU53" s="556"/>
      <c r="CVV53" s="556"/>
      <c r="CVW53" s="556"/>
      <c r="CVX53" s="556"/>
      <c r="CVY53" s="556"/>
      <c r="CVZ53" s="556"/>
      <c r="CWA53" s="556"/>
      <c r="CWB53" s="556"/>
      <c r="CWC53" s="556"/>
      <c r="CWD53" s="556"/>
      <c r="CWE53" s="556"/>
      <c r="CWF53" s="556"/>
      <c r="CWG53" s="556"/>
      <c r="CWH53" s="556"/>
      <c r="CWI53" s="556"/>
      <c r="CWJ53" s="556"/>
      <c r="CWK53" s="556"/>
      <c r="CWL53" s="556"/>
      <c r="CWM53" s="556"/>
      <c r="CWN53" s="556"/>
      <c r="CWO53" s="556"/>
      <c r="CWP53" s="556"/>
      <c r="CWQ53" s="556"/>
      <c r="CWR53" s="556"/>
      <c r="CWS53" s="556"/>
      <c r="CWT53" s="556"/>
      <c r="CWU53" s="556"/>
      <c r="CWV53" s="556"/>
      <c r="CWW53" s="556"/>
      <c r="CWX53" s="556"/>
      <c r="CWY53" s="556"/>
      <c r="CWZ53" s="556"/>
      <c r="CXA53" s="556"/>
      <c r="CXB53" s="556"/>
      <c r="CXC53" s="556"/>
      <c r="CXD53" s="556"/>
      <c r="CXE53" s="556"/>
      <c r="CXF53" s="556"/>
      <c r="CXG53" s="556"/>
      <c r="CXH53" s="556"/>
      <c r="CXI53" s="556"/>
      <c r="CXJ53" s="556"/>
      <c r="CXK53" s="556"/>
      <c r="CXL53" s="556"/>
      <c r="CXM53" s="556"/>
      <c r="CXN53" s="556"/>
      <c r="CXO53" s="556"/>
      <c r="CXP53" s="556"/>
      <c r="CXQ53" s="556"/>
      <c r="CXR53" s="556"/>
      <c r="CXS53" s="556"/>
      <c r="CXT53" s="556"/>
      <c r="CXU53" s="556"/>
      <c r="CXV53" s="556"/>
      <c r="CXW53" s="556"/>
      <c r="CXX53" s="556"/>
      <c r="CXY53" s="556"/>
      <c r="CXZ53" s="556"/>
      <c r="CYA53" s="556"/>
      <c r="CYB53" s="556"/>
      <c r="CYC53" s="556"/>
      <c r="CYD53" s="556"/>
      <c r="CYE53" s="556"/>
      <c r="CYF53" s="556"/>
      <c r="CYG53" s="556"/>
      <c r="CYH53" s="556"/>
      <c r="CYI53" s="556"/>
      <c r="CYJ53" s="556"/>
      <c r="CYK53" s="556"/>
      <c r="CYL53" s="556"/>
      <c r="CYM53" s="556"/>
      <c r="CYN53" s="556"/>
      <c r="CYO53" s="556"/>
      <c r="CYP53" s="556"/>
      <c r="CYQ53" s="556"/>
      <c r="CYR53" s="556"/>
      <c r="CYS53" s="556"/>
      <c r="CYT53" s="556"/>
      <c r="CYU53" s="556"/>
      <c r="CYV53" s="556"/>
      <c r="CYW53" s="556"/>
      <c r="CYX53" s="556"/>
      <c r="CYY53" s="556"/>
      <c r="CYZ53" s="556"/>
      <c r="CZA53" s="556"/>
      <c r="CZB53" s="556"/>
      <c r="CZC53" s="556"/>
      <c r="CZD53" s="556"/>
      <c r="CZE53" s="556"/>
      <c r="CZF53" s="556"/>
      <c r="CZG53" s="556"/>
      <c r="CZH53" s="556"/>
      <c r="CZI53" s="556"/>
      <c r="CZJ53" s="556"/>
      <c r="CZK53" s="556"/>
      <c r="CZL53" s="556"/>
      <c r="CZM53" s="556"/>
      <c r="CZN53" s="556"/>
      <c r="CZO53" s="556"/>
      <c r="CZP53" s="556"/>
      <c r="CZQ53" s="556"/>
      <c r="CZR53" s="556"/>
      <c r="CZS53" s="556"/>
      <c r="CZT53" s="556"/>
      <c r="CZU53" s="556"/>
      <c r="CZV53" s="556"/>
      <c r="CZW53" s="556"/>
      <c r="CZX53" s="556"/>
      <c r="CZY53" s="556"/>
      <c r="CZZ53" s="556"/>
      <c r="DAA53" s="556"/>
      <c r="DAB53" s="556"/>
      <c r="DAC53" s="556"/>
      <c r="DAD53" s="556"/>
      <c r="DAE53" s="556"/>
      <c r="DAF53" s="556"/>
      <c r="DAG53" s="556"/>
      <c r="DAH53" s="556"/>
      <c r="DAI53" s="556"/>
      <c r="DAJ53" s="556"/>
      <c r="DAK53" s="556"/>
      <c r="DAL53" s="556"/>
      <c r="DAM53" s="556"/>
      <c r="DAN53" s="556"/>
      <c r="DAO53" s="556"/>
      <c r="DAP53" s="556"/>
      <c r="DAQ53" s="556"/>
      <c r="DAR53" s="556"/>
      <c r="DAS53" s="556"/>
      <c r="DAT53" s="556"/>
      <c r="DAU53" s="556"/>
      <c r="DAV53" s="556"/>
      <c r="DAW53" s="556"/>
      <c r="DAX53" s="556"/>
      <c r="DAY53" s="556"/>
      <c r="DAZ53" s="556"/>
      <c r="DBA53" s="556"/>
      <c r="DBB53" s="556"/>
      <c r="DBC53" s="556"/>
      <c r="DBD53" s="556"/>
      <c r="DBE53" s="556"/>
      <c r="DBF53" s="556"/>
      <c r="DBG53" s="556"/>
      <c r="DBH53" s="556"/>
      <c r="DBI53" s="556"/>
      <c r="DBJ53" s="556"/>
      <c r="DBK53" s="556"/>
      <c r="DBL53" s="556"/>
      <c r="DBM53" s="556"/>
      <c r="DBN53" s="556"/>
      <c r="DBO53" s="556"/>
      <c r="DBP53" s="556"/>
      <c r="DBQ53" s="556"/>
      <c r="DBR53" s="556"/>
      <c r="DBS53" s="556"/>
      <c r="DBT53" s="556"/>
      <c r="DBU53" s="556"/>
      <c r="DBV53" s="556"/>
      <c r="DBW53" s="556"/>
      <c r="DBX53" s="556"/>
      <c r="DBY53" s="556"/>
      <c r="DBZ53" s="556"/>
      <c r="DCA53" s="556"/>
      <c r="DCB53" s="556"/>
      <c r="DCC53" s="556"/>
      <c r="DCD53" s="556"/>
      <c r="DCE53" s="556"/>
      <c r="DCF53" s="556"/>
      <c r="DCG53" s="556"/>
      <c r="DCH53" s="556"/>
      <c r="DCI53" s="556"/>
      <c r="DCJ53" s="556"/>
      <c r="DCK53" s="556"/>
      <c r="DCL53" s="556"/>
      <c r="DCM53" s="556"/>
      <c r="DCN53" s="556"/>
      <c r="DCO53" s="556"/>
      <c r="DCP53" s="556"/>
      <c r="DCQ53" s="556"/>
      <c r="DCR53" s="556"/>
      <c r="DCS53" s="556"/>
      <c r="DCT53" s="556"/>
      <c r="DCU53" s="556"/>
      <c r="DCV53" s="556"/>
      <c r="DCW53" s="556"/>
      <c r="DCX53" s="556"/>
      <c r="DCY53" s="556"/>
      <c r="DCZ53" s="556"/>
      <c r="DDA53" s="556"/>
      <c r="DDB53" s="556"/>
      <c r="DDC53" s="556"/>
      <c r="DDD53" s="556"/>
      <c r="DDE53" s="556"/>
      <c r="DDF53" s="556"/>
      <c r="DDG53" s="556"/>
      <c r="DDH53" s="556"/>
      <c r="DDI53" s="556"/>
      <c r="DDJ53" s="556"/>
      <c r="DDK53" s="556"/>
      <c r="DDL53" s="556"/>
      <c r="DDM53" s="556"/>
      <c r="DDN53" s="556"/>
      <c r="DDO53" s="556"/>
      <c r="DDP53" s="556"/>
      <c r="DDQ53" s="556"/>
      <c r="DDR53" s="556"/>
      <c r="DDS53" s="556"/>
      <c r="DDT53" s="556"/>
      <c r="DDU53" s="556"/>
      <c r="DDV53" s="556"/>
      <c r="DDW53" s="556"/>
      <c r="DDX53" s="556"/>
      <c r="DDY53" s="556"/>
      <c r="DDZ53" s="556"/>
      <c r="DEA53" s="556"/>
      <c r="DEB53" s="556"/>
      <c r="DEC53" s="556"/>
      <c r="DED53" s="556"/>
      <c r="DEE53" s="556"/>
      <c r="DEF53" s="556"/>
      <c r="DEG53" s="556"/>
      <c r="DEH53" s="556"/>
      <c r="DEI53" s="556"/>
      <c r="DEJ53" s="556"/>
      <c r="DEK53" s="556"/>
      <c r="DEL53" s="556"/>
      <c r="DEM53" s="556"/>
      <c r="DEN53" s="556"/>
      <c r="DEO53" s="556"/>
      <c r="DEP53" s="556"/>
      <c r="DEQ53" s="556"/>
      <c r="DER53" s="556"/>
      <c r="DES53" s="556"/>
      <c r="DET53" s="556"/>
      <c r="DEU53" s="556"/>
      <c r="DEV53" s="556"/>
      <c r="DEW53" s="556"/>
      <c r="DEX53" s="556"/>
      <c r="DEY53" s="556"/>
      <c r="DEZ53" s="556"/>
      <c r="DFA53" s="556"/>
      <c r="DFB53" s="556"/>
      <c r="DFC53" s="556"/>
      <c r="DFD53" s="556"/>
      <c r="DFE53" s="556"/>
      <c r="DFF53" s="556"/>
      <c r="DFG53" s="556"/>
      <c r="DFH53" s="556"/>
      <c r="DFI53" s="556"/>
      <c r="DFJ53" s="556"/>
      <c r="DFK53" s="556"/>
      <c r="DFL53" s="556"/>
      <c r="DFM53" s="556"/>
      <c r="DFN53" s="556"/>
      <c r="DFO53" s="556"/>
      <c r="DFP53" s="556"/>
      <c r="DFQ53" s="556"/>
      <c r="DFR53" s="556"/>
      <c r="DFS53" s="556"/>
      <c r="DFT53" s="556"/>
      <c r="DFU53" s="556"/>
      <c r="DFV53" s="556"/>
      <c r="DFW53" s="556"/>
      <c r="DFX53" s="556"/>
      <c r="DFY53" s="556"/>
      <c r="DFZ53" s="556"/>
      <c r="DGA53" s="556"/>
      <c r="DGB53" s="556"/>
      <c r="DGC53" s="556"/>
      <c r="DGD53" s="556"/>
      <c r="DGE53" s="556"/>
      <c r="DGF53" s="556"/>
      <c r="DGG53" s="556"/>
      <c r="DGH53" s="556"/>
      <c r="DGI53" s="556"/>
      <c r="DGJ53" s="556"/>
      <c r="DGK53" s="556"/>
      <c r="DGL53" s="556"/>
      <c r="DGM53" s="556"/>
      <c r="DGN53" s="556"/>
      <c r="DGO53" s="556"/>
      <c r="DGP53" s="556"/>
      <c r="DGQ53" s="556"/>
      <c r="DGR53" s="556"/>
      <c r="DGS53" s="556"/>
      <c r="DGT53" s="556"/>
      <c r="DGU53" s="556"/>
      <c r="DGV53" s="556"/>
      <c r="DGW53" s="556"/>
      <c r="DGX53" s="556"/>
      <c r="DGY53" s="556"/>
      <c r="DGZ53" s="556"/>
      <c r="DHA53" s="556"/>
      <c r="DHB53" s="556"/>
      <c r="DHC53" s="556"/>
      <c r="DHD53" s="556"/>
      <c r="DHE53" s="556"/>
      <c r="DHF53" s="556"/>
      <c r="DHG53" s="556"/>
      <c r="DHH53" s="556"/>
      <c r="DHI53" s="556"/>
      <c r="DHJ53" s="556"/>
      <c r="DHK53" s="556"/>
      <c r="DHL53" s="556"/>
      <c r="DHM53" s="556"/>
      <c r="DHN53" s="556"/>
      <c r="DHO53" s="556"/>
      <c r="DHP53" s="556"/>
      <c r="DHQ53" s="556"/>
      <c r="DHR53" s="556"/>
      <c r="DHS53" s="556"/>
      <c r="DHT53" s="556"/>
      <c r="DHU53" s="556"/>
      <c r="DHV53" s="556"/>
      <c r="DHW53" s="556"/>
      <c r="DHX53" s="556"/>
      <c r="DHY53" s="556"/>
      <c r="DHZ53" s="556"/>
      <c r="DIA53" s="556"/>
      <c r="DIB53" s="556"/>
      <c r="DIC53" s="556"/>
      <c r="DID53" s="556"/>
      <c r="DIE53" s="556"/>
      <c r="DIF53" s="556"/>
      <c r="DIG53" s="556"/>
      <c r="DIH53" s="556"/>
      <c r="DII53" s="556"/>
      <c r="DIJ53" s="556"/>
      <c r="DIK53" s="556"/>
      <c r="DIL53" s="556"/>
      <c r="DIM53" s="556"/>
      <c r="DIN53" s="556"/>
      <c r="DIO53" s="556"/>
      <c r="DIP53" s="556"/>
      <c r="DIQ53" s="556"/>
      <c r="DIR53" s="556"/>
      <c r="DIS53" s="556"/>
      <c r="DIT53" s="556"/>
      <c r="DIU53" s="556"/>
      <c r="DIV53" s="556"/>
      <c r="DIW53" s="556"/>
      <c r="DIX53" s="556"/>
      <c r="DIY53" s="556"/>
      <c r="DIZ53" s="556"/>
      <c r="DJA53" s="556"/>
      <c r="DJB53" s="556"/>
      <c r="DJC53" s="556"/>
      <c r="DJD53" s="556"/>
      <c r="DJE53" s="556"/>
      <c r="DJF53" s="556"/>
      <c r="DJG53" s="556"/>
      <c r="DJH53" s="556"/>
      <c r="DJI53" s="556"/>
      <c r="DJJ53" s="556"/>
      <c r="DJK53" s="556"/>
      <c r="DJL53" s="556"/>
      <c r="DJM53" s="556"/>
      <c r="DJN53" s="556"/>
      <c r="DJO53" s="556"/>
      <c r="DJP53" s="556"/>
      <c r="DJQ53" s="556"/>
      <c r="DJR53" s="556"/>
      <c r="DJS53" s="556"/>
      <c r="DJT53" s="556"/>
      <c r="DJU53" s="556"/>
      <c r="DJV53" s="556"/>
      <c r="DJW53" s="556"/>
      <c r="DJX53" s="556"/>
      <c r="DJY53" s="556"/>
      <c r="DJZ53" s="556"/>
      <c r="DKA53" s="556"/>
      <c r="DKB53" s="556"/>
      <c r="DKC53" s="556"/>
      <c r="DKD53" s="556"/>
      <c r="DKE53" s="556"/>
      <c r="DKF53" s="556"/>
      <c r="DKG53" s="556"/>
      <c r="DKH53" s="556"/>
      <c r="DKI53" s="556"/>
      <c r="DKJ53" s="556"/>
      <c r="DKK53" s="556"/>
      <c r="DKL53" s="556"/>
      <c r="DKM53" s="556"/>
      <c r="DKN53" s="556"/>
      <c r="DKO53" s="556"/>
      <c r="DKP53" s="556"/>
      <c r="DKQ53" s="556"/>
      <c r="DKR53" s="556"/>
      <c r="DKS53" s="556"/>
      <c r="DKT53" s="556"/>
      <c r="DKU53" s="556"/>
      <c r="DKV53" s="556"/>
      <c r="DKW53" s="556"/>
      <c r="DKX53" s="556"/>
      <c r="DKY53" s="556"/>
      <c r="DKZ53" s="556"/>
      <c r="DLA53" s="556"/>
      <c r="DLB53" s="556"/>
      <c r="DLC53" s="556"/>
      <c r="DLD53" s="556"/>
      <c r="DLE53" s="556"/>
      <c r="DLF53" s="556"/>
      <c r="DLG53" s="556"/>
      <c r="DLH53" s="556"/>
      <c r="DLI53" s="556"/>
      <c r="DLJ53" s="556"/>
      <c r="DLK53" s="556"/>
      <c r="DLL53" s="556"/>
      <c r="DLM53" s="556"/>
      <c r="DLN53" s="556"/>
      <c r="DLO53" s="556"/>
      <c r="DLP53" s="556"/>
      <c r="DLQ53" s="556"/>
      <c r="DLR53" s="556"/>
      <c r="DLS53" s="556"/>
      <c r="DLT53" s="556"/>
      <c r="DLU53" s="556"/>
      <c r="DLV53" s="556"/>
      <c r="DLW53" s="556"/>
      <c r="DLX53" s="556"/>
      <c r="DLY53" s="556"/>
      <c r="DLZ53" s="556"/>
      <c r="DMA53" s="556"/>
      <c r="DMB53" s="556"/>
      <c r="DMC53" s="556"/>
      <c r="DMD53" s="556"/>
      <c r="DME53" s="556"/>
      <c r="DMF53" s="556"/>
      <c r="DMG53" s="556"/>
      <c r="DMH53" s="556"/>
      <c r="DMI53" s="556"/>
      <c r="DMJ53" s="556"/>
      <c r="DMK53" s="556"/>
      <c r="DML53" s="556"/>
      <c r="DMM53" s="556"/>
      <c r="DMN53" s="556"/>
      <c r="DMO53" s="556"/>
      <c r="DMP53" s="556"/>
      <c r="DMQ53" s="556"/>
      <c r="DMR53" s="556"/>
      <c r="DMS53" s="556"/>
      <c r="DMT53" s="556"/>
      <c r="DMU53" s="556"/>
      <c r="DMV53" s="556"/>
      <c r="DMW53" s="556"/>
      <c r="DMX53" s="556"/>
      <c r="DMY53" s="556"/>
      <c r="DMZ53" s="556"/>
      <c r="DNA53" s="556"/>
      <c r="DNB53" s="556"/>
      <c r="DNC53" s="556"/>
      <c r="DND53" s="556"/>
      <c r="DNE53" s="556"/>
      <c r="DNF53" s="556"/>
      <c r="DNG53" s="556"/>
      <c r="DNH53" s="556"/>
      <c r="DNI53" s="556"/>
      <c r="DNJ53" s="556"/>
      <c r="DNK53" s="556"/>
      <c r="DNL53" s="556"/>
      <c r="DNM53" s="556"/>
      <c r="DNN53" s="556"/>
      <c r="DNO53" s="556"/>
      <c r="DNP53" s="556"/>
      <c r="DNQ53" s="556"/>
      <c r="DNR53" s="556"/>
      <c r="DNS53" s="556"/>
      <c r="DNT53" s="556"/>
      <c r="DNU53" s="556"/>
      <c r="DNV53" s="556"/>
      <c r="DNW53" s="556"/>
      <c r="DNX53" s="556"/>
      <c r="DNY53" s="556"/>
      <c r="DNZ53" s="556"/>
      <c r="DOA53" s="556"/>
      <c r="DOB53" s="556"/>
      <c r="DOC53" s="556"/>
      <c r="DOD53" s="556"/>
      <c r="DOE53" s="556"/>
      <c r="DOF53" s="556"/>
      <c r="DOG53" s="556"/>
      <c r="DOH53" s="556"/>
      <c r="DOI53" s="556"/>
      <c r="DOJ53" s="556"/>
      <c r="DOK53" s="556"/>
      <c r="DOL53" s="556"/>
      <c r="DOM53" s="556"/>
      <c r="DON53" s="556"/>
      <c r="DOO53" s="556"/>
      <c r="DOP53" s="556"/>
      <c r="DOQ53" s="556"/>
      <c r="DOR53" s="556"/>
      <c r="DOS53" s="556"/>
      <c r="DOT53" s="556"/>
      <c r="DOU53" s="556"/>
      <c r="DOV53" s="556"/>
      <c r="DOW53" s="556"/>
      <c r="DOX53" s="556"/>
      <c r="DOY53" s="556"/>
      <c r="DOZ53" s="556"/>
      <c r="DPA53" s="556"/>
      <c r="DPB53" s="556"/>
      <c r="DPC53" s="556"/>
      <c r="DPD53" s="556"/>
      <c r="DPE53" s="556"/>
      <c r="DPF53" s="556"/>
      <c r="DPG53" s="556"/>
      <c r="DPH53" s="556"/>
      <c r="DPI53" s="556"/>
      <c r="DPJ53" s="556"/>
      <c r="DPK53" s="556"/>
      <c r="DPL53" s="556"/>
      <c r="DPM53" s="556"/>
      <c r="DPN53" s="556"/>
      <c r="DPO53" s="556"/>
      <c r="DPP53" s="556"/>
      <c r="DPQ53" s="556"/>
      <c r="DPR53" s="556"/>
      <c r="DPS53" s="556"/>
      <c r="DPT53" s="556"/>
      <c r="DPU53" s="556"/>
      <c r="DPV53" s="556"/>
      <c r="DPW53" s="556"/>
      <c r="DPX53" s="556"/>
      <c r="DPY53" s="556"/>
      <c r="DPZ53" s="556"/>
      <c r="DQA53" s="556"/>
      <c r="DQB53" s="556"/>
      <c r="DQC53" s="556"/>
      <c r="DQD53" s="556"/>
      <c r="DQE53" s="556"/>
      <c r="DQF53" s="556"/>
      <c r="DQG53" s="556"/>
      <c r="DQH53" s="556"/>
      <c r="DQI53" s="556"/>
      <c r="DQJ53" s="556"/>
      <c r="DQK53" s="556"/>
      <c r="DQL53" s="556"/>
      <c r="DQM53" s="556"/>
      <c r="DQN53" s="556"/>
      <c r="DQO53" s="556"/>
      <c r="DQP53" s="556"/>
      <c r="DQQ53" s="556"/>
      <c r="DQR53" s="556"/>
      <c r="DQS53" s="556"/>
      <c r="DQT53" s="556"/>
      <c r="DQU53" s="556"/>
      <c r="DQV53" s="556"/>
      <c r="DQW53" s="556"/>
      <c r="DQX53" s="556"/>
      <c r="DQY53" s="556"/>
      <c r="DQZ53" s="556"/>
      <c r="DRA53" s="556"/>
      <c r="DRB53" s="556"/>
      <c r="DRC53" s="556"/>
      <c r="DRD53" s="556"/>
      <c r="DRE53" s="556"/>
      <c r="DRF53" s="556"/>
      <c r="DRG53" s="556"/>
      <c r="DRH53" s="556"/>
      <c r="DRI53" s="556"/>
      <c r="DRJ53" s="556"/>
      <c r="DRK53" s="556"/>
      <c r="DRL53" s="556"/>
      <c r="DRM53" s="556"/>
      <c r="DRN53" s="556"/>
      <c r="DRO53" s="556"/>
      <c r="DRP53" s="556"/>
      <c r="DRQ53" s="556"/>
      <c r="DRR53" s="556"/>
      <c r="DRS53" s="556"/>
      <c r="DRT53" s="556"/>
      <c r="DRU53" s="556"/>
      <c r="DRV53" s="556"/>
      <c r="DRW53" s="556"/>
      <c r="DRX53" s="556"/>
      <c r="DRY53" s="556"/>
      <c r="DRZ53" s="556"/>
      <c r="DSA53" s="556"/>
      <c r="DSB53" s="556"/>
      <c r="DSC53" s="556"/>
      <c r="DSD53" s="556"/>
      <c r="DSE53" s="556"/>
      <c r="DSF53" s="556"/>
      <c r="DSG53" s="556"/>
      <c r="DSH53" s="556"/>
      <c r="DSI53" s="556"/>
      <c r="DSJ53" s="556"/>
      <c r="DSK53" s="556"/>
      <c r="DSL53" s="556"/>
      <c r="DSM53" s="556"/>
      <c r="DSN53" s="556"/>
      <c r="DSO53" s="556"/>
      <c r="DSP53" s="556"/>
      <c r="DSQ53" s="556"/>
      <c r="DSR53" s="556"/>
      <c r="DSS53" s="556"/>
      <c r="DST53" s="556"/>
      <c r="DSU53" s="556"/>
      <c r="DSV53" s="556"/>
      <c r="DSW53" s="556"/>
      <c r="DSX53" s="556"/>
      <c r="DSY53" s="556"/>
      <c r="DSZ53" s="556"/>
      <c r="DTA53" s="556"/>
      <c r="DTB53" s="556"/>
      <c r="DTC53" s="556"/>
      <c r="DTD53" s="556"/>
      <c r="DTE53" s="556"/>
      <c r="DTF53" s="556"/>
      <c r="DTG53" s="556"/>
      <c r="DTH53" s="556"/>
      <c r="DTI53" s="556"/>
      <c r="DTJ53" s="556"/>
      <c r="DTK53" s="556"/>
      <c r="DTL53" s="556"/>
      <c r="DTM53" s="556"/>
      <c r="DTN53" s="556"/>
      <c r="DTO53" s="556"/>
      <c r="DTP53" s="556"/>
      <c r="DTQ53" s="556"/>
      <c r="DTR53" s="556"/>
      <c r="DTS53" s="556"/>
      <c r="DTT53" s="556"/>
      <c r="DTU53" s="556"/>
      <c r="DTV53" s="556"/>
      <c r="DTW53" s="556"/>
      <c r="DTX53" s="556"/>
      <c r="DTY53" s="556"/>
      <c r="DTZ53" s="556"/>
      <c r="DUA53" s="556"/>
      <c r="DUB53" s="556"/>
      <c r="DUC53" s="556"/>
      <c r="DUD53" s="556"/>
      <c r="DUE53" s="556"/>
      <c r="DUF53" s="556"/>
      <c r="DUG53" s="556"/>
      <c r="DUH53" s="556"/>
      <c r="DUI53" s="556"/>
      <c r="DUJ53" s="556"/>
      <c r="DUK53" s="556"/>
      <c r="DUL53" s="556"/>
      <c r="DUM53" s="556"/>
      <c r="DUN53" s="556"/>
      <c r="DUO53" s="556"/>
      <c r="DUP53" s="556"/>
      <c r="DUQ53" s="556"/>
      <c r="DUR53" s="556"/>
      <c r="DUS53" s="556"/>
      <c r="DUT53" s="556"/>
      <c r="DUU53" s="556"/>
      <c r="DUV53" s="556"/>
      <c r="DUW53" s="556"/>
      <c r="DUX53" s="556"/>
      <c r="DUY53" s="556"/>
      <c r="DUZ53" s="556"/>
      <c r="DVA53" s="556"/>
      <c r="DVB53" s="556"/>
      <c r="DVC53" s="556"/>
      <c r="DVD53" s="556"/>
      <c r="DVE53" s="556"/>
      <c r="DVF53" s="556"/>
      <c r="DVG53" s="556"/>
      <c r="DVH53" s="556"/>
      <c r="DVI53" s="556"/>
      <c r="DVJ53" s="556"/>
      <c r="DVK53" s="556"/>
      <c r="DVL53" s="556"/>
      <c r="DVM53" s="556"/>
      <c r="DVN53" s="556"/>
      <c r="DVO53" s="556"/>
      <c r="DVP53" s="556"/>
      <c r="DVQ53" s="556"/>
      <c r="DVR53" s="556"/>
      <c r="DVS53" s="556"/>
      <c r="DVT53" s="556"/>
      <c r="DVU53" s="556"/>
      <c r="DVV53" s="556"/>
      <c r="DVW53" s="556"/>
      <c r="DVX53" s="556"/>
      <c r="DVY53" s="556"/>
      <c r="DVZ53" s="556"/>
      <c r="DWA53" s="556"/>
      <c r="DWB53" s="556"/>
      <c r="DWC53" s="556"/>
      <c r="DWD53" s="556"/>
      <c r="DWE53" s="556"/>
      <c r="DWF53" s="556"/>
      <c r="DWG53" s="556"/>
      <c r="DWH53" s="556"/>
      <c r="DWI53" s="556"/>
      <c r="DWJ53" s="556"/>
      <c r="DWK53" s="556"/>
      <c r="DWL53" s="556"/>
      <c r="DWM53" s="556"/>
      <c r="DWN53" s="556"/>
      <c r="DWO53" s="556"/>
      <c r="DWP53" s="556"/>
      <c r="DWQ53" s="556"/>
      <c r="DWR53" s="556"/>
      <c r="DWS53" s="556"/>
      <c r="DWT53" s="556"/>
      <c r="DWU53" s="556"/>
      <c r="DWV53" s="556"/>
      <c r="DWW53" s="556"/>
      <c r="DWX53" s="556"/>
      <c r="DWY53" s="556"/>
      <c r="DWZ53" s="556"/>
      <c r="DXA53" s="556"/>
      <c r="DXB53" s="556"/>
      <c r="DXC53" s="556"/>
      <c r="DXD53" s="556"/>
      <c r="DXE53" s="556"/>
      <c r="DXF53" s="556"/>
      <c r="DXG53" s="556"/>
      <c r="DXH53" s="556"/>
      <c r="DXI53" s="556"/>
      <c r="DXJ53" s="556"/>
      <c r="DXK53" s="556"/>
      <c r="DXL53" s="556"/>
      <c r="DXM53" s="556"/>
      <c r="DXN53" s="556"/>
      <c r="DXO53" s="556"/>
      <c r="DXP53" s="556"/>
      <c r="DXQ53" s="556"/>
      <c r="DXR53" s="556"/>
      <c r="DXS53" s="556"/>
      <c r="DXT53" s="556"/>
      <c r="DXU53" s="556"/>
      <c r="DXV53" s="556"/>
      <c r="DXW53" s="556"/>
      <c r="DXX53" s="556"/>
      <c r="DXY53" s="556"/>
      <c r="DXZ53" s="556"/>
      <c r="DYA53" s="556"/>
      <c r="DYB53" s="556"/>
      <c r="DYC53" s="556"/>
      <c r="DYD53" s="556"/>
      <c r="DYE53" s="556"/>
      <c r="DYF53" s="556"/>
      <c r="DYG53" s="556"/>
      <c r="DYH53" s="556"/>
      <c r="DYI53" s="556"/>
      <c r="DYJ53" s="556"/>
      <c r="DYK53" s="556"/>
      <c r="DYL53" s="556"/>
      <c r="DYM53" s="556"/>
      <c r="DYN53" s="556"/>
      <c r="DYO53" s="556"/>
      <c r="DYP53" s="556"/>
      <c r="DYQ53" s="556"/>
      <c r="DYR53" s="556"/>
      <c r="DYS53" s="556"/>
      <c r="DYT53" s="556"/>
      <c r="DYU53" s="556"/>
      <c r="DYV53" s="556"/>
      <c r="DYW53" s="556"/>
      <c r="DYX53" s="556"/>
      <c r="DYY53" s="556"/>
      <c r="DYZ53" s="556"/>
      <c r="DZA53" s="556"/>
      <c r="DZB53" s="556"/>
      <c r="DZC53" s="556"/>
      <c r="DZD53" s="556"/>
      <c r="DZE53" s="556"/>
      <c r="DZF53" s="556"/>
      <c r="DZG53" s="556"/>
      <c r="DZH53" s="556"/>
      <c r="DZI53" s="556"/>
      <c r="DZJ53" s="556"/>
      <c r="DZK53" s="556"/>
      <c r="DZL53" s="556"/>
      <c r="DZM53" s="556"/>
      <c r="DZN53" s="556"/>
      <c r="DZO53" s="556"/>
      <c r="DZP53" s="556"/>
      <c r="DZQ53" s="556"/>
      <c r="DZR53" s="556"/>
      <c r="DZS53" s="556"/>
      <c r="DZT53" s="556"/>
      <c r="DZU53" s="556"/>
      <c r="DZV53" s="556"/>
      <c r="DZW53" s="556"/>
      <c r="DZX53" s="556"/>
      <c r="DZY53" s="556"/>
      <c r="DZZ53" s="556"/>
      <c r="EAA53" s="556"/>
      <c r="EAB53" s="556"/>
      <c r="EAC53" s="556"/>
      <c r="EAD53" s="556"/>
      <c r="EAE53" s="556"/>
      <c r="EAF53" s="556"/>
      <c r="EAG53" s="556"/>
      <c r="EAH53" s="556"/>
      <c r="EAI53" s="556"/>
      <c r="EAJ53" s="556"/>
      <c r="EAK53" s="556"/>
      <c r="EAL53" s="556"/>
      <c r="EAM53" s="556"/>
      <c r="EAN53" s="556"/>
      <c r="EAO53" s="556"/>
      <c r="EAP53" s="556"/>
      <c r="EAQ53" s="556"/>
      <c r="EAR53" s="556"/>
      <c r="EAS53" s="556"/>
      <c r="EAT53" s="556"/>
      <c r="EAU53" s="556"/>
      <c r="EAV53" s="556"/>
      <c r="EAW53" s="556"/>
      <c r="EAX53" s="556"/>
      <c r="EAY53" s="556"/>
      <c r="EAZ53" s="556"/>
      <c r="EBA53" s="556"/>
      <c r="EBB53" s="556"/>
      <c r="EBC53" s="556"/>
      <c r="EBD53" s="556"/>
      <c r="EBE53" s="556"/>
      <c r="EBF53" s="556"/>
      <c r="EBG53" s="556"/>
      <c r="EBH53" s="556"/>
      <c r="EBI53" s="556"/>
      <c r="EBJ53" s="556"/>
      <c r="EBK53" s="556"/>
      <c r="EBL53" s="556"/>
      <c r="EBM53" s="556"/>
      <c r="EBN53" s="556"/>
      <c r="EBO53" s="556"/>
      <c r="EBP53" s="556"/>
      <c r="EBQ53" s="556"/>
      <c r="EBR53" s="556"/>
      <c r="EBS53" s="556"/>
      <c r="EBT53" s="556"/>
      <c r="EBU53" s="556"/>
      <c r="EBV53" s="556"/>
      <c r="EBW53" s="556"/>
      <c r="EBX53" s="556"/>
      <c r="EBY53" s="556"/>
      <c r="EBZ53" s="556"/>
      <c r="ECA53" s="556"/>
      <c r="ECB53" s="556"/>
      <c r="ECC53" s="556"/>
      <c r="ECD53" s="556"/>
      <c r="ECE53" s="556"/>
      <c r="ECF53" s="556"/>
      <c r="ECG53" s="556"/>
      <c r="ECH53" s="556"/>
      <c r="ECI53" s="556"/>
      <c r="ECJ53" s="556"/>
      <c r="ECK53" s="556"/>
      <c r="ECL53" s="556"/>
      <c r="ECM53" s="556"/>
      <c r="ECN53" s="556"/>
      <c r="ECO53" s="556"/>
      <c r="ECP53" s="556"/>
      <c r="ECQ53" s="556"/>
      <c r="ECR53" s="556"/>
      <c r="ECS53" s="556"/>
      <c r="ECT53" s="556"/>
      <c r="ECU53" s="556"/>
      <c r="ECV53" s="556"/>
      <c r="ECW53" s="556"/>
      <c r="ECX53" s="556"/>
      <c r="ECY53" s="556"/>
      <c r="ECZ53" s="556"/>
      <c r="EDA53" s="556"/>
      <c r="EDB53" s="556"/>
      <c r="EDC53" s="556"/>
      <c r="EDD53" s="556"/>
      <c r="EDE53" s="556"/>
      <c r="EDF53" s="556"/>
      <c r="EDG53" s="556"/>
      <c r="EDH53" s="556"/>
      <c r="EDI53" s="556"/>
      <c r="EDJ53" s="556"/>
      <c r="EDK53" s="556"/>
      <c r="EDL53" s="556"/>
      <c r="EDM53" s="556"/>
      <c r="EDN53" s="556"/>
      <c r="EDO53" s="556"/>
      <c r="EDP53" s="556"/>
      <c r="EDQ53" s="556"/>
      <c r="EDR53" s="556"/>
      <c r="EDS53" s="556"/>
      <c r="EDT53" s="556"/>
      <c r="EDU53" s="556"/>
      <c r="EDV53" s="556"/>
      <c r="EDW53" s="556"/>
      <c r="EDX53" s="556"/>
      <c r="EDY53" s="556"/>
      <c r="EDZ53" s="556"/>
      <c r="EEA53" s="556"/>
      <c r="EEB53" s="556"/>
      <c r="EEC53" s="556"/>
      <c r="EED53" s="556"/>
      <c r="EEE53" s="556"/>
      <c r="EEF53" s="556"/>
      <c r="EEG53" s="556"/>
      <c r="EEH53" s="556"/>
      <c r="EEI53" s="556"/>
      <c r="EEJ53" s="556"/>
      <c r="EEK53" s="556"/>
      <c r="EEL53" s="556"/>
      <c r="EEM53" s="556"/>
      <c r="EEN53" s="556"/>
      <c r="EEO53" s="556"/>
      <c r="EEP53" s="556"/>
      <c r="EEQ53" s="556"/>
      <c r="EER53" s="556"/>
      <c r="EES53" s="556"/>
      <c r="EET53" s="556"/>
      <c r="EEU53" s="556"/>
      <c r="EEV53" s="556"/>
      <c r="EEW53" s="556"/>
      <c r="EEX53" s="556"/>
      <c r="EEY53" s="556"/>
      <c r="EEZ53" s="556"/>
      <c r="EFA53" s="556"/>
      <c r="EFB53" s="556"/>
      <c r="EFC53" s="556"/>
      <c r="EFD53" s="556"/>
      <c r="EFE53" s="556"/>
      <c r="EFF53" s="556"/>
      <c r="EFG53" s="556"/>
      <c r="EFH53" s="556"/>
      <c r="EFI53" s="556"/>
      <c r="EFJ53" s="556"/>
      <c r="EFK53" s="556"/>
      <c r="EFL53" s="556"/>
      <c r="EFM53" s="556"/>
      <c r="EFN53" s="556"/>
      <c r="EFO53" s="556"/>
      <c r="EFP53" s="556"/>
      <c r="EFQ53" s="556"/>
      <c r="EFR53" s="556"/>
      <c r="EFS53" s="556"/>
      <c r="EFT53" s="556"/>
      <c r="EFU53" s="556"/>
      <c r="EFV53" s="556"/>
      <c r="EFW53" s="556"/>
      <c r="EFX53" s="556"/>
      <c r="EFY53" s="556"/>
      <c r="EFZ53" s="556"/>
      <c r="EGA53" s="556"/>
      <c r="EGB53" s="556"/>
      <c r="EGC53" s="556"/>
      <c r="EGD53" s="556"/>
      <c r="EGE53" s="556"/>
      <c r="EGF53" s="556"/>
      <c r="EGG53" s="556"/>
      <c r="EGH53" s="556"/>
      <c r="EGI53" s="556"/>
      <c r="EGJ53" s="556"/>
      <c r="EGK53" s="556"/>
      <c r="EGL53" s="556"/>
      <c r="EGM53" s="556"/>
      <c r="EGN53" s="556"/>
      <c r="EGO53" s="556"/>
      <c r="EGP53" s="556"/>
      <c r="EGQ53" s="556"/>
      <c r="EGR53" s="556"/>
      <c r="EGS53" s="556"/>
      <c r="EGT53" s="556"/>
      <c r="EGU53" s="556"/>
      <c r="EGV53" s="556"/>
      <c r="EGW53" s="556"/>
      <c r="EGX53" s="556"/>
      <c r="EGY53" s="556"/>
      <c r="EGZ53" s="556"/>
      <c r="EHA53" s="556"/>
      <c r="EHB53" s="556"/>
      <c r="EHC53" s="556"/>
      <c r="EHD53" s="556"/>
      <c r="EHE53" s="556"/>
      <c r="EHF53" s="556"/>
      <c r="EHG53" s="556"/>
      <c r="EHH53" s="556"/>
      <c r="EHI53" s="556"/>
      <c r="EHJ53" s="556"/>
      <c r="EHK53" s="556"/>
      <c r="EHL53" s="556"/>
      <c r="EHM53" s="556"/>
      <c r="EHN53" s="556"/>
      <c r="EHO53" s="556"/>
      <c r="EHP53" s="556"/>
      <c r="EHQ53" s="556"/>
      <c r="EHR53" s="556"/>
      <c r="EHS53" s="556"/>
      <c r="EHT53" s="556"/>
      <c r="EHU53" s="556"/>
      <c r="EHV53" s="556"/>
      <c r="EHW53" s="556"/>
      <c r="EHX53" s="556"/>
      <c r="EHY53" s="556"/>
      <c r="EHZ53" s="556"/>
      <c r="EIA53" s="556"/>
      <c r="EIB53" s="556"/>
      <c r="EIC53" s="556"/>
      <c r="EID53" s="556"/>
      <c r="EIE53" s="556"/>
      <c r="EIF53" s="556"/>
      <c r="EIG53" s="556"/>
      <c r="EIH53" s="556"/>
      <c r="EII53" s="556"/>
      <c r="EIJ53" s="556"/>
      <c r="EIK53" s="556"/>
      <c r="EIL53" s="556"/>
      <c r="EIM53" s="556"/>
      <c r="EIN53" s="556"/>
      <c r="EIO53" s="556"/>
      <c r="EIP53" s="556"/>
      <c r="EIQ53" s="556"/>
      <c r="EIR53" s="556"/>
      <c r="EIS53" s="556"/>
      <c r="EIT53" s="556"/>
      <c r="EIU53" s="556"/>
      <c r="EIV53" s="556"/>
      <c r="EIW53" s="556"/>
      <c r="EIX53" s="556"/>
      <c r="EIY53" s="556"/>
      <c r="EIZ53" s="556"/>
      <c r="EJA53" s="556"/>
      <c r="EJB53" s="556"/>
      <c r="EJC53" s="556"/>
      <c r="EJD53" s="556"/>
      <c r="EJE53" s="556"/>
      <c r="EJF53" s="556"/>
      <c r="EJG53" s="556"/>
      <c r="EJH53" s="556"/>
      <c r="EJI53" s="556"/>
      <c r="EJJ53" s="556"/>
      <c r="EJK53" s="556"/>
      <c r="EJL53" s="556"/>
      <c r="EJM53" s="556"/>
      <c r="EJN53" s="556"/>
      <c r="EJO53" s="556"/>
      <c r="EJP53" s="556"/>
      <c r="EJQ53" s="556"/>
      <c r="EJR53" s="556"/>
      <c r="EJS53" s="556"/>
      <c r="EJT53" s="556"/>
      <c r="EJU53" s="556"/>
      <c r="EJV53" s="556"/>
      <c r="EJW53" s="556"/>
      <c r="EJX53" s="556"/>
      <c r="EJY53" s="556"/>
      <c r="EJZ53" s="556"/>
      <c r="EKA53" s="556"/>
      <c r="EKB53" s="556"/>
      <c r="EKC53" s="556"/>
      <c r="EKD53" s="556"/>
      <c r="EKE53" s="556"/>
      <c r="EKF53" s="556"/>
      <c r="EKG53" s="556"/>
      <c r="EKH53" s="556"/>
      <c r="EKI53" s="556"/>
      <c r="EKJ53" s="556"/>
      <c r="EKK53" s="556"/>
      <c r="EKL53" s="556"/>
      <c r="EKM53" s="556"/>
      <c r="EKN53" s="556"/>
      <c r="EKO53" s="556"/>
      <c r="EKP53" s="556"/>
      <c r="EKQ53" s="556"/>
      <c r="EKR53" s="556"/>
      <c r="EKS53" s="556"/>
      <c r="EKT53" s="556"/>
      <c r="EKU53" s="556"/>
      <c r="EKV53" s="556"/>
      <c r="EKW53" s="556"/>
      <c r="EKX53" s="556"/>
      <c r="EKY53" s="556"/>
      <c r="EKZ53" s="556"/>
      <c r="ELA53" s="556"/>
      <c r="ELB53" s="556"/>
      <c r="ELC53" s="556"/>
      <c r="ELD53" s="556"/>
      <c r="ELE53" s="556"/>
      <c r="ELF53" s="556"/>
      <c r="ELG53" s="556"/>
      <c r="ELH53" s="556"/>
      <c r="ELI53" s="556"/>
      <c r="ELJ53" s="556"/>
      <c r="ELK53" s="556"/>
      <c r="ELL53" s="556"/>
      <c r="ELM53" s="556"/>
      <c r="ELN53" s="556"/>
      <c r="ELO53" s="556"/>
      <c r="ELP53" s="556"/>
      <c r="ELQ53" s="556"/>
      <c r="ELR53" s="556"/>
      <c r="ELS53" s="556"/>
      <c r="ELT53" s="556"/>
      <c r="ELU53" s="556"/>
      <c r="ELV53" s="556"/>
      <c r="ELW53" s="556"/>
      <c r="ELX53" s="556"/>
      <c r="ELY53" s="556"/>
      <c r="ELZ53" s="556"/>
      <c r="EMA53" s="556"/>
      <c r="EMB53" s="556"/>
      <c r="EMC53" s="556"/>
      <c r="EMD53" s="556"/>
      <c r="EME53" s="556"/>
      <c r="EMF53" s="556"/>
      <c r="EMG53" s="556"/>
      <c r="EMH53" s="556"/>
      <c r="EMI53" s="556"/>
      <c r="EMJ53" s="556"/>
      <c r="EMK53" s="556"/>
      <c r="EML53" s="556"/>
      <c r="EMM53" s="556"/>
      <c r="EMN53" s="556"/>
      <c r="EMO53" s="556"/>
      <c r="EMP53" s="556"/>
      <c r="EMQ53" s="556"/>
      <c r="EMR53" s="556"/>
      <c r="EMS53" s="556"/>
      <c r="EMT53" s="556"/>
      <c r="EMU53" s="556"/>
      <c r="EMV53" s="556"/>
      <c r="EMW53" s="556"/>
      <c r="EMX53" s="556"/>
      <c r="EMY53" s="556"/>
      <c r="EMZ53" s="556"/>
      <c r="ENA53" s="556"/>
      <c r="ENB53" s="556"/>
      <c r="ENC53" s="556"/>
      <c r="END53" s="556"/>
      <c r="ENE53" s="556"/>
      <c r="ENF53" s="556"/>
      <c r="ENG53" s="556"/>
      <c r="ENH53" s="556"/>
      <c r="ENI53" s="556"/>
      <c r="ENJ53" s="556"/>
      <c r="ENK53" s="556"/>
      <c r="ENL53" s="556"/>
      <c r="ENM53" s="556"/>
      <c r="ENN53" s="556"/>
      <c r="ENO53" s="556"/>
      <c r="ENP53" s="556"/>
      <c r="ENQ53" s="556"/>
      <c r="ENR53" s="556"/>
      <c r="ENS53" s="556"/>
      <c r="ENT53" s="556"/>
      <c r="ENU53" s="556"/>
      <c r="ENV53" s="556"/>
      <c r="ENW53" s="556"/>
      <c r="ENX53" s="556"/>
      <c r="ENY53" s="556"/>
      <c r="ENZ53" s="556"/>
      <c r="EOA53" s="556"/>
      <c r="EOB53" s="556"/>
      <c r="EOC53" s="556"/>
      <c r="EOD53" s="556"/>
      <c r="EOE53" s="556"/>
      <c r="EOF53" s="556"/>
      <c r="EOG53" s="556"/>
      <c r="EOH53" s="556"/>
      <c r="EOI53" s="556"/>
      <c r="EOJ53" s="556"/>
      <c r="EOK53" s="556"/>
      <c r="EOL53" s="556"/>
      <c r="EOM53" s="556"/>
      <c r="EON53" s="556"/>
      <c r="EOO53" s="556"/>
      <c r="EOP53" s="556"/>
      <c r="EOQ53" s="556"/>
      <c r="EOR53" s="556"/>
      <c r="EOS53" s="556"/>
      <c r="EOT53" s="556"/>
      <c r="EOU53" s="556"/>
      <c r="EOV53" s="556"/>
      <c r="EOW53" s="556"/>
      <c r="EOX53" s="556"/>
      <c r="EOY53" s="556"/>
      <c r="EOZ53" s="556"/>
      <c r="EPA53" s="556"/>
      <c r="EPB53" s="556"/>
      <c r="EPC53" s="556"/>
      <c r="EPD53" s="556"/>
      <c r="EPE53" s="556"/>
      <c r="EPF53" s="556"/>
      <c r="EPG53" s="556"/>
      <c r="EPH53" s="556"/>
      <c r="EPI53" s="556"/>
      <c r="EPJ53" s="556"/>
      <c r="EPK53" s="556"/>
      <c r="EPL53" s="556"/>
      <c r="EPM53" s="556"/>
      <c r="EPN53" s="556"/>
      <c r="EPO53" s="556"/>
      <c r="EPP53" s="556"/>
      <c r="EPQ53" s="556"/>
      <c r="EPR53" s="556"/>
      <c r="EPS53" s="556"/>
      <c r="EPT53" s="556"/>
      <c r="EPU53" s="556"/>
      <c r="EPV53" s="556"/>
      <c r="EPW53" s="556"/>
      <c r="EPX53" s="556"/>
      <c r="EPY53" s="556"/>
      <c r="EPZ53" s="556"/>
      <c r="EQA53" s="556"/>
      <c r="EQB53" s="556"/>
      <c r="EQC53" s="556"/>
      <c r="EQD53" s="556"/>
      <c r="EQE53" s="556"/>
      <c r="EQF53" s="556"/>
      <c r="EQG53" s="556"/>
      <c r="EQH53" s="556"/>
      <c r="EQI53" s="556"/>
      <c r="EQJ53" s="556"/>
      <c r="EQK53" s="556"/>
      <c r="EQL53" s="556"/>
      <c r="EQM53" s="556"/>
      <c r="EQN53" s="556"/>
      <c r="EQO53" s="556"/>
      <c r="EQP53" s="556"/>
      <c r="EQQ53" s="556"/>
      <c r="EQR53" s="556"/>
      <c r="EQS53" s="556"/>
      <c r="EQT53" s="556"/>
      <c r="EQU53" s="556"/>
      <c r="EQV53" s="556"/>
      <c r="EQW53" s="556"/>
      <c r="EQX53" s="556"/>
      <c r="EQY53" s="556"/>
      <c r="EQZ53" s="556"/>
      <c r="ERA53" s="556"/>
      <c r="ERB53" s="556"/>
      <c r="ERC53" s="556"/>
      <c r="ERD53" s="556"/>
      <c r="ERE53" s="556"/>
      <c r="ERF53" s="556"/>
      <c r="ERG53" s="556"/>
      <c r="ERH53" s="556"/>
      <c r="ERI53" s="556"/>
      <c r="ERJ53" s="556"/>
      <c r="ERK53" s="556"/>
      <c r="ERL53" s="556"/>
      <c r="ERM53" s="556"/>
      <c r="ERN53" s="556"/>
      <c r="ERO53" s="556"/>
      <c r="ERP53" s="556"/>
      <c r="ERQ53" s="556"/>
      <c r="ERR53" s="556"/>
      <c r="ERS53" s="556"/>
      <c r="ERT53" s="556"/>
      <c r="ERU53" s="556"/>
      <c r="ERV53" s="556"/>
      <c r="ERW53" s="556"/>
      <c r="ERX53" s="556"/>
      <c r="ERY53" s="556"/>
      <c r="ERZ53" s="556"/>
      <c r="ESA53" s="556"/>
      <c r="ESB53" s="556"/>
      <c r="ESC53" s="556"/>
      <c r="ESD53" s="556"/>
      <c r="ESE53" s="556"/>
      <c r="ESF53" s="556"/>
      <c r="ESG53" s="556"/>
      <c r="ESH53" s="556"/>
      <c r="ESI53" s="556"/>
      <c r="ESJ53" s="556"/>
      <c r="ESK53" s="556"/>
      <c r="ESL53" s="556"/>
      <c r="ESM53" s="556"/>
      <c r="ESN53" s="556"/>
      <c r="ESO53" s="556"/>
      <c r="ESP53" s="556"/>
      <c r="ESQ53" s="556"/>
      <c r="ESR53" s="556"/>
      <c r="ESS53" s="556"/>
      <c r="EST53" s="556"/>
      <c r="ESU53" s="556"/>
      <c r="ESV53" s="556"/>
      <c r="ESW53" s="556"/>
      <c r="ESX53" s="556"/>
      <c r="ESY53" s="556"/>
      <c r="ESZ53" s="556"/>
      <c r="ETA53" s="556"/>
      <c r="ETB53" s="556"/>
      <c r="ETC53" s="556"/>
      <c r="ETD53" s="556"/>
      <c r="ETE53" s="556"/>
      <c r="ETF53" s="556"/>
      <c r="ETG53" s="556"/>
      <c r="ETH53" s="556"/>
      <c r="ETI53" s="556"/>
      <c r="ETJ53" s="556"/>
      <c r="ETK53" s="556"/>
      <c r="ETL53" s="556"/>
      <c r="ETM53" s="556"/>
      <c r="ETN53" s="556"/>
      <c r="ETO53" s="556"/>
      <c r="ETP53" s="556"/>
      <c r="ETQ53" s="556"/>
      <c r="ETR53" s="556"/>
      <c r="ETS53" s="556"/>
      <c r="ETT53" s="556"/>
      <c r="ETU53" s="556"/>
      <c r="ETV53" s="556"/>
      <c r="ETW53" s="556"/>
      <c r="ETX53" s="556"/>
      <c r="ETY53" s="556"/>
      <c r="ETZ53" s="556"/>
      <c r="EUA53" s="556"/>
      <c r="EUB53" s="556"/>
      <c r="EUC53" s="556"/>
      <c r="EUD53" s="556"/>
      <c r="EUE53" s="556"/>
      <c r="EUF53" s="556"/>
      <c r="EUG53" s="556"/>
      <c r="EUH53" s="556"/>
      <c r="EUI53" s="556"/>
      <c r="EUJ53" s="556"/>
      <c r="EUK53" s="556"/>
      <c r="EUL53" s="556"/>
      <c r="EUM53" s="556"/>
      <c r="EUN53" s="556"/>
      <c r="EUO53" s="556"/>
      <c r="EUP53" s="556"/>
      <c r="EUQ53" s="556"/>
      <c r="EUR53" s="556"/>
      <c r="EUS53" s="556"/>
      <c r="EUT53" s="556"/>
      <c r="EUU53" s="556"/>
      <c r="EUV53" s="556"/>
      <c r="EUW53" s="556"/>
      <c r="EUX53" s="556"/>
      <c r="EUY53" s="556"/>
      <c r="EUZ53" s="556"/>
      <c r="EVA53" s="556"/>
      <c r="EVB53" s="556"/>
      <c r="EVC53" s="556"/>
      <c r="EVD53" s="556"/>
      <c r="EVE53" s="556"/>
      <c r="EVF53" s="556"/>
      <c r="EVG53" s="556"/>
      <c r="EVH53" s="556"/>
      <c r="EVI53" s="556"/>
      <c r="EVJ53" s="556"/>
      <c r="EVK53" s="556"/>
      <c r="EVL53" s="556"/>
      <c r="EVM53" s="556"/>
      <c r="EVN53" s="556"/>
      <c r="EVO53" s="556"/>
      <c r="EVP53" s="556"/>
      <c r="EVQ53" s="556"/>
      <c r="EVR53" s="556"/>
      <c r="EVS53" s="556"/>
      <c r="EVT53" s="556"/>
      <c r="EVU53" s="556"/>
      <c r="EVV53" s="556"/>
      <c r="EVW53" s="556"/>
      <c r="EVX53" s="556"/>
      <c r="EVY53" s="556"/>
      <c r="EVZ53" s="556"/>
      <c r="EWA53" s="556"/>
      <c r="EWB53" s="556"/>
      <c r="EWC53" s="556"/>
      <c r="EWD53" s="556"/>
      <c r="EWE53" s="556"/>
      <c r="EWF53" s="556"/>
      <c r="EWG53" s="556"/>
      <c r="EWH53" s="556"/>
      <c r="EWI53" s="556"/>
      <c r="EWJ53" s="556"/>
      <c r="EWK53" s="556"/>
      <c r="EWL53" s="556"/>
      <c r="EWM53" s="556"/>
      <c r="EWN53" s="556"/>
      <c r="EWO53" s="556"/>
      <c r="EWP53" s="556"/>
      <c r="EWQ53" s="556"/>
      <c r="EWR53" s="556"/>
      <c r="EWS53" s="556"/>
      <c r="EWT53" s="556"/>
      <c r="EWU53" s="556"/>
      <c r="EWV53" s="556"/>
      <c r="EWW53" s="556"/>
      <c r="EWX53" s="556"/>
      <c r="EWY53" s="556"/>
      <c r="EWZ53" s="556"/>
      <c r="EXA53" s="556"/>
      <c r="EXB53" s="556"/>
      <c r="EXC53" s="556"/>
      <c r="EXD53" s="556"/>
      <c r="EXE53" s="556"/>
      <c r="EXF53" s="556"/>
      <c r="EXG53" s="556"/>
      <c r="EXH53" s="556"/>
      <c r="EXI53" s="556"/>
      <c r="EXJ53" s="556"/>
      <c r="EXK53" s="556"/>
      <c r="EXL53" s="556"/>
      <c r="EXM53" s="556"/>
      <c r="EXN53" s="556"/>
      <c r="EXO53" s="556"/>
      <c r="EXP53" s="556"/>
      <c r="EXQ53" s="556"/>
      <c r="EXR53" s="556"/>
      <c r="EXS53" s="556"/>
      <c r="EXT53" s="556"/>
      <c r="EXU53" s="556"/>
      <c r="EXV53" s="556"/>
      <c r="EXW53" s="556"/>
      <c r="EXX53" s="556"/>
      <c r="EXY53" s="556"/>
      <c r="EXZ53" s="556"/>
      <c r="EYA53" s="556"/>
      <c r="EYB53" s="556"/>
      <c r="EYC53" s="556"/>
      <c r="EYD53" s="556"/>
      <c r="EYE53" s="556"/>
      <c r="EYF53" s="556"/>
      <c r="EYG53" s="556"/>
      <c r="EYH53" s="556"/>
      <c r="EYI53" s="556"/>
      <c r="EYJ53" s="556"/>
      <c r="EYK53" s="556"/>
      <c r="EYL53" s="556"/>
      <c r="EYM53" s="556"/>
      <c r="EYN53" s="556"/>
      <c r="EYO53" s="556"/>
      <c r="EYP53" s="556"/>
      <c r="EYQ53" s="556"/>
      <c r="EYR53" s="556"/>
      <c r="EYS53" s="556"/>
      <c r="EYT53" s="556"/>
      <c r="EYU53" s="556"/>
      <c r="EYV53" s="556"/>
      <c r="EYW53" s="556"/>
      <c r="EYX53" s="556"/>
      <c r="EYY53" s="556"/>
      <c r="EYZ53" s="556"/>
      <c r="EZA53" s="556"/>
      <c r="EZB53" s="556"/>
      <c r="EZC53" s="556"/>
      <c r="EZD53" s="556"/>
      <c r="EZE53" s="556"/>
      <c r="EZF53" s="556"/>
      <c r="EZG53" s="556"/>
      <c r="EZH53" s="556"/>
      <c r="EZI53" s="556"/>
      <c r="EZJ53" s="556"/>
      <c r="EZK53" s="556"/>
      <c r="EZL53" s="556"/>
      <c r="EZM53" s="556"/>
      <c r="EZN53" s="556"/>
      <c r="EZO53" s="556"/>
      <c r="EZP53" s="556"/>
      <c r="EZQ53" s="556"/>
      <c r="EZR53" s="556"/>
      <c r="EZS53" s="556"/>
      <c r="EZT53" s="556"/>
      <c r="EZU53" s="556"/>
      <c r="EZV53" s="556"/>
      <c r="EZW53" s="556"/>
      <c r="EZX53" s="556"/>
      <c r="EZY53" s="556"/>
      <c r="EZZ53" s="556"/>
      <c r="FAA53" s="556"/>
      <c r="FAB53" s="556"/>
      <c r="FAC53" s="556"/>
      <c r="FAD53" s="556"/>
      <c r="FAE53" s="556"/>
      <c r="FAF53" s="556"/>
      <c r="FAG53" s="556"/>
      <c r="FAH53" s="556"/>
      <c r="FAI53" s="556"/>
      <c r="FAJ53" s="556"/>
      <c r="FAK53" s="556"/>
      <c r="FAL53" s="556"/>
      <c r="FAM53" s="556"/>
      <c r="FAN53" s="556"/>
      <c r="FAO53" s="556"/>
      <c r="FAP53" s="556"/>
      <c r="FAQ53" s="556"/>
      <c r="FAR53" s="556"/>
      <c r="FAS53" s="556"/>
      <c r="FAT53" s="556"/>
      <c r="FAU53" s="556"/>
      <c r="FAV53" s="556"/>
      <c r="FAW53" s="556"/>
      <c r="FAX53" s="556"/>
      <c r="FAY53" s="556"/>
      <c r="FAZ53" s="556"/>
      <c r="FBA53" s="556"/>
      <c r="FBB53" s="556"/>
      <c r="FBC53" s="556"/>
      <c r="FBD53" s="556"/>
      <c r="FBE53" s="556"/>
      <c r="FBF53" s="556"/>
      <c r="FBG53" s="556"/>
      <c r="FBH53" s="556"/>
      <c r="FBI53" s="556"/>
      <c r="FBJ53" s="556"/>
      <c r="FBK53" s="556"/>
      <c r="FBL53" s="556"/>
      <c r="FBM53" s="556"/>
      <c r="FBN53" s="556"/>
      <c r="FBO53" s="556"/>
      <c r="FBP53" s="556"/>
      <c r="FBQ53" s="556"/>
      <c r="FBR53" s="556"/>
      <c r="FBS53" s="556"/>
      <c r="FBT53" s="556"/>
      <c r="FBU53" s="556"/>
      <c r="FBV53" s="556"/>
      <c r="FBW53" s="556"/>
      <c r="FBX53" s="556"/>
      <c r="FBY53" s="556"/>
      <c r="FBZ53" s="556"/>
      <c r="FCA53" s="556"/>
      <c r="FCB53" s="556"/>
      <c r="FCC53" s="556"/>
      <c r="FCD53" s="556"/>
      <c r="FCE53" s="556"/>
      <c r="FCF53" s="556"/>
      <c r="FCG53" s="556"/>
      <c r="FCH53" s="556"/>
      <c r="FCI53" s="556"/>
      <c r="FCJ53" s="556"/>
      <c r="FCK53" s="556"/>
      <c r="FCL53" s="556"/>
      <c r="FCM53" s="556"/>
      <c r="FCN53" s="556"/>
      <c r="FCO53" s="556"/>
      <c r="FCP53" s="556"/>
      <c r="FCQ53" s="556"/>
      <c r="FCR53" s="556"/>
      <c r="FCS53" s="556"/>
      <c r="FCT53" s="556"/>
      <c r="FCU53" s="556"/>
      <c r="FCV53" s="556"/>
      <c r="FCW53" s="556"/>
      <c r="FCX53" s="556"/>
      <c r="FCY53" s="556"/>
      <c r="FCZ53" s="556"/>
      <c r="FDA53" s="556"/>
      <c r="FDB53" s="556"/>
      <c r="FDC53" s="556"/>
      <c r="FDD53" s="556"/>
      <c r="FDE53" s="556"/>
      <c r="FDF53" s="556"/>
      <c r="FDG53" s="556"/>
      <c r="FDH53" s="556"/>
      <c r="FDI53" s="556"/>
      <c r="FDJ53" s="556"/>
      <c r="FDK53" s="556"/>
      <c r="FDL53" s="556"/>
      <c r="FDM53" s="556"/>
      <c r="FDN53" s="556"/>
      <c r="FDO53" s="556"/>
      <c r="FDP53" s="556"/>
      <c r="FDQ53" s="556"/>
      <c r="FDR53" s="556"/>
      <c r="FDS53" s="556"/>
      <c r="FDT53" s="556"/>
      <c r="FDU53" s="556"/>
      <c r="FDV53" s="556"/>
      <c r="FDW53" s="556"/>
      <c r="FDX53" s="556"/>
      <c r="FDY53" s="556"/>
      <c r="FDZ53" s="556"/>
      <c r="FEA53" s="556"/>
      <c r="FEB53" s="556"/>
      <c r="FEC53" s="556"/>
      <c r="FED53" s="556"/>
      <c r="FEE53" s="556"/>
      <c r="FEF53" s="556"/>
      <c r="FEG53" s="556"/>
      <c r="FEH53" s="556"/>
      <c r="FEI53" s="556"/>
      <c r="FEJ53" s="556"/>
      <c r="FEK53" s="556"/>
      <c r="FEL53" s="556"/>
      <c r="FEM53" s="556"/>
      <c r="FEN53" s="556"/>
      <c r="FEO53" s="556"/>
      <c r="FEP53" s="556"/>
      <c r="FEQ53" s="556"/>
      <c r="FER53" s="556"/>
      <c r="FES53" s="556"/>
      <c r="FET53" s="556"/>
      <c r="FEU53" s="556"/>
      <c r="FEV53" s="556"/>
      <c r="FEW53" s="556"/>
      <c r="FEX53" s="556"/>
      <c r="FEY53" s="556"/>
      <c r="FEZ53" s="556"/>
      <c r="FFA53" s="556"/>
      <c r="FFB53" s="556"/>
      <c r="FFC53" s="556"/>
      <c r="FFD53" s="556"/>
      <c r="FFE53" s="556"/>
      <c r="FFF53" s="556"/>
      <c r="FFG53" s="556"/>
      <c r="FFH53" s="556"/>
      <c r="FFI53" s="556"/>
      <c r="FFJ53" s="556"/>
      <c r="FFK53" s="556"/>
      <c r="FFL53" s="556"/>
      <c r="FFM53" s="556"/>
      <c r="FFN53" s="556"/>
      <c r="FFO53" s="556"/>
      <c r="FFP53" s="556"/>
      <c r="FFQ53" s="556"/>
      <c r="FFR53" s="556"/>
      <c r="FFS53" s="556"/>
      <c r="FFT53" s="556"/>
      <c r="FFU53" s="556"/>
      <c r="FFV53" s="556"/>
      <c r="FFW53" s="556"/>
      <c r="FFX53" s="556"/>
      <c r="FFY53" s="556"/>
      <c r="FFZ53" s="556"/>
      <c r="FGA53" s="556"/>
      <c r="FGB53" s="556"/>
      <c r="FGC53" s="556"/>
      <c r="FGD53" s="556"/>
      <c r="FGE53" s="556"/>
      <c r="FGF53" s="556"/>
      <c r="FGG53" s="556"/>
      <c r="FGH53" s="556"/>
      <c r="FGI53" s="556"/>
      <c r="FGJ53" s="556"/>
      <c r="FGK53" s="556"/>
      <c r="FGL53" s="556"/>
      <c r="FGM53" s="556"/>
      <c r="FGN53" s="556"/>
      <c r="FGO53" s="556"/>
      <c r="FGP53" s="556"/>
      <c r="FGQ53" s="556"/>
      <c r="FGR53" s="556"/>
      <c r="FGS53" s="556"/>
      <c r="FGT53" s="556"/>
      <c r="FGU53" s="556"/>
      <c r="FGV53" s="556"/>
      <c r="FGW53" s="556"/>
      <c r="FGX53" s="556"/>
      <c r="FGY53" s="556"/>
      <c r="FGZ53" s="556"/>
      <c r="FHA53" s="556"/>
      <c r="FHB53" s="556"/>
      <c r="FHC53" s="556"/>
      <c r="FHD53" s="556"/>
      <c r="FHE53" s="556"/>
      <c r="FHF53" s="556"/>
      <c r="FHG53" s="556"/>
      <c r="FHH53" s="556"/>
      <c r="FHI53" s="556"/>
      <c r="FHJ53" s="556"/>
      <c r="FHK53" s="556"/>
      <c r="FHL53" s="556"/>
      <c r="FHM53" s="556"/>
      <c r="FHN53" s="556"/>
      <c r="FHO53" s="556"/>
      <c r="FHP53" s="556"/>
      <c r="FHQ53" s="556"/>
      <c r="FHR53" s="556"/>
      <c r="FHS53" s="556"/>
      <c r="FHT53" s="556"/>
      <c r="FHU53" s="556"/>
      <c r="FHV53" s="556"/>
      <c r="FHW53" s="556"/>
      <c r="FHX53" s="556"/>
      <c r="FHY53" s="556"/>
      <c r="FHZ53" s="556"/>
      <c r="FIA53" s="556"/>
      <c r="FIB53" s="556"/>
      <c r="FIC53" s="556"/>
      <c r="FID53" s="556"/>
      <c r="FIE53" s="556"/>
      <c r="FIF53" s="556"/>
      <c r="FIG53" s="556"/>
      <c r="FIH53" s="556"/>
      <c r="FII53" s="556"/>
      <c r="FIJ53" s="556"/>
      <c r="FIK53" s="556"/>
      <c r="FIL53" s="556"/>
      <c r="FIM53" s="556"/>
      <c r="FIN53" s="556"/>
      <c r="FIO53" s="556"/>
      <c r="FIP53" s="556"/>
      <c r="FIQ53" s="556"/>
      <c r="FIR53" s="556"/>
      <c r="FIS53" s="556"/>
      <c r="FIT53" s="556"/>
      <c r="FIU53" s="556"/>
      <c r="FIV53" s="556"/>
      <c r="FIW53" s="556"/>
      <c r="FIX53" s="556"/>
      <c r="FIY53" s="556"/>
      <c r="FIZ53" s="556"/>
      <c r="FJA53" s="556"/>
      <c r="FJB53" s="556"/>
      <c r="FJC53" s="556"/>
      <c r="FJD53" s="556"/>
      <c r="FJE53" s="556"/>
      <c r="FJF53" s="556"/>
      <c r="FJG53" s="556"/>
      <c r="FJH53" s="556"/>
      <c r="FJI53" s="556"/>
      <c r="FJJ53" s="556"/>
      <c r="FJK53" s="556"/>
      <c r="FJL53" s="556"/>
      <c r="FJM53" s="556"/>
      <c r="FJN53" s="556"/>
      <c r="FJO53" s="556"/>
      <c r="FJP53" s="556"/>
      <c r="FJQ53" s="556"/>
      <c r="FJR53" s="556"/>
      <c r="FJS53" s="556"/>
      <c r="FJT53" s="556"/>
      <c r="FJU53" s="556"/>
      <c r="FJV53" s="556"/>
      <c r="FJW53" s="556"/>
      <c r="FJX53" s="556"/>
      <c r="FJY53" s="556"/>
      <c r="FJZ53" s="556"/>
      <c r="FKA53" s="556"/>
      <c r="FKB53" s="556"/>
      <c r="FKC53" s="556"/>
      <c r="FKD53" s="556"/>
      <c r="FKE53" s="556"/>
      <c r="FKF53" s="556"/>
      <c r="FKG53" s="556"/>
      <c r="FKH53" s="556"/>
      <c r="FKI53" s="556"/>
      <c r="FKJ53" s="556"/>
      <c r="FKK53" s="556"/>
      <c r="FKL53" s="556"/>
      <c r="FKM53" s="556"/>
      <c r="FKN53" s="556"/>
      <c r="FKO53" s="556"/>
      <c r="FKP53" s="556"/>
      <c r="FKQ53" s="556"/>
      <c r="FKR53" s="556"/>
      <c r="FKS53" s="556"/>
      <c r="FKT53" s="556"/>
      <c r="FKU53" s="556"/>
      <c r="FKV53" s="556"/>
      <c r="FKW53" s="556"/>
      <c r="FKX53" s="556"/>
      <c r="FKY53" s="556"/>
      <c r="FKZ53" s="556"/>
      <c r="FLA53" s="556"/>
      <c r="FLB53" s="556"/>
      <c r="FLC53" s="556"/>
      <c r="FLD53" s="556"/>
      <c r="FLE53" s="556"/>
      <c r="FLF53" s="556"/>
      <c r="FLG53" s="556"/>
      <c r="FLH53" s="556"/>
      <c r="FLI53" s="556"/>
      <c r="FLJ53" s="556"/>
      <c r="FLK53" s="556"/>
      <c r="FLL53" s="556"/>
      <c r="FLM53" s="556"/>
      <c r="FLN53" s="556"/>
      <c r="FLO53" s="556"/>
      <c r="FLP53" s="556"/>
      <c r="FLQ53" s="556"/>
      <c r="FLR53" s="556"/>
      <c r="FLS53" s="556"/>
      <c r="FLT53" s="556"/>
      <c r="FLU53" s="556"/>
      <c r="FLV53" s="556"/>
      <c r="FLW53" s="556"/>
      <c r="FLX53" s="556"/>
      <c r="FLY53" s="556"/>
      <c r="FLZ53" s="556"/>
      <c r="FMA53" s="556"/>
      <c r="FMB53" s="556"/>
      <c r="FMC53" s="556"/>
      <c r="FMD53" s="556"/>
      <c r="FME53" s="556"/>
      <c r="FMF53" s="556"/>
      <c r="FMG53" s="556"/>
      <c r="FMH53" s="556"/>
      <c r="FMI53" s="556"/>
      <c r="FMJ53" s="556"/>
      <c r="FMK53" s="556"/>
      <c r="FML53" s="556"/>
      <c r="FMM53" s="556"/>
      <c r="FMN53" s="556"/>
      <c r="FMO53" s="556"/>
      <c r="FMP53" s="556"/>
      <c r="FMQ53" s="556"/>
      <c r="FMR53" s="556"/>
      <c r="FMS53" s="556"/>
      <c r="FMT53" s="556"/>
      <c r="FMU53" s="556"/>
      <c r="FMV53" s="556"/>
      <c r="FMW53" s="556"/>
      <c r="FMX53" s="556"/>
      <c r="FMY53" s="556"/>
      <c r="FMZ53" s="556"/>
      <c r="FNA53" s="556"/>
      <c r="FNB53" s="556"/>
      <c r="FNC53" s="556"/>
      <c r="FND53" s="556"/>
      <c r="FNE53" s="556"/>
      <c r="FNF53" s="556"/>
      <c r="FNG53" s="556"/>
      <c r="FNH53" s="556"/>
      <c r="FNI53" s="556"/>
      <c r="FNJ53" s="556"/>
      <c r="FNK53" s="556"/>
      <c r="FNL53" s="556"/>
      <c r="FNM53" s="556"/>
      <c r="FNN53" s="556"/>
      <c r="FNO53" s="556"/>
      <c r="FNP53" s="556"/>
      <c r="FNQ53" s="556"/>
      <c r="FNR53" s="556"/>
      <c r="FNS53" s="556"/>
      <c r="FNT53" s="556"/>
      <c r="FNU53" s="556"/>
      <c r="FNV53" s="556"/>
      <c r="FNW53" s="556"/>
      <c r="FNX53" s="556"/>
      <c r="FNY53" s="556"/>
      <c r="FNZ53" s="556"/>
      <c r="FOA53" s="556"/>
      <c r="FOB53" s="556"/>
      <c r="FOC53" s="556"/>
      <c r="FOD53" s="556"/>
      <c r="FOE53" s="556"/>
      <c r="FOF53" s="556"/>
      <c r="FOG53" s="556"/>
      <c r="FOH53" s="556"/>
      <c r="FOI53" s="556"/>
      <c r="FOJ53" s="556"/>
      <c r="FOK53" s="556"/>
      <c r="FOL53" s="556"/>
      <c r="FOM53" s="556"/>
      <c r="FON53" s="556"/>
      <c r="FOO53" s="556"/>
      <c r="FOP53" s="556"/>
      <c r="FOQ53" s="556"/>
      <c r="FOR53" s="556"/>
      <c r="FOS53" s="556"/>
      <c r="FOT53" s="556"/>
      <c r="FOU53" s="556"/>
      <c r="FOV53" s="556"/>
      <c r="FOW53" s="556"/>
      <c r="FOX53" s="556"/>
      <c r="FOY53" s="556"/>
      <c r="FOZ53" s="556"/>
      <c r="FPA53" s="556"/>
      <c r="FPB53" s="556"/>
      <c r="FPC53" s="556"/>
      <c r="FPD53" s="556"/>
      <c r="FPE53" s="556"/>
      <c r="FPF53" s="556"/>
      <c r="FPG53" s="556"/>
      <c r="FPH53" s="556"/>
      <c r="FPI53" s="556"/>
      <c r="FPJ53" s="556"/>
      <c r="FPK53" s="556"/>
      <c r="FPL53" s="556"/>
      <c r="FPM53" s="556"/>
      <c r="FPN53" s="556"/>
      <c r="FPO53" s="556"/>
      <c r="FPP53" s="556"/>
      <c r="FPQ53" s="556"/>
      <c r="FPR53" s="556"/>
      <c r="FPS53" s="556"/>
      <c r="FPT53" s="556"/>
      <c r="FPU53" s="556"/>
      <c r="FPV53" s="556"/>
      <c r="FPW53" s="556"/>
      <c r="FPX53" s="556"/>
      <c r="FPY53" s="556"/>
      <c r="FPZ53" s="556"/>
      <c r="FQA53" s="556"/>
      <c r="FQB53" s="556"/>
      <c r="FQC53" s="556"/>
      <c r="FQD53" s="556"/>
      <c r="FQE53" s="556"/>
      <c r="FQF53" s="556"/>
      <c r="FQG53" s="556"/>
      <c r="FQH53" s="556"/>
      <c r="FQI53" s="556"/>
      <c r="FQJ53" s="556"/>
      <c r="FQK53" s="556"/>
      <c r="FQL53" s="556"/>
      <c r="FQM53" s="556"/>
      <c r="FQN53" s="556"/>
      <c r="FQO53" s="556"/>
      <c r="FQP53" s="556"/>
      <c r="FQQ53" s="556"/>
      <c r="FQR53" s="556"/>
      <c r="FQS53" s="556"/>
      <c r="FQT53" s="556"/>
      <c r="FQU53" s="556"/>
      <c r="FQV53" s="556"/>
      <c r="FQW53" s="556"/>
      <c r="FQX53" s="556"/>
      <c r="FQY53" s="556"/>
      <c r="FQZ53" s="556"/>
      <c r="FRA53" s="556"/>
      <c r="FRB53" s="556"/>
      <c r="FRC53" s="556"/>
      <c r="FRD53" s="556"/>
      <c r="FRE53" s="556"/>
      <c r="FRF53" s="556"/>
      <c r="FRG53" s="556"/>
      <c r="FRH53" s="556"/>
      <c r="FRI53" s="556"/>
      <c r="FRJ53" s="556"/>
      <c r="FRK53" s="556"/>
      <c r="FRL53" s="556"/>
      <c r="FRM53" s="556"/>
      <c r="FRN53" s="556"/>
      <c r="FRO53" s="556"/>
      <c r="FRP53" s="556"/>
      <c r="FRQ53" s="556"/>
      <c r="FRR53" s="556"/>
      <c r="FRS53" s="556"/>
      <c r="FRT53" s="556"/>
      <c r="FRU53" s="556"/>
      <c r="FRV53" s="556"/>
      <c r="FRW53" s="556"/>
      <c r="FRX53" s="556"/>
      <c r="FRY53" s="556"/>
      <c r="FRZ53" s="556"/>
      <c r="FSA53" s="556"/>
      <c r="FSB53" s="556"/>
      <c r="FSC53" s="556"/>
      <c r="FSD53" s="556"/>
      <c r="FSE53" s="556"/>
      <c r="FSF53" s="556"/>
      <c r="FSG53" s="556"/>
      <c r="FSH53" s="556"/>
      <c r="FSI53" s="556"/>
      <c r="FSJ53" s="556"/>
      <c r="FSK53" s="556"/>
      <c r="FSL53" s="556"/>
      <c r="FSM53" s="556"/>
      <c r="FSN53" s="556"/>
      <c r="FSO53" s="556"/>
      <c r="FSP53" s="556"/>
      <c r="FSQ53" s="556"/>
      <c r="FSR53" s="556"/>
      <c r="FSS53" s="556"/>
      <c r="FST53" s="556"/>
      <c r="FSU53" s="556"/>
      <c r="FSV53" s="556"/>
      <c r="FSW53" s="556"/>
      <c r="FSX53" s="556"/>
      <c r="FSY53" s="556"/>
      <c r="FSZ53" s="556"/>
      <c r="FTA53" s="556"/>
      <c r="FTB53" s="556"/>
      <c r="FTC53" s="556"/>
      <c r="FTD53" s="556"/>
      <c r="FTE53" s="556"/>
      <c r="FTF53" s="556"/>
      <c r="FTG53" s="556"/>
      <c r="FTH53" s="556"/>
      <c r="FTI53" s="556"/>
      <c r="FTJ53" s="556"/>
      <c r="FTK53" s="556"/>
      <c r="FTL53" s="556"/>
      <c r="FTM53" s="556"/>
      <c r="FTN53" s="556"/>
      <c r="FTO53" s="556"/>
      <c r="FTP53" s="556"/>
      <c r="FTQ53" s="556"/>
      <c r="FTR53" s="556"/>
      <c r="FTS53" s="556"/>
      <c r="FTT53" s="556"/>
      <c r="FTU53" s="556"/>
      <c r="FTV53" s="556"/>
      <c r="FTW53" s="556"/>
      <c r="FTX53" s="556"/>
      <c r="FTY53" s="556"/>
      <c r="FTZ53" s="556"/>
      <c r="FUA53" s="556"/>
      <c r="FUB53" s="556"/>
      <c r="FUC53" s="556"/>
      <c r="FUD53" s="556"/>
      <c r="FUE53" s="556"/>
      <c r="FUF53" s="556"/>
      <c r="FUG53" s="556"/>
      <c r="FUH53" s="556"/>
      <c r="FUI53" s="556"/>
      <c r="FUJ53" s="556"/>
      <c r="FUK53" s="556"/>
      <c r="FUL53" s="556"/>
      <c r="FUM53" s="556"/>
      <c r="FUN53" s="556"/>
      <c r="FUO53" s="556"/>
      <c r="FUP53" s="556"/>
      <c r="FUQ53" s="556"/>
      <c r="FUR53" s="556"/>
      <c r="FUS53" s="556"/>
      <c r="FUT53" s="556"/>
      <c r="FUU53" s="556"/>
      <c r="FUV53" s="556"/>
      <c r="FUW53" s="556"/>
      <c r="FUX53" s="556"/>
      <c r="FUY53" s="556"/>
      <c r="FUZ53" s="556"/>
      <c r="FVA53" s="556"/>
      <c r="FVB53" s="556"/>
      <c r="FVC53" s="556"/>
      <c r="FVD53" s="556"/>
      <c r="FVE53" s="556"/>
      <c r="FVF53" s="556"/>
      <c r="FVG53" s="556"/>
      <c r="FVH53" s="556"/>
      <c r="FVI53" s="556"/>
      <c r="FVJ53" s="556"/>
      <c r="FVK53" s="556"/>
      <c r="FVL53" s="556"/>
      <c r="FVM53" s="556"/>
      <c r="FVN53" s="556"/>
      <c r="FVO53" s="556"/>
      <c r="FVP53" s="556"/>
      <c r="FVQ53" s="556"/>
      <c r="FVR53" s="556"/>
      <c r="FVS53" s="556"/>
      <c r="FVT53" s="556"/>
      <c r="FVU53" s="556"/>
      <c r="FVV53" s="556"/>
      <c r="FVW53" s="556"/>
      <c r="FVX53" s="556"/>
      <c r="FVY53" s="556"/>
      <c r="FVZ53" s="556"/>
      <c r="FWA53" s="556"/>
      <c r="FWB53" s="556"/>
      <c r="FWC53" s="556"/>
      <c r="FWD53" s="556"/>
      <c r="FWE53" s="556"/>
      <c r="FWF53" s="556"/>
      <c r="FWG53" s="556"/>
      <c r="FWH53" s="556"/>
      <c r="FWI53" s="556"/>
      <c r="FWJ53" s="556"/>
      <c r="FWK53" s="556"/>
      <c r="FWL53" s="556"/>
      <c r="FWM53" s="556"/>
      <c r="FWN53" s="556"/>
      <c r="FWO53" s="556"/>
      <c r="FWP53" s="556"/>
      <c r="FWQ53" s="556"/>
      <c r="FWR53" s="556"/>
      <c r="FWS53" s="556"/>
      <c r="FWT53" s="556"/>
      <c r="FWU53" s="556"/>
      <c r="FWV53" s="556"/>
      <c r="FWW53" s="556"/>
      <c r="FWX53" s="556"/>
      <c r="FWY53" s="556"/>
      <c r="FWZ53" s="556"/>
      <c r="FXA53" s="556"/>
      <c r="FXB53" s="556"/>
      <c r="FXC53" s="556"/>
      <c r="FXD53" s="556"/>
      <c r="FXE53" s="556"/>
      <c r="FXF53" s="556"/>
      <c r="FXG53" s="556"/>
      <c r="FXH53" s="556"/>
      <c r="FXI53" s="556"/>
      <c r="FXJ53" s="556"/>
      <c r="FXK53" s="556"/>
      <c r="FXL53" s="556"/>
      <c r="FXM53" s="556"/>
      <c r="FXN53" s="556"/>
      <c r="FXO53" s="556"/>
      <c r="FXP53" s="556"/>
      <c r="FXQ53" s="556"/>
      <c r="FXR53" s="556"/>
      <c r="FXS53" s="556"/>
      <c r="FXT53" s="556"/>
      <c r="FXU53" s="556"/>
      <c r="FXV53" s="556"/>
      <c r="FXW53" s="556"/>
      <c r="FXX53" s="556"/>
      <c r="FXY53" s="556"/>
      <c r="FXZ53" s="556"/>
      <c r="FYA53" s="556"/>
      <c r="FYB53" s="556"/>
      <c r="FYC53" s="556"/>
      <c r="FYD53" s="556"/>
      <c r="FYE53" s="556"/>
      <c r="FYF53" s="556"/>
      <c r="FYG53" s="556"/>
      <c r="FYH53" s="556"/>
      <c r="FYI53" s="556"/>
      <c r="FYJ53" s="556"/>
      <c r="FYK53" s="556"/>
      <c r="FYL53" s="556"/>
      <c r="FYM53" s="556"/>
      <c r="FYN53" s="556"/>
      <c r="FYO53" s="556"/>
      <c r="FYP53" s="556"/>
      <c r="FYQ53" s="556"/>
      <c r="FYR53" s="556"/>
      <c r="FYS53" s="556"/>
      <c r="FYT53" s="556"/>
      <c r="FYU53" s="556"/>
      <c r="FYV53" s="556"/>
      <c r="FYW53" s="556"/>
      <c r="FYX53" s="556"/>
      <c r="FYY53" s="556"/>
      <c r="FYZ53" s="556"/>
      <c r="FZA53" s="556"/>
      <c r="FZB53" s="556"/>
      <c r="FZC53" s="556"/>
      <c r="FZD53" s="556"/>
      <c r="FZE53" s="556"/>
      <c r="FZF53" s="556"/>
      <c r="FZG53" s="556"/>
      <c r="FZH53" s="556"/>
      <c r="FZI53" s="556"/>
      <c r="FZJ53" s="556"/>
      <c r="FZK53" s="556"/>
      <c r="FZL53" s="556"/>
      <c r="FZM53" s="556"/>
      <c r="FZN53" s="556"/>
      <c r="FZO53" s="556"/>
      <c r="FZP53" s="556"/>
      <c r="FZQ53" s="556"/>
      <c r="FZR53" s="556"/>
      <c r="FZS53" s="556"/>
      <c r="FZT53" s="556"/>
      <c r="FZU53" s="556"/>
      <c r="FZV53" s="556"/>
      <c r="FZW53" s="556"/>
      <c r="FZX53" s="556"/>
      <c r="FZY53" s="556"/>
      <c r="FZZ53" s="556"/>
      <c r="GAA53" s="556"/>
      <c r="GAB53" s="556"/>
      <c r="GAC53" s="556"/>
      <c r="GAD53" s="556"/>
      <c r="GAE53" s="556"/>
      <c r="GAF53" s="556"/>
      <c r="GAG53" s="556"/>
      <c r="GAH53" s="556"/>
      <c r="GAI53" s="556"/>
      <c r="GAJ53" s="556"/>
      <c r="GAK53" s="556"/>
      <c r="GAL53" s="556"/>
      <c r="GAM53" s="556"/>
      <c r="GAN53" s="556"/>
      <c r="GAO53" s="556"/>
      <c r="GAP53" s="556"/>
      <c r="GAQ53" s="556"/>
      <c r="GAR53" s="556"/>
      <c r="GAS53" s="556"/>
      <c r="GAT53" s="556"/>
      <c r="GAU53" s="556"/>
      <c r="GAV53" s="556"/>
      <c r="GAW53" s="556"/>
      <c r="GAX53" s="556"/>
      <c r="GAY53" s="556"/>
      <c r="GAZ53" s="556"/>
      <c r="GBA53" s="556"/>
      <c r="GBB53" s="556"/>
      <c r="GBC53" s="556"/>
      <c r="GBD53" s="556"/>
      <c r="GBE53" s="556"/>
      <c r="GBF53" s="556"/>
      <c r="GBG53" s="556"/>
      <c r="GBH53" s="556"/>
      <c r="GBI53" s="556"/>
      <c r="GBJ53" s="556"/>
      <c r="GBK53" s="556"/>
      <c r="GBL53" s="556"/>
      <c r="GBM53" s="556"/>
      <c r="GBN53" s="556"/>
      <c r="GBO53" s="556"/>
      <c r="GBP53" s="556"/>
      <c r="GBQ53" s="556"/>
      <c r="GBR53" s="556"/>
      <c r="GBS53" s="556"/>
      <c r="GBT53" s="556"/>
      <c r="GBU53" s="556"/>
      <c r="GBV53" s="556"/>
      <c r="GBW53" s="556"/>
      <c r="GBX53" s="556"/>
      <c r="GBY53" s="556"/>
      <c r="GBZ53" s="556"/>
      <c r="GCA53" s="556"/>
      <c r="GCB53" s="556"/>
      <c r="GCC53" s="556"/>
      <c r="GCD53" s="556"/>
      <c r="GCE53" s="556"/>
      <c r="GCF53" s="556"/>
      <c r="GCG53" s="556"/>
      <c r="GCH53" s="556"/>
      <c r="GCI53" s="556"/>
      <c r="GCJ53" s="556"/>
      <c r="GCK53" s="556"/>
      <c r="GCL53" s="556"/>
      <c r="GCM53" s="556"/>
      <c r="GCN53" s="556"/>
      <c r="GCO53" s="556"/>
      <c r="GCP53" s="556"/>
      <c r="GCQ53" s="556"/>
      <c r="GCR53" s="556"/>
      <c r="GCS53" s="556"/>
      <c r="GCT53" s="556"/>
      <c r="GCU53" s="556"/>
      <c r="GCV53" s="556"/>
      <c r="GCW53" s="556"/>
      <c r="GCX53" s="556"/>
      <c r="GCY53" s="556"/>
      <c r="GCZ53" s="556"/>
      <c r="GDA53" s="556"/>
      <c r="GDB53" s="556"/>
      <c r="GDC53" s="556"/>
      <c r="GDD53" s="556"/>
      <c r="GDE53" s="556"/>
      <c r="GDF53" s="556"/>
      <c r="GDG53" s="556"/>
      <c r="GDH53" s="556"/>
      <c r="GDI53" s="556"/>
      <c r="GDJ53" s="556"/>
      <c r="GDK53" s="556"/>
      <c r="GDL53" s="556"/>
      <c r="GDM53" s="556"/>
      <c r="GDN53" s="556"/>
      <c r="GDO53" s="556"/>
      <c r="GDP53" s="556"/>
      <c r="GDQ53" s="556"/>
      <c r="GDR53" s="556"/>
      <c r="GDS53" s="556"/>
      <c r="GDT53" s="556"/>
      <c r="GDU53" s="556"/>
      <c r="GDV53" s="556"/>
      <c r="GDW53" s="556"/>
      <c r="GDX53" s="556"/>
      <c r="GDY53" s="556"/>
      <c r="GDZ53" s="556"/>
      <c r="GEA53" s="556"/>
      <c r="GEB53" s="556"/>
      <c r="GEC53" s="556"/>
      <c r="GED53" s="556"/>
      <c r="GEE53" s="556"/>
      <c r="GEF53" s="556"/>
      <c r="GEG53" s="556"/>
      <c r="GEH53" s="556"/>
      <c r="GEI53" s="556"/>
      <c r="GEJ53" s="556"/>
      <c r="GEK53" s="556"/>
      <c r="GEL53" s="556"/>
      <c r="GEM53" s="556"/>
      <c r="GEN53" s="556"/>
      <c r="GEO53" s="556"/>
      <c r="GEP53" s="556"/>
      <c r="GEQ53" s="556"/>
      <c r="GER53" s="556"/>
      <c r="GES53" s="556"/>
      <c r="GET53" s="556"/>
      <c r="GEU53" s="556"/>
      <c r="GEV53" s="556"/>
      <c r="GEW53" s="556"/>
      <c r="GEX53" s="556"/>
      <c r="GEY53" s="556"/>
      <c r="GEZ53" s="556"/>
      <c r="GFA53" s="556"/>
      <c r="GFB53" s="556"/>
      <c r="GFC53" s="556"/>
      <c r="GFD53" s="556"/>
      <c r="GFE53" s="556"/>
      <c r="GFF53" s="556"/>
      <c r="GFG53" s="556"/>
      <c r="GFH53" s="556"/>
      <c r="GFI53" s="556"/>
      <c r="GFJ53" s="556"/>
      <c r="GFK53" s="556"/>
      <c r="GFL53" s="556"/>
      <c r="GFM53" s="556"/>
      <c r="GFN53" s="556"/>
      <c r="GFO53" s="556"/>
      <c r="GFP53" s="556"/>
      <c r="GFQ53" s="556"/>
      <c r="GFR53" s="556"/>
      <c r="GFS53" s="556"/>
      <c r="GFT53" s="556"/>
      <c r="GFU53" s="556"/>
      <c r="GFV53" s="556"/>
      <c r="GFW53" s="556"/>
      <c r="GFX53" s="556"/>
      <c r="GFY53" s="556"/>
      <c r="GFZ53" s="556"/>
      <c r="GGA53" s="556"/>
      <c r="GGB53" s="556"/>
      <c r="GGC53" s="556"/>
      <c r="GGD53" s="556"/>
      <c r="GGE53" s="556"/>
      <c r="GGF53" s="556"/>
      <c r="GGG53" s="556"/>
      <c r="GGH53" s="556"/>
      <c r="GGI53" s="556"/>
      <c r="GGJ53" s="556"/>
      <c r="GGK53" s="556"/>
      <c r="GGL53" s="556"/>
      <c r="GGM53" s="556"/>
      <c r="GGN53" s="556"/>
      <c r="GGO53" s="556"/>
      <c r="GGP53" s="556"/>
      <c r="GGQ53" s="556"/>
      <c r="GGR53" s="556"/>
      <c r="GGS53" s="556"/>
      <c r="GGT53" s="556"/>
      <c r="GGU53" s="556"/>
      <c r="GGV53" s="556"/>
      <c r="GGW53" s="556"/>
      <c r="GGX53" s="556"/>
      <c r="GGY53" s="556"/>
      <c r="GGZ53" s="556"/>
      <c r="GHA53" s="556"/>
      <c r="GHB53" s="556"/>
      <c r="GHC53" s="556"/>
      <c r="GHD53" s="556"/>
      <c r="GHE53" s="556"/>
      <c r="GHF53" s="556"/>
      <c r="GHG53" s="556"/>
      <c r="GHH53" s="556"/>
      <c r="GHI53" s="556"/>
      <c r="GHJ53" s="556"/>
      <c r="GHK53" s="556"/>
      <c r="GHL53" s="556"/>
      <c r="GHM53" s="556"/>
      <c r="GHN53" s="556"/>
      <c r="GHO53" s="556"/>
      <c r="GHP53" s="556"/>
      <c r="GHQ53" s="556"/>
      <c r="GHR53" s="556"/>
      <c r="GHS53" s="556"/>
      <c r="GHT53" s="556"/>
      <c r="GHU53" s="556"/>
      <c r="GHV53" s="556"/>
      <c r="GHW53" s="556"/>
      <c r="GHX53" s="556"/>
      <c r="GHY53" s="556"/>
      <c r="GHZ53" s="556"/>
      <c r="GIA53" s="556"/>
      <c r="GIB53" s="556"/>
      <c r="GIC53" s="556"/>
      <c r="GID53" s="556"/>
      <c r="GIE53" s="556"/>
      <c r="GIF53" s="556"/>
      <c r="GIG53" s="556"/>
      <c r="GIH53" s="556"/>
      <c r="GII53" s="556"/>
      <c r="GIJ53" s="556"/>
      <c r="GIK53" s="556"/>
      <c r="GIL53" s="556"/>
      <c r="GIM53" s="556"/>
      <c r="GIN53" s="556"/>
      <c r="GIO53" s="556"/>
      <c r="GIP53" s="556"/>
      <c r="GIQ53" s="556"/>
      <c r="GIR53" s="556"/>
      <c r="GIS53" s="556"/>
      <c r="GIT53" s="556"/>
      <c r="GIU53" s="556"/>
      <c r="GIV53" s="556"/>
      <c r="GIW53" s="556"/>
      <c r="GIX53" s="556"/>
      <c r="GIY53" s="556"/>
      <c r="GIZ53" s="556"/>
      <c r="GJA53" s="556"/>
      <c r="GJB53" s="556"/>
      <c r="GJC53" s="556"/>
      <c r="GJD53" s="556"/>
      <c r="GJE53" s="556"/>
      <c r="GJF53" s="556"/>
      <c r="GJG53" s="556"/>
      <c r="GJH53" s="556"/>
      <c r="GJI53" s="556"/>
      <c r="GJJ53" s="556"/>
      <c r="GJK53" s="556"/>
      <c r="GJL53" s="556"/>
      <c r="GJM53" s="556"/>
      <c r="GJN53" s="556"/>
      <c r="GJO53" s="556"/>
      <c r="GJP53" s="556"/>
      <c r="GJQ53" s="556"/>
      <c r="GJR53" s="556"/>
      <c r="GJS53" s="556"/>
      <c r="GJT53" s="556"/>
      <c r="GJU53" s="556"/>
      <c r="GJV53" s="556"/>
      <c r="GJW53" s="556"/>
      <c r="GJX53" s="556"/>
      <c r="GJY53" s="556"/>
      <c r="GJZ53" s="556"/>
      <c r="GKA53" s="556"/>
      <c r="GKB53" s="556"/>
      <c r="GKC53" s="556"/>
      <c r="GKD53" s="556"/>
      <c r="GKE53" s="556"/>
      <c r="GKF53" s="556"/>
      <c r="GKG53" s="556"/>
      <c r="GKH53" s="556"/>
      <c r="GKI53" s="556"/>
      <c r="GKJ53" s="556"/>
      <c r="GKK53" s="556"/>
      <c r="GKL53" s="556"/>
      <c r="GKM53" s="556"/>
      <c r="GKN53" s="556"/>
      <c r="GKO53" s="556"/>
      <c r="GKP53" s="556"/>
      <c r="GKQ53" s="556"/>
      <c r="GKR53" s="556"/>
      <c r="GKS53" s="556"/>
      <c r="GKT53" s="556"/>
      <c r="GKU53" s="556"/>
      <c r="GKV53" s="556"/>
      <c r="GKW53" s="556"/>
      <c r="GKX53" s="556"/>
      <c r="GKY53" s="556"/>
      <c r="GKZ53" s="556"/>
      <c r="GLA53" s="556"/>
      <c r="GLB53" s="556"/>
      <c r="GLC53" s="556"/>
      <c r="GLD53" s="556"/>
      <c r="GLE53" s="556"/>
      <c r="GLF53" s="556"/>
      <c r="GLG53" s="556"/>
      <c r="GLH53" s="556"/>
      <c r="GLI53" s="556"/>
      <c r="GLJ53" s="556"/>
      <c r="GLK53" s="556"/>
      <c r="GLL53" s="556"/>
      <c r="GLM53" s="556"/>
      <c r="GLN53" s="556"/>
      <c r="GLO53" s="556"/>
      <c r="GLP53" s="556"/>
      <c r="GLQ53" s="556"/>
      <c r="GLR53" s="556"/>
      <c r="GLS53" s="556"/>
      <c r="GLT53" s="556"/>
      <c r="GLU53" s="556"/>
      <c r="GLV53" s="556"/>
      <c r="GLW53" s="556"/>
      <c r="GLX53" s="556"/>
      <c r="GLY53" s="556"/>
      <c r="GLZ53" s="556"/>
      <c r="GMA53" s="556"/>
      <c r="GMB53" s="556"/>
      <c r="GMC53" s="556"/>
      <c r="GMD53" s="556"/>
      <c r="GME53" s="556"/>
      <c r="GMF53" s="556"/>
      <c r="GMG53" s="556"/>
      <c r="GMH53" s="556"/>
      <c r="GMI53" s="556"/>
      <c r="GMJ53" s="556"/>
      <c r="GMK53" s="556"/>
      <c r="GML53" s="556"/>
      <c r="GMM53" s="556"/>
      <c r="GMN53" s="556"/>
      <c r="GMO53" s="556"/>
      <c r="GMP53" s="556"/>
      <c r="GMQ53" s="556"/>
      <c r="GMR53" s="556"/>
      <c r="GMS53" s="556"/>
      <c r="GMT53" s="556"/>
      <c r="GMU53" s="556"/>
      <c r="GMV53" s="556"/>
      <c r="GMW53" s="556"/>
      <c r="GMX53" s="556"/>
      <c r="GMY53" s="556"/>
      <c r="GMZ53" s="556"/>
      <c r="GNA53" s="556"/>
      <c r="GNB53" s="556"/>
      <c r="GNC53" s="556"/>
      <c r="GND53" s="556"/>
      <c r="GNE53" s="556"/>
      <c r="GNF53" s="556"/>
      <c r="GNG53" s="556"/>
      <c r="GNH53" s="556"/>
      <c r="GNI53" s="556"/>
      <c r="GNJ53" s="556"/>
      <c r="GNK53" s="556"/>
      <c r="GNL53" s="556"/>
      <c r="GNM53" s="556"/>
      <c r="GNN53" s="556"/>
      <c r="GNO53" s="556"/>
      <c r="GNP53" s="556"/>
      <c r="GNQ53" s="556"/>
      <c r="GNR53" s="556"/>
      <c r="GNS53" s="556"/>
      <c r="GNT53" s="556"/>
      <c r="GNU53" s="556"/>
      <c r="GNV53" s="556"/>
      <c r="GNW53" s="556"/>
      <c r="GNX53" s="556"/>
      <c r="GNY53" s="556"/>
      <c r="GNZ53" s="556"/>
      <c r="GOA53" s="556"/>
      <c r="GOB53" s="556"/>
      <c r="GOC53" s="556"/>
      <c r="GOD53" s="556"/>
      <c r="GOE53" s="556"/>
      <c r="GOF53" s="556"/>
      <c r="GOG53" s="556"/>
      <c r="GOH53" s="556"/>
      <c r="GOI53" s="556"/>
      <c r="GOJ53" s="556"/>
      <c r="GOK53" s="556"/>
      <c r="GOL53" s="556"/>
      <c r="GOM53" s="556"/>
      <c r="GON53" s="556"/>
      <c r="GOO53" s="556"/>
      <c r="GOP53" s="556"/>
      <c r="GOQ53" s="556"/>
      <c r="GOR53" s="556"/>
      <c r="GOS53" s="556"/>
      <c r="GOT53" s="556"/>
      <c r="GOU53" s="556"/>
      <c r="GOV53" s="556"/>
      <c r="GOW53" s="556"/>
      <c r="GOX53" s="556"/>
      <c r="GOY53" s="556"/>
      <c r="GOZ53" s="556"/>
      <c r="GPA53" s="556"/>
      <c r="GPB53" s="556"/>
      <c r="GPC53" s="556"/>
      <c r="GPD53" s="556"/>
      <c r="GPE53" s="556"/>
      <c r="GPF53" s="556"/>
      <c r="GPG53" s="556"/>
      <c r="GPH53" s="556"/>
      <c r="GPI53" s="556"/>
      <c r="GPJ53" s="556"/>
      <c r="GPK53" s="556"/>
      <c r="GPL53" s="556"/>
      <c r="GPM53" s="556"/>
      <c r="GPN53" s="556"/>
      <c r="GPO53" s="556"/>
      <c r="GPP53" s="556"/>
      <c r="GPQ53" s="556"/>
      <c r="GPR53" s="556"/>
      <c r="GPS53" s="556"/>
      <c r="GPT53" s="556"/>
      <c r="GPU53" s="556"/>
      <c r="GPV53" s="556"/>
      <c r="GPW53" s="556"/>
      <c r="GPX53" s="556"/>
      <c r="GPY53" s="556"/>
      <c r="GPZ53" s="556"/>
      <c r="GQA53" s="556"/>
      <c r="GQB53" s="556"/>
      <c r="GQC53" s="556"/>
      <c r="GQD53" s="556"/>
      <c r="GQE53" s="556"/>
      <c r="GQF53" s="556"/>
      <c r="GQG53" s="556"/>
      <c r="GQH53" s="556"/>
      <c r="GQI53" s="556"/>
      <c r="GQJ53" s="556"/>
      <c r="GQK53" s="556"/>
      <c r="GQL53" s="556"/>
      <c r="GQM53" s="556"/>
      <c r="GQN53" s="556"/>
      <c r="GQO53" s="556"/>
      <c r="GQP53" s="556"/>
      <c r="GQQ53" s="556"/>
      <c r="GQR53" s="556"/>
      <c r="GQS53" s="556"/>
      <c r="GQT53" s="556"/>
      <c r="GQU53" s="556"/>
      <c r="GQV53" s="556"/>
      <c r="GQW53" s="556"/>
      <c r="GQX53" s="556"/>
      <c r="GQY53" s="556"/>
      <c r="GQZ53" s="556"/>
      <c r="GRA53" s="556"/>
      <c r="GRB53" s="556"/>
      <c r="GRC53" s="556"/>
      <c r="GRD53" s="556"/>
      <c r="GRE53" s="556"/>
      <c r="GRF53" s="556"/>
      <c r="GRG53" s="556"/>
      <c r="GRH53" s="556"/>
      <c r="GRI53" s="556"/>
      <c r="GRJ53" s="556"/>
      <c r="GRK53" s="556"/>
      <c r="GRL53" s="556"/>
      <c r="GRM53" s="556"/>
      <c r="GRN53" s="556"/>
      <c r="GRO53" s="556"/>
      <c r="GRP53" s="556"/>
      <c r="GRQ53" s="556"/>
      <c r="GRR53" s="556"/>
      <c r="GRS53" s="556"/>
      <c r="GRT53" s="556"/>
      <c r="GRU53" s="556"/>
      <c r="GRV53" s="556"/>
      <c r="GRW53" s="556"/>
      <c r="GRX53" s="556"/>
      <c r="GRY53" s="556"/>
      <c r="GRZ53" s="556"/>
      <c r="GSA53" s="556"/>
      <c r="GSB53" s="556"/>
      <c r="GSC53" s="556"/>
      <c r="GSD53" s="556"/>
      <c r="GSE53" s="556"/>
      <c r="GSF53" s="556"/>
      <c r="GSG53" s="556"/>
      <c r="GSH53" s="556"/>
      <c r="GSI53" s="556"/>
      <c r="GSJ53" s="556"/>
      <c r="GSK53" s="556"/>
      <c r="GSL53" s="556"/>
      <c r="GSM53" s="556"/>
      <c r="GSN53" s="556"/>
      <c r="GSO53" s="556"/>
      <c r="GSP53" s="556"/>
      <c r="GSQ53" s="556"/>
      <c r="GSR53" s="556"/>
      <c r="GSS53" s="556"/>
      <c r="GST53" s="556"/>
      <c r="GSU53" s="556"/>
      <c r="GSV53" s="556"/>
      <c r="GSW53" s="556"/>
      <c r="GSX53" s="556"/>
      <c r="GSY53" s="556"/>
      <c r="GSZ53" s="556"/>
      <c r="GTA53" s="556"/>
      <c r="GTB53" s="556"/>
      <c r="GTC53" s="556"/>
      <c r="GTD53" s="556"/>
      <c r="GTE53" s="556"/>
      <c r="GTF53" s="556"/>
      <c r="GTG53" s="556"/>
      <c r="GTH53" s="556"/>
      <c r="GTI53" s="556"/>
      <c r="GTJ53" s="556"/>
      <c r="GTK53" s="556"/>
      <c r="GTL53" s="556"/>
      <c r="GTM53" s="556"/>
      <c r="GTN53" s="556"/>
      <c r="GTO53" s="556"/>
      <c r="GTP53" s="556"/>
      <c r="GTQ53" s="556"/>
      <c r="GTR53" s="556"/>
      <c r="GTS53" s="556"/>
      <c r="GTT53" s="556"/>
      <c r="GTU53" s="556"/>
      <c r="GTV53" s="556"/>
      <c r="GTW53" s="556"/>
      <c r="GTX53" s="556"/>
      <c r="GTY53" s="556"/>
      <c r="GTZ53" s="556"/>
      <c r="GUA53" s="556"/>
      <c r="GUB53" s="556"/>
      <c r="GUC53" s="556"/>
      <c r="GUD53" s="556"/>
      <c r="GUE53" s="556"/>
      <c r="GUF53" s="556"/>
      <c r="GUG53" s="556"/>
      <c r="GUH53" s="556"/>
      <c r="GUI53" s="556"/>
      <c r="GUJ53" s="556"/>
      <c r="GUK53" s="556"/>
      <c r="GUL53" s="556"/>
      <c r="GUM53" s="556"/>
      <c r="GUN53" s="556"/>
      <c r="GUO53" s="556"/>
      <c r="GUP53" s="556"/>
      <c r="GUQ53" s="556"/>
      <c r="GUR53" s="556"/>
      <c r="GUS53" s="556"/>
      <c r="GUT53" s="556"/>
      <c r="GUU53" s="556"/>
      <c r="GUV53" s="556"/>
      <c r="GUW53" s="556"/>
      <c r="GUX53" s="556"/>
      <c r="GUY53" s="556"/>
      <c r="GUZ53" s="556"/>
      <c r="GVA53" s="556"/>
      <c r="GVB53" s="556"/>
      <c r="GVC53" s="556"/>
      <c r="GVD53" s="556"/>
      <c r="GVE53" s="556"/>
      <c r="GVF53" s="556"/>
      <c r="GVG53" s="556"/>
      <c r="GVH53" s="556"/>
      <c r="GVI53" s="556"/>
      <c r="GVJ53" s="556"/>
      <c r="GVK53" s="556"/>
      <c r="GVL53" s="556"/>
      <c r="GVM53" s="556"/>
      <c r="GVN53" s="556"/>
      <c r="GVO53" s="556"/>
      <c r="GVP53" s="556"/>
      <c r="GVQ53" s="556"/>
      <c r="GVR53" s="556"/>
      <c r="GVS53" s="556"/>
      <c r="GVT53" s="556"/>
      <c r="GVU53" s="556"/>
      <c r="GVV53" s="556"/>
      <c r="GVW53" s="556"/>
      <c r="GVX53" s="556"/>
      <c r="GVY53" s="556"/>
      <c r="GVZ53" s="556"/>
      <c r="GWA53" s="556"/>
      <c r="GWB53" s="556"/>
      <c r="GWC53" s="556"/>
      <c r="GWD53" s="556"/>
      <c r="GWE53" s="556"/>
      <c r="GWF53" s="556"/>
      <c r="GWG53" s="556"/>
      <c r="GWH53" s="556"/>
      <c r="GWI53" s="556"/>
      <c r="GWJ53" s="556"/>
      <c r="GWK53" s="556"/>
      <c r="GWL53" s="556"/>
      <c r="GWM53" s="556"/>
      <c r="GWN53" s="556"/>
      <c r="GWO53" s="556"/>
      <c r="GWP53" s="556"/>
      <c r="GWQ53" s="556"/>
      <c r="GWR53" s="556"/>
      <c r="GWS53" s="556"/>
      <c r="GWT53" s="556"/>
      <c r="GWU53" s="556"/>
      <c r="GWV53" s="556"/>
      <c r="GWW53" s="556"/>
      <c r="GWX53" s="556"/>
      <c r="GWY53" s="556"/>
      <c r="GWZ53" s="556"/>
      <c r="GXA53" s="556"/>
      <c r="GXB53" s="556"/>
      <c r="GXC53" s="556"/>
      <c r="GXD53" s="556"/>
      <c r="GXE53" s="556"/>
      <c r="GXF53" s="556"/>
      <c r="GXG53" s="556"/>
      <c r="GXH53" s="556"/>
      <c r="GXI53" s="556"/>
      <c r="GXJ53" s="556"/>
      <c r="GXK53" s="556"/>
      <c r="GXL53" s="556"/>
      <c r="GXM53" s="556"/>
      <c r="GXN53" s="556"/>
      <c r="GXO53" s="556"/>
      <c r="GXP53" s="556"/>
      <c r="GXQ53" s="556"/>
      <c r="GXR53" s="556"/>
      <c r="GXS53" s="556"/>
      <c r="GXT53" s="556"/>
      <c r="GXU53" s="556"/>
      <c r="GXV53" s="556"/>
      <c r="GXW53" s="556"/>
      <c r="GXX53" s="556"/>
      <c r="GXY53" s="556"/>
      <c r="GXZ53" s="556"/>
      <c r="GYA53" s="556"/>
      <c r="GYB53" s="556"/>
      <c r="GYC53" s="556"/>
      <c r="GYD53" s="556"/>
      <c r="GYE53" s="556"/>
      <c r="GYF53" s="556"/>
      <c r="GYG53" s="556"/>
      <c r="GYH53" s="556"/>
      <c r="GYI53" s="556"/>
      <c r="GYJ53" s="556"/>
      <c r="GYK53" s="556"/>
      <c r="GYL53" s="556"/>
      <c r="GYM53" s="556"/>
      <c r="GYN53" s="556"/>
      <c r="GYO53" s="556"/>
      <c r="GYP53" s="556"/>
      <c r="GYQ53" s="556"/>
      <c r="GYR53" s="556"/>
      <c r="GYS53" s="556"/>
      <c r="GYT53" s="556"/>
      <c r="GYU53" s="556"/>
      <c r="GYV53" s="556"/>
      <c r="GYW53" s="556"/>
      <c r="GYX53" s="556"/>
      <c r="GYY53" s="556"/>
      <c r="GYZ53" s="556"/>
      <c r="GZA53" s="556"/>
      <c r="GZB53" s="556"/>
      <c r="GZC53" s="556"/>
      <c r="GZD53" s="556"/>
      <c r="GZE53" s="556"/>
      <c r="GZF53" s="556"/>
      <c r="GZG53" s="556"/>
      <c r="GZH53" s="556"/>
      <c r="GZI53" s="556"/>
      <c r="GZJ53" s="556"/>
      <c r="GZK53" s="556"/>
      <c r="GZL53" s="556"/>
      <c r="GZM53" s="556"/>
      <c r="GZN53" s="556"/>
      <c r="GZO53" s="556"/>
      <c r="GZP53" s="556"/>
      <c r="GZQ53" s="556"/>
      <c r="GZR53" s="556"/>
      <c r="GZS53" s="556"/>
      <c r="GZT53" s="556"/>
      <c r="GZU53" s="556"/>
      <c r="GZV53" s="556"/>
      <c r="GZW53" s="556"/>
      <c r="GZX53" s="556"/>
      <c r="GZY53" s="556"/>
      <c r="GZZ53" s="556"/>
      <c r="HAA53" s="556"/>
      <c r="HAB53" s="556"/>
      <c r="HAC53" s="556"/>
      <c r="HAD53" s="556"/>
      <c r="HAE53" s="556"/>
      <c r="HAF53" s="556"/>
      <c r="HAG53" s="556"/>
      <c r="HAH53" s="556"/>
      <c r="HAI53" s="556"/>
      <c r="HAJ53" s="556"/>
      <c r="HAK53" s="556"/>
      <c r="HAL53" s="556"/>
      <c r="HAM53" s="556"/>
      <c r="HAN53" s="556"/>
      <c r="HAO53" s="556"/>
      <c r="HAP53" s="556"/>
      <c r="HAQ53" s="556"/>
      <c r="HAR53" s="556"/>
      <c r="HAS53" s="556"/>
      <c r="HAT53" s="556"/>
      <c r="HAU53" s="556"/>
      <c r="HAV53" s="556"/>
      <c r="HAW53" s="556"/>
      <c r="HAX53" s="556"/>
      <c r="HAY53" s="556"/>
      <c r="HAZ53" s="556"/>
      <c r="HBA53" s="556"/>
      <c r="HBB53" s="556"/>
      <c r="HBC53" s="556"/>
      <c r="HBD53" s="556"/>
      <c r="HBE53" s="556"/>
      <c r="HBF53" s="556"/>
      <c r="HBG53" s="556"/>
      <c r="HBH53" s="556"/>
      <c r="HBI53" s="556"/>
      <c r="HBJ53" s="556"/>
      <c r="HBK53" s="556"/>
      <c r="HBL53" s="556"/>
      <c r="HBM53" s="556"/>
      <c r="HBN53" s="556"/>
      <c r="HBO53" s="556"/>
      <c r="HBP53" s="556"/>
      <c r="HBQ53" s="556"/>
      <c r="HBR53" s="556"/>
      <c r="HBS53" s="556"/>
      <c r="HBT53" s="556"/>
      <c r="HBU53" s="556"/>
      <c r="HBV53" s="556"/>
      <c r="HBW53" s="556"/>
      <c r="HBX53" s="556"/>
      <c r="HBY53" s="556"/>
      <c r="HBZ53" s="556"/>
      <c r="HCA53" s="556"/>
      <c r="HCB53" s="556"/>
      <c r="HCC53" s="556"/>
      <c r="HCD53" s="556"/>
      <c r="HCE53" s="556"/>
      <c r="HCF53" s="556"/>
      <c r="HCG53" s="556"/>
      <c r="HCH53" s="556"/>
      <c r="HCI53" s="556"/>
      <c r="HCJ53" s="556"/>
      <c r="HCK53" s="556"/>
      <c r="HCL53" s="556"/>
      <c r="HCM53" s="556"/>
      <c r="HCN53" s="556"/>
      <c r="HCO53" s="556"/>
      <c r="HCP53" s="556"/>
      <c r="HCQ53" s="556"/>
      <c r="HCR53" s="556"/>
      <c r="HCS53" s="556"/>
      <c r="HCT53" s="556"/>
      <c r="HCU53" s="556"/>
      <c r="HCV53" s="556"/>
      <c r="HCW53" s="556"/>
      <c r="HCX53" s="556"/>
      <c r="HCY53" s="556"/>
      <c r="HCZ53" s="556"/>
      <c r="HDA53" s="556"/>
      <c r="HDB53" s="556"/>
      <c r="HDC53" s="556"/>
      <c r="HDD53" s="556"/>
      <c r="HDE53" s="556"/>
      <c r="HDF53" s="556"/>
      <c r="HDG53" s="556"/>
      <c r="HDH53" s="556"/>
      <c r="HDI53" s="556"/>
      <c r="HDJ53" s="556"/>
      <c r="HDK53" s="556"/>
      <c r="HDL53" s="556"/>
      <c r="HDM53" s="556"/>
      <c r="HDN53" s="556"/>
      <c r="HDO53" s="556"/>
      <c r="HDP53" s="556"/>
      <c r="HDQ53" s="556"/>
      <c r="HDR53" s="556"/>
      <c r="HDS53" s="556"/>
      <c r="HDT53" s="556"/>
      <c r="HDU53" s="556"/>
      <c r="HDV53" s="556"/>
      <c r="HDW53" s="556"/>
      <c r="HDX53" s="556"/>
      <c r="HDY53" s="556"/>
      <c r="HDZ53" s="556"/>
      <c r="HEA53" s="556"/>
      <c r="HEB53" s="556"/>
      <c r="HEC53" s="556"/>
      <c r="HED53" s="556"/>
      <c r="HEE53" s="556"/>
      <c r="HEF53" s="556"/>
      <c r="HEG53" s="556"/>
      <c r="HEH53" s="556"/>
      <c r="HEI53" s="556"/>
      <c r="HEJ53" s="556"/>
      <c r="HEK53" s="556"/>
      <c r="HEL53" s="556"/>
      <c r="HEM53" s="556"/>
      <c r="HEN53" s="556"/>
      <c r="HEO53" s="556"/>
      <c r="HEP53" s="556"/>
      <c r="HEQ53" s="556"/>
      <c r="HER53" s="556"/>
      <c r="HES53" s="556"/>
      <c r="HET53" s="556"/>
      <c r="HEU53" s="556"/>
      <c r="HEV53" s="556"/>
      <c r="HEW53" s="556"/>
      <c r="HEX53" s="556"/>
      <c r="HEY53" s="556"/>
      <c r="HEZ53" s="556"/>
      <c r="HFA53" s="556"/>
      <c r="HFB53" s="556"/>
      <c r="HFC53" s="556"/>
      <c r="HFD53" s="556"/>
      <c r="HFE53" s="556"/>
      <c r="HFF53" s="556"/>
      <c r="HFG53" s="556"/>
      <c r="HFH53" s="556"/>
      <c r="HFI53" s="556"/>
      <c r="HFJ53" s="556"/>
      <c r="HFK53" s="556"/>
      <c r="HFL53" s="556"/>
      <c r="HFM53" s="556"/>
      <c r="HFN53" s="556"/>
      <c r="HFO53" s="556"/>
      <c r="HFP53" s="556"/>
      <c r="HFQ53" s="556"/>
      <c r="HFR53" s="556"/>
      <c r="HFS53" s="556"/>
      <c r="HFT53" s="556"/>
      <c r="HFU53" s="556"/>
      <c r="HFV53" s="556"/>
      <c r="HFW53" s="556"/>
      <c r="HFX53" s="556"/>
      <c r="HFY53" s="556"/>
      <c r="HFZ53" s="556"/>
      <c r="HGA53" s="556"/>
      <c r="HGB53" s="556"/>
      <c r="HGC53" s="556"/>
      <c r="HGD53" s="556"/>
      <c r="HGE53" s="556"/>
      <c r="HGF53" s="556"/>
      <c r="HGG53" s="556"/>
      <c r="HGH53" s="556"/>
      <c r="HGI53" s="556"/>
      <c r="HGJ53" s="556"/>
      <c r="HGK53" s="556"/>
      <c r="HGL53" s="556"/>
      <c r="HGM53" s="556"/>
      <c r="HGN53" s="556"/>
      <c r="HGO53" s="556"/>
      <c r="HGP53" s="556"/>
      <c r="HGQ53" s="556"/>
      <c r="HGR53" s="556"/>
      <c r="HGS53" s="556"/>
      <c r="HGT53" s="556"/>
      <c r="HGU53" s="556"/>
      <c r="HGV53" s="556"/>
      <c r="HGW53" s="556"/>
      <c r="HGX53" s="556"/>
      <c r="HGY53" s="556"/>
      <c r="HGZ53" s="556"/>
      <c r="HHA53" s="556"/>
      <c r="HHB53" s="556"/>
      <c r="HHC53" s="556"/>
      <c r="HHD53" s="556"/>
      <c r="HHE53" s="556"/>
      <c r="HHF53" s="556"/>
      <c r="HHG53" s="556"/>
      <c r="HHH53" s="556"/>
      <c r="HHI53" s="556"/>
      <c r="HHJ53" s="556"/>
      <c r="HHK53" s="556"/>
      <c r="HHL53" s="556"/>
      <c r="HHM53" s="556"/>
      <c r="HHN53" s="556"/>
      <c r="HHO53" s="556"/>
      <c r="HHP53" s="556"/>
      <c r="HHQ53" s="556"/>
      <c r="HHR53" s="556"/>
      <c r="HHS53" s="556"/>
      <c r="HHT53" s="556"/>
      <c r="HHU53" s="556"/>
      <c r="HHV53" s="556"/>
      <c r="HHW53" s="556"/>
      <c r="HHX53" s="556"/>
      <c r="HHY53" s="556"/>
      <c r="HHZ53" s="556"/>
      <c r="HIA53" s="556"/>
      <c r="HIB53" s="556"/>
      <c r="HIC53" s="556"/>
      <c r="HID53" s="556"/>
      <c r="HIE53" s="556"/>
      <c r="HIF53" s="556"/>
      <c r="HIG53" s="556"/>
      <c r="HIH53" s="556"/>
      <c r="HII53" s="556"/>
      <c r="HIJ53" s="556"/>
      <c r="HIK53" s="556"/>
      <c r="HIL53" s="556"/>
      <c r="HIM53" s="556"/>
      <c r="HIN53" s="556"/>
      <c r="HIO53" s="556"/>
      <c r="HIP53" s="556"/>
      <c r="HIQ53" s="556"/>
      <c r="HIR53" s="556"/>
      <c r="HIS53" s="556"/>
      <c r="HIT53" s="556"/>
      <c r="HIU53" s="556"/>
      <c r="HIV53" s="556"/>
      <c r="HIW53" s="556"/>
      <c r="HIX53" s="556"/>
      <c r="HIY53" s="556"/>
      <c r="HIZ53" s="556"/>
      <c r="HJA53" s="556"/>
      <c r="HJB53" s="556"/>
      <c r="HJC53" s="556"/>
      <c r="HJD53" s="556"/>
      <c r="HJE53" s="556"/>
      <c r="HJF53" s="556"/>
      <c r="HJG53" s="556"/>
      <c r="HJH53" s="556"/>
      <c r="HJI53" s="556"/>
      <c r="HJJ53" s="556"/>
      <c r="HJK53" s="556"/>
      <c r="HJL53" s="556"/>
      <c r="HJM53" s="556"/>
      <c r="HJN53" s="556"/>
      <c r="HJO53" s="556"/>
      <c r="HJP53" s="556"/>
      <c r="HJQ53" s="556"/>
      <c r="HJR53" s="556"/>
      <c r="HJS53" s="556"/>
      <c r="HJT53" s="556"/>
      <c r="HJU53" s="556"/>
      <c r="HJV53" s="556"/>
      <c r="HJW53" s="556"/>
      <c r="HJX53" s="556"/>
      <c r="HJY53" s="556"/>
      <c r="HJZ53" s="556"/>
      <c r="HKA53" s="556"/>
      <c r="HKB53" s="556"/>
      <c r="HKC53" s="556"/>
      <c r="HKD53" s="556"/>
      <c r="HKE53" s="556"/>
      <c r="HKF53" s="556"/>
      <c r="HKG53" s="556"/>
      <c r="HKH53" s="556"/>
      <c r="HKI53" s="556"/>
      <c r="HKJ53" s="556"/>
      <c r="HKK53" s="556"/>
      <c r="HKL53" s="556"/>
      <c r="HKM53" s="556"/>
      <c r="HKN53" s="556"/>
      <c r="HKO53" s="556"/>
      <c r="HKP53" s="556"/>
      <c r="HKQ53" s="556"/>
      <c r="HKR53" s="556"/>
      <c r="HKS53" s="556"/>
      <c r="HKT53" s="556"/>
      <c r="HKU53" s="556"/>
      <c r="HKV53" s="556"/>
      <c r="HKW53" s="556"/>
      <c r="HKX53" s="556"/>
      <c r="HKY53" s="556"/>
      <c r="HKZ53" s="556"/>
      <c r="HLA53" s="556"/>
      <c r="HLB53" s="556"/>
      <c r="HLC53" s="556"/>
      <c r="HLD53" s="556"/>
      <c r="HLE53" s="556"/>
      <c r="HLF53" s="556"/>
      <c r="HLG53" s="556"/>
      <c r="HLH53" s="556"/>
      <c r="HLI53" s="556"/>
      <c r="HLJ53" s="556"/>
      <c r="HLK53" s="556"/>
      <c r="HLL53" s="556"/>
      <c r="HLM53" s="556"/>
      <c r="HLN53" s="556"/>
      <c r="HLO53" s="556"/>
      <c r="HLP53" s="556"/>
      <c r="HLQ53" s="556"/>
      <c r="HLR53" s="556"/>
      <c r="HLS53" s="556"/>
      <c r="HLT53" s="556"/>
      <c r="HLU53" s="556"/>
      <c r="HLV53" s="556"/>
      <c r="HLW53" s="556"/>
      <c r="HLX53" s="556"/>
      <c r="HLY53" s="556"/>
      <c r="HLZ53" s="556"/>
      <c r="HMA53" s="556"/>
      <c r="HMB53" s="556"/>
      <c r="HMC53" s="556"/>
      <c r="HMD53" s="556"/>
      <c r="HME53" s="556"/>
      <c r="HMF53" s="556"/>
      <c r="HMG53" s="556"/>
      <c r="HMH53" s="556"/>
      <c r="HMI53" s="556"/>
      <c r="HMJ53" s="556"/>
      <c r="HMK53" s="556"/>
      <c r="HML53" s="556"/>
      <c r="HMM53" s="556"/>
      <c r="HMN53" s="556"/>
      <c r="HMO53" s="556"/>
      <c r="HMP53" s="556"/>
      <c r="HMQ53" s="556"/>
      <c r="HMR53" s="556"/>
      <c r="HMS53" s="556"/>
      <c r="HMT53" s="556"/>
      <c r="HMU53" s="556"/>
      <c r="HMV53" s="556"/>
      <c r="HMW53" s="556"/>
      <c r="HMX53" s="556"/>
      <c r="HMY53" s="556"/>
      <c r="HMZ53" s="556"/>
      <c r="HNA53" s="556"/>
      <c r="HNB53" s="556"/>
      <c r="HNC53" s="556"/>
      <c r="HND53" s="556"/>
      <c r="HNE53" s="556"/>
      <c r="HNF53" s="556"/>
      <c r="HNG53" s="556"/>
      <c r="HNH53" s="556"/>
      <c r="HNI53" s="556"/>
      <c r="HNJ53" s="556"/>
      <c r="HNK53" s="556"/>
      <c r="HNL53" s="556"/>
      <c r="HNM53" s="556"/>
      <c r="HNN53" s="556"/>
      <c r="HNO53" s="556"/>
      <c r="HNP53" s="556"/>
      <c r="HNQ53" s="556"/>
      <c r="HNR53" s="556"/>
      <c r="HNS53" s="556"/>
      <c r="HNT53" s="556"/>
      <c r="HNU53" s="556"/>
      <c r="HNV53" s="556"/>
      <c r="HNW53" s="556"/>
      <c r="HNX53" s="556"/>
      <c r="HNY53" s="556"/>
      <c r="HNZ53" s="556"/>
      <c r="HOA53" s="556"/>
      <c r="HOB53" s="556"/>
      <c r="HOC53" s="556"/>
      <c r="HOD53" s="556"/>
      <c r="HOE53" s="556"/>
      <c r="HOF53" s="556"/>
      <c r="HOG53" s="556"/>
      <c r="HOH53" s="556"/>
      <c r="HOI53" s="556"/>
      <c r="HOJ53" s="556"/>
      <c r="HOK53" s="556"/>
      <c r="HOL53" s="556"/>
      <c r="HOM53" s="556"/>
      <c r="HON53" s="556"/>
      <c r="HOO53" s="556"/>
      <c r="HOP53" s="556"/>
      <c r="HOQ53" s="556"/>
      <c r="HOR53" s="556"/>
      <c r="HOS53" s="556"/>
      <c r="HOT53" s="556"/>
      <c r="HOU53" s="556"/>
      <c r="HOV53" s="556"/>
      <c r="HOW53" s="556"/>
      <c r="HOX53" s="556"/>
      <c r="HOY53" s="556"/>
      <c r="HOZ53" s="556"/>
      <c r="HPA53" s="556"/>
      <c r="HPB53" s="556"/>
      <c r="HPC53" s="556"/>
      <c r="HPD53" s="556"/>
      <c r="HPE53" s="556"/>
      <c r="HPF53" s="556"/>
      <c r="HPG53" s="556"/>
      <c r="HPH53" s="556"/>
      <c r="HPI53" s="556"/>
      <c r="HPJ53" s="556"/>
      <c r="HPK53" s="556"/>
      <c r="HPL53" s="556"/>
      <c r="HPM53" s="556"/>
      <c r="HPN53" s="556"/>
      <c r="HPO53" s="556"/>
      <c r="HPP53" s="556"/>
      <c r="HPQ53" s="556"/>
      <c r="HPR53" s="556"/>
      <c r="HPS53" s="556"/>
      <c r="HPT53" s="556"/>
      <c r="HPU53" s="556"/>
      <c r="HPV53" s="556"/>
      <c r="HPW53" s="556"/>
      <c r="HPX53" s="556"/>
      <c r="HPY53" s="556"/>
      <c r="HPZ53" s="556"/>
      <c r="HQA53" s="556"/>
      <c r="HQB53" s="556"/>
      <c r="HQC53" s="556"/>
      <c r="HQD53" s="556"/>
      <c r="HQE53" s="556"/>
      <c r="HQF53" s="556"/>
      <c r="HQG53" s="556"/>
      <c r="HQH53" s="556"/>
      <c r="HQI53" s="556"/>
      <c r="HQJ53" s="556"/>
      <c r="HQK53" s="556"/>
      <c r="HQL53" s="556"/>
      <c r="HQM53" s="556"/>
      <c r="HQN53" s="556"/>
      <c r="HQO53" s="556"/>
      <c r="HQP53" s="556"/>
      <c r="HQQ53" s="556"/>
      <c r="HQR53" s="556"/>
      <c r="HQS53" s="556"/>
      <c r="HQT53" s="556"/>
      <c r="HQU53" s="556"/>
      <c r="HQV53" s="556"/>
      <c r="HQW53" s="556"/>
      <c r="HQX53" s="556"/>
      <c r="HQY53" s="556"/>
      <c r="HQZ53" s="556"/>
      <c r="HRA53" s="556"/>
      <c r="HRB53" s="556"/>
      <c r="HRC53" s="556"/>
      <c r="HRD53" s="556"/>
      <c r="HRE53" s="556"/>
      <c r="HRF53" s="556"/>
      <c r="HRG53" s="556"/>
      <c r="HRH53" s="556"/>
      <c r="HRI53" s="556"/>
      <c r="HRJ53" s="556"/>
      <c r="HRK53" s="556"/>
      <c r="HRL53" s="556"/>
      <c r="HRM53" s="556"/>
      <c r="HRN53" s="556"/>
      <c r="HRO53" s="556"/>
      <c r="HRP53" s="556"/>
      <c r="HRQ53" s="556"/>
      <c r="HRR53" s="556"/>
      <c r="HRS53" s="556"/>
      <c r="HRT53" s="556"/>
      <c r="HRU53" s="556"/>
      <c r="HRV53" s="556"/>
      <c r="HRW53" s="556"/>
      <c r="HRX53" s="556"/>
      <c r="HRY53" s="556"/>
      <c r="HRZ53" s="556"/>
      <c r="HSA53" s="556"/>
      <c r="HSB53" s="556"/>
      <c r="HSC53" s="556"/>
      <c r="HSD53" s="556"/>
      <c r="HSE53" s="556"/>
      <c r="HSF53" s="556"/>
      <c r="HSG53" s="556"/>
      <c r="HSH53" s="556"/>
      <c r="HSI53" s="556"/>
      <c r="HSJ53" s="556"/>
      <c r="HSK53" s="556"/>
      <c r="HSL53" s="556"/>
      <c r="HSM53" s="556"/>
      <c r="HSN53" s="556"/>
      <c r="HSO53" s="556"/>
      <c r="HSP53" s="556"/>
      <c r="HSQ53" s="556"/>
      <c r="HSR53" s="556"/>
      <c r="HSS53" s="556"/>
      <c r="HST53" s="556"/>
      <c r="HSU53" s="556"/>
      <c r="HSV53" s="556"/>
      <c r="HSW53" s="556"/>
      <c r="HSX53" s="556"/>
      <c r="HSY53" s="556"/>
      <c r="HSZ53" s="556"/>
      <c r="HTA53" s="556"/>
      <c r="HTB53" s="556"/>
      <c r="HTC53" s="556"/>
      <c r="HTD53" s="556"/>
      <c r="HTE53" s="556"/>
      <c r="HTF53" s="556"/>
      <c r="HTG53" s="556"/>
      <c r="HTH53" s="556"/>
      <c r="HTI53" s="556"/>
      <c r="HTJ53" s="556"/>
      <c r="HTK53" s="556"/>
      <c r="HTL53" s="556"/>
      <c r="HTM53" s="556"/>
      <c r="HTN53" s="556"/>
      <c r="HTO53" s="556"/>
      <c r="HTP53" s="556"/>
      <c r="HTQ53" s="556"/>
      <c r="HTR53" s="556"/>
      <c r="HTS53" s="556"/>
      <c r="HTT53" s="556"/>
      <c r="HTU53" s="556"/>
      <c r="HTV53" s="556"/>
      <c r="HTW53" s="556"/>
      <c r="HTX53" s="556"/>
      <c r="HTY53" s="556"/>
      <c r="HTZ53" s="556"/>
      <c r="HUA53" s="556"/>
      <c r="HUB53" s="556"/>
      <c r="HUC53" s="556"/>
      <c r="HUD53" s="556"/>
      <c r="HUE53" s="556"/>
      <c r="HUF53" s="556"/>
      <c r="HUG53" s="556"/>
      <c r="HUH53" s="556"/>
      <c r="HUI53" s="556"/>
      <c r="HUJ53" s="556"/>
      <c r="HUK53" s="556"/>
      <c r="HUL53" s="556"/>
      <c r="HUM53" s="556"/>
      <c r="HUN53" s="556"/>
      <c r="HUO53" s="556"/>
      <c r="HUP53" s="556"/>
      <c r="HUQ53" s="556"/>
      <c r="HUR53" s="556"/>
      <c r="HUS53" s="556"/>
      <c r="HUT53" s="556"/>
      <c r="HUU53" s="556"/>
      <c r="HUV53" s="556"/>
      <c r="HUW53" s="556"/>
      <c r="HUX53" s="556"/>
      <c r="HUY53" s="556"/>
      <c r="HUZ53" s="556"/>
      <c r="HVA53" s="556"/>
      <c r="HVB53" s="556"/>
      <c r="HVC53" s="556"/>
      <c r="HVD53" s="556"/>
      <c r="HVE53" s="556"/>
      <c r="HVF53" s="556"/>
      <c r="HVG53" s="556"/>
      <c r="HVH53" s="556"/>
      <c r="HVI53" s="556"/>
      <c r="HVJ53" s="556"/>
      <c r="HVK53" s="556"/>
      <c r="HVL53" s="556"/>
      <c r="HVM53" s="556"/>
      <c r="HVN53" s="556"/>
      <c r="HVO53" s="556"/>
      <c r="HVP53" s="556"/>
      <c r="HVQ53" s="556"/>
      <c r="HVR53" s="556"/>
      <c r="HVS53" s="556"/>
      <c r="HVT53" s="556"/>
      <c r="HVU53" s="556"/>
      <c r="HVV53" s="556"/>
      <c r="HVW53" s="556"/>
      <c r="HVX53" s="556"/>
      <c r="HVY53" s="556"/>
      <c r="HVZ53" s="556"/>
      <c r="HWA53" s="556"/>
      <c r="HWB53" s="556"/>
      <c r="HWC53" s="556"/>
      <c r="HWD53" s="556"/>
      <c r="HWE53" s="556"/>
      <c r="HWF53" s="556"/>
      <c r="HWG53" s="556"/>
      <c r="HWH53" s="556"/>
      <c r="HWI53" s="556"/>
      <c r="HWJ53" s="556"/>
      <c r="HWK53" s="556"/>
      <c r="HWL53" s="556"/>
      <c r="HWM53" s="556"/>
      <c r="HWN53" s="556"/>
      <c r="HWO53" s="556"/>
      <c r="HWP53" s="556"/>
      <c r="HWQ53" s="556"/>
      <c r="HWR53" s="556"/>
      <c r="HWS53" s="556"/>
      <c r="HWT53" s="556"/>
      <c r="HWU53" s="556"/>
      <c r="HWV53" s="556"/>
      <c r="HWW53" s="556"/>
      <c r="HWX53" s="556"/>
      <c r="HWY53" s="556"/>
      <c r="HWZ53" s="556"/>
      <c r="HXA53" s="556"/>
      <c r="HXB53" s="556"/>
      <c r="HXC53" s="556"/>
      <c r="HXD53" s="556"/>
      <c r="HXE53" s="556"/>
      <c r="HXF53" s="556"/>
      <c r="HXG53" s="556"/>
      <c r="HXH53" s="556"/>
      <c r="HXI53" s="556"/>
      <c r="HXJ53" s="556"/>
      <c r="HXK53" s="556"/>
      <c r="HXL53" s="556"/>
      <c r="HXM53" s="556"/>
      <c r="HXN53" s="556"/>
      <c r="HXO53" s="556"/>
      <c r="HXP53" s="556"/>
      <c r="HXQ53" s="556"/>
      <c r="HXR53" s="556"/>
      <c r="HXS53" s="556"/>
      <c r="HXT53" s="556"/>
      <c r="HXU53" s="556"/>
      <c r="HXV53" s="556"/>
      <c r="HXW53" s="556"/>
      <c r="HXX53" s="556"/>
      <c r="HXY53" s="556"/>
      <c r="HXZ53" s="556"/>
      <c r="HYA53" s="556"/>
      <c r="HYB53" s="556"/>
      <c r="HYC53" s="556"/>
      <c r="HYD53" s="556"/>
      <c r="HYE53" s="556"/>
      <c r="HYF53" s="556"/>
      <c r="HYG53" s="556"/>
      <c r="HYH53" s="556"/>
      <c r="HYI53" s="556"/>
      <c r="HYJ53" s="556"/>
      <c r="HYK53" s="556"/>
      <c r="HYL53" s="556"/>
      <c r="HYM53" s="556"/>
      <c r="HYN53" s="556"/>
      <c r="HYO53" s="556"/>
      <c r="HYP53" s="556"/>
      <c r="HYQ53" s="556"/>
      <c r="HYR53" s="556"/>
      <c r="HYS53" s="556"/>
      <c r="HYT53" s="556"/>
      <c r="HYU53" s="556"/>
      <c r="HYV53" s="556"/>
      <c r="HYW53" s="556"/>
      <c r="HYX53" s="556"/>
      <c r="HYY53" s="556"/>
      <c r="HYZ53" s="556"/>
      <c r="HZA53" s="556"/>
      <c r="HZB53" s="556"/>
      <c r="HZC53" s="556"/>
      <c r="HZD53" s="556"/>
      <c r="HZE53" s="556"/>
      <c r="HZF53" s="556"/>
      <c r="HZG53" s="556"/>
      <c r="HZH53" s="556"/>
      <c r="HZI53" s="556"/>
      <c r="HZJ53" s="556"/>
      <c r="HZK53" s="556"/>
      <c r="HZL53" s="556"/>
      <c r="HZM53" s="556"/>
      <c r="HZN53" s="556"/>
      <c r="HZO53" s="556"/>
      <c r="HZP53" s="556"/>
      <c r="HZQ53" s="556"/>
      <c r="HZR53" s="556"/>
      <c r="HZS53" s="556"/>
      <c r="HZT53" s="556"/>
      <c r="HZU53" s="556"/>
      <c r="HZV53" s="556"/>
      <c r="HZW53" s="556"/>
      <c r="HZX53" s="556"/>
      <c r="HZY53" s="556"/>
      <c r="HZZ53" s="556"/>
      <c r="IAA53" s="556"/>
      <c r="IAB53" s="556"/>
      <c r="IAC53" s="556"/>
      <c r="IAD53" s="556"/>
      <c r="IAE53" s="556"/>
      <c r="IAF53" s="556"/>
      <c r="IAG53" s="556"/>
      <c r="IAH53" s="556"/>
      <c r="IAI53" s="556"/>
      <c r="IAJ53" s="556"/>
      <c r="IAK53" s="556"/>
      <c r="IAL53" s="556"/>
      <c r="IAM53" s="556"/>
      <c r="IAN53" s="556"/>
      <c r="IAO53" s="556"/>
      <c r="IAP53" s="556"/>
      <c r="IAQ53" s="556"/>
      <c r="IAR53" s="556"/>
      <c r="IAS53" s="556"/>
      <c r="IAT53" s="556"/>
      <c r="IAU53" s="556"/>
      <c r="IAV53" s="556"/>
      <c r="IAW53" s="556"/>
      <c r="IAX53" s="556"/>
      <c r="IAY53" s="556"/>
      <c r="IAZ53" s="556"/>
      <c r="IBA53" s="556"/>
      <c r="IBB53" s="556"/>
      <c r="IBC53" s="556"/>
      <c r="IBD53" s="556"/>
      <c r="IBE53" s="556"/>
      <c r="IBF53" s="556"/>
      <c r="IBG53" s="556"/>
      <c r="IBH53" s="556"/>
      <c r="IBI53" s="556"/>
      <c r="IBJ53" s="556"/>
      <c r="IBK53" s="556"/>
      <c r="IBL53" s="556"/>
      <c r="IBM53" s="556"/>
      <c r="IBN53" s="556"/>
      <c r="IBO53" s="556"/>
      <c r="IBP53" s="556"/>
      <c r="IBQ53" s="556"/>
      <c r="IBR53" s="556"/>
      <c r="IBS53" s="556"/>
      <c r="IBT53" s="556"/>
      <c r="IBU53" s="556"/>
      <c r="IBV53" s="556"/>
      <c r="IBW53" s="556"/>
      <c r="IBX53" s="556"/>
      <c r="IBY53" s="556"/>
      <c r="IBZ53" s="556"/>
      <c r="ICA53" s="556"/>
      <c r="ICB53" s="556"/>
      <c r="ICC53" s="556"/>
      <c r="ICD53" s="556"/>
      <c r="ICE53" s="556"/>
      <c r="ICF53" s="556"/>
      <c r="ICG53" s="556"/>
      <c r="ICH53" s="556"/>
      <c r="ICI53" s="556"/>
      <c r="ICJ53" s="556"/>
      <c r="ICK53" s="556"/>
      <c r="ICL53" s="556"/>
      <c r="ICM53" s="556"/>
      <c r="ICN53" s="556"/>
      <c r="ICO53" s="556"/>
      <c r="ICP53" s="556"/>
      <c r="ICQ53" s="556"/>
      <c r="ICR53" s="556"/>
      <c r="ICS53" s="556"/>
      <c r="ICT53" s="556"/>
      <c r="ICU53" s="556"/>
      <c r="ICV53" s="556"/>
      <c r="ICW53" s="556"/>
      <c r="ICX53" s="556"/>
      <c r="ICY53" s="556"/>
      <c r="ICZ53" s="556"/>
      <c r="IDA53" s="556"/>
      <c r="IDB53" s="556"/>
      <c r="IDC53" s="556"/>
      <c r="IDD53" s="556"/>
      <c r="IDE53" s="556"/>
      <c r="IDF53" s="556"/>
      <c r="IDG53" s="556"/>
      <c r="IDH53" s="556"/>
      <c r="IDI53" s="556"/>
      <c r="IDJ53" s="556"/>
      <c r="IDK53" s="556"/>
      <c r="IDL53" s="556"/>
      <c r="IDM53" s="556"/>
      <c r="IDN53" s="556"/>
      <c r="IDO53" s="556"/>
      <c r="IDP53" s="556"/>
      <c r="IDQ53" s="556"/>
      <c r="IDR53" s="556"/>
      <c r="IDS53" s="556"/>
      <c r="IDT53" s="556"/>
      <c r="IDU53" s="556"/>
      <c r="IDV53" s="556"/>
      <c r="IDW53" s="556"/>
      <c r="IDX53" s="556"/>
      <c r="IDY53" s="556"/>
      <c r="IDZ53" s="556"/>
      <c r="IEA53" s="556"/>
      <c r="IEB53" s="556"/>
      <c r="IEC53" s="556"/>
      <c r="IED53" s="556"/>
      <c r="IEE53" s="556"/>
      <c r="IEF53" s="556"/>
      <c r="IEG53" s="556"/>
      <c r="IEH53" s="556"/>
      <c r="IEI53" s="556"/>
      <c r="IEJ53" s="556"/>
      <c r="IEK53" s="556"/>
      <c r="IEL53" s="556"/>
      <c r="IEM53" s="556"/>
      <c r="IEN53" s="556"/>
      <c r="IEO53" s="556"/>
      <c r="IEP53" s="556"/>
      <c r="IEQ53" s="556"/>
      <c r="IER53" s="556"/>
      <c r="IES53" s="556"/>
      <c r="IET53" s="556"/>
      <c r="IEU53" s="556"/>
      <c r="IEV53" s="556"/>
      <c r="IEW53" s="556"/>
      <c r="IEX53" s="556"/>
      <c r="IEY53" s="556"/>
      <c r="IEZ53" s="556"/>
      <c r="IFA53" s="556"/>
      <c r="IFB53" s="556"/>
      <c r="IFC53" s="556"/>
      <c r="IFD53" s="556"/>
      <c r="IFE53" s="556"/>
      <c r="IFF53" s="556"/>
      <c r="IFG53" s="556"/>
      <c r="IFH53" s="556"/>
      <c r="IFI53" s="556"/>
      <c r="IFJ53" s="556"/>
      <c r="IFK53" s="556"/>
      <c r="IFL53" s="556"/>
      <c r="IFM53" s="556"/>
      <c r="IFN53" s="556"/>
      <c r="IFO53" s="556"/>
      <c r="IFP53" s="556"/>
      <c r="IFQ53" s="556"/>
      <c r="IFR53" s="556"/>
      <c r="IFS53" s="556"/>
      <c r="IFT53" s="556"/>
      <c r="IFU53" s="556"/>
      <c r="IFV53" s="556"/>
      <c r="IFW53" s="556"/>
      <c r="IFX53" s="556"/>
      <c r="IFY53" s="556"/>
      <c r="IFZ53" s="556"/>
      <c r="IGA53" s="556"/>
      <c r="IGB53" s="556"/>
      <c r="IGC53" s="556"/>
      <c r="IGD53" s="556"/>
      <c r="IGE53" s="556"/>
      <c r="IGF53" s="556"/>
      <c r="IGG53" s="556"/>
      <c r="IGH53" s="556"/>
      <c r="IGI53" s="556"/>
      <c r="IGJ53" s="556"/>
      <c r="IGK53" s="556"/>
      <c r="IGL53" s="556"/>
      <c r="IGM53" s="556"/>
      <c r="IGN53" s="556"/>
      <c r="IGO53" s="556"/>
      <c r="IGP53" s="556"/>
      <c r="IGQ53" s="556"/>
      <c r="IGR53" s="556"/>
      <c r="IGS53" s="556"/>
      <c r="IGT53" s="556"/>
      <c r="IGU53" s="556"/>
      <c r="IGV53" s="556"/>
      <c r="IGW53" s="556"/>
      <c r="IGX53" s="556"/>
      <c r="IGY53" s="556"/>
      <c r="IGZ53" s="556"/>
      <c r="IHA53" s="556"/>
      <c r="IHB53" s="556"/>
      <c r="IHC53" s="556"/>
      <c r="IHD53" s="556"/>
      <c r="IHE53" s="556"/>
      <c r="IHF53" s="556"/>
      <c r="IHG53" s="556"/>
      <c r="IHH53" s="556"/>
      <c r="IHI53" s="556"/>
      <c r="IHJ53" s="556"/>
      <c r="IHK53" s="556"/>
      <c r="IHL53" s="556"/>
      <c r="IHM53" s="556"/>
      <c r="IHN53" s="556"/>
      <c r="IHO53" s="556"/>
      <c r="IHP53" s="556"/>
      <c r="IHQ53" s="556"/>
      <c r="IHR53" s="556"/>
      <c r="IHS53" s="556"/>
      <c r="IHT53" s="556"/>
      <c r="IHU53" s="556"/>
      <c r="IHV53" s="556"/>
      <c r="IHW53" s="556"/>
      <c r="IHX53" s="556"/>
      <c r="IHY53" s="556"/>
      <c r="IHZ53" s="556"/>
      <c r="IIA53" s="556"/>
      <c r="IIB53" s="556"/>
      <c r="IIC53" s="556"/>
      <c r="IID53" s="556"/>
      <c r="IIE53" s="556"/>
      <c r="IIF53" s="556"/>
      <c r="IIG53" s="556"/>
      <c r="IIH53" s="556"/>
      <c r="III53" s="556"/>
      <c r="IIJ53" s="556"/>
      <c r="IIK53" s="556"/>
      <c r="IIL53" s="556"/>
      <c r="IIM53" s="556"/>
      <c r="IIN53" s="556"/>
      <c r="IIO53" s="556"/>
      <c r="IIP53" s="556"/>
      <c r="IIQ53" s="556"/>
      <c r="IIR53" s="556"/>
      <c r="IIS53" s="556"/>
      <c r="IIT53" s="556"/>
      <c r="IIU53" s="556"/>
      <c r="IIV53" s="556"/>
      <c r="IIW53" s="556"/>
      <c r="IIX53" s="556"/>
      <c r="IIY53" s="556"/>
      <c r="IIZ53" s="556"/>
      <c r="IJA53" s="556"/>
      <c r="IJB53" s="556"/>
      <c r="IJC53" s="556"/>
      <c r="IJD53" s="556"/>
      <c r="IJE53" s="556"/>
      <c r="IJF53" s="556"/>
      <c r="IJG53" s="556"/>
      <c r="IJH53" s="556"/>
      <c r="IJI53" s="556"/>
      <c r="IJJ53" s="556"/>
      <c r="IJK53" s="556"/>
      <c r="IJL53" s="556"/>
      <c r="IJM53" s="556"/>
      <c r="IJN53" s="556"/>
      <c r="IJO53" s="556"/>
      <c r="IJP53" s="556"/>
      <c r="IJQ53" s="556"/>
      <c r="IJR53" s="556"/>
      <c r="IJS53" s="556"/>
      <c r="IJT53" s="556"/>
      <c r="IJU53" s="556"/>
      <c r="IJV53" s="556"/>
      <c r="IJW53" s="556"/>
      <c r="IJX53" s="556"/>
      <c r="IJY53" s="556"/>
      <c r="IJZ53" s="556"/>
      <c r="IKA53" s="556"/>
      <c r="IKB53" s="556"/>
      <c r="IKC53" s="556"/>
      <c r="IKD53" s="556"/>
      <c r="IKE53" s="556"/>
      <c r="IKF53" s="556"/>
      <c r="IKG53" s="556"/>
      <c r="IKH53" s="556"/>
      <c r="IKI53" s="556"/>
      <c r="IKJ53" s="556"/>
      <c r="IKK53" s="556"/>
      <c r="IKL53" s="556"/>
      <c r="IKM53" s="556"/>
      <c r="IKN53" s="556"/>
      <c r="IKO53" s="556"/>
      <c r="IKP53" s="556"/>
      <c r="IKQ53" s="556"/>
      <c r="IKR53" s="556"/>
      <c r="IKS53" s="556"/>
      <c r="IKT53" s="556"/>
      <c r="IKU53" s="556"/>
      <c r="IKV53" s="556"/>
      <c r="IKW53" s="556"/>
      <c r="IKX53" s="556"/>
      <c r="IKY53" s="556"/>
      <c r="IKZ53" s="556"/>
      <c r="ILA53" s="556"/>
      <c r="ILB53" s="556"/>
      <c r="ILC53" s="556"/>
      <c r="ILD53" s="556"/>
      <c r="ILE53" s="556"/>
      <c r="ILF53" s="556"/>
      <c r="ILG53" s="556"/>
      <c r="ILH53" s="556"/>
      <c r="ILI53" s="556"/>
      <c r="ILJ53" s="556"/>
      <c r="ILK53" s="556"/>
      <c r="ILL53" s="556"/>
      <c r="ILM53" s="556"/>
      <c r="ILN53" s="556"/>
      <c r="ILO53" s="556"/>
      <c r="ILP53" s="556"/>
      <c r="ILQ53" s="556"/>
      <c r="ILR53" s="556"/>
      <c r="ILS53" s="556"/>
      <c r="ILT53" s="556"/>
      <c r="ILU53" s="556"/>
      <c r="ILV53" s="556"/>
      <c r="ILW53" s="556"/>
      <c r="ILX53" s="556"/>
      <c r="ILY53" s="556"/>
      <c r="ILZ53" s="556"/>
      <c r="IMA53" s="556"/>
      <c r="IMB53" s="556"/>
      <c r="IMC53" s="556"/>
      <c r="IMD53" s="556"/>
      <c r="IME53" s="556"/>
      <c r="IMF53" s="556"/>
      <c r="IMG53" s="556"/>
      <c r="IMH53" s="556"/>
      <c r="IMI53" s="556"/>
      <c r="IMJ53" s="556"/>
      <c r="IMK53" s="556"/>
      <c r="IML53" s="556"/>
      <c r="IMM53" s="556"/>
      <c r="IMN53" s="556"/>
      <c r="IMO53" s="556"/>
      <c r="IMP53" s="556"/>
      <c r="IMQ53" s="556"/>
      <c r="IMR53" s="556"/>
      <c r="IMS53" s="556"/>
      <c r="IMT53" s="556"/>
      <c r="IMU53" s="556"/>
      <c r="IMV53" s="556"/>
      <c r="IMW53" s="556"/>
      <c r="IMX53" s="556"/>
      <c r="IMY53" s="556"/>
      <c r="IMZ53" s="556"/>
      <c r="INA53" s="556"/>
      <c r="INB53" s="556"/>
      <c r="INC53" s="556"/>
      <c r="IND53" s="556"/>
      <c r="INE53" s="556"/>
      <c r="INF53" s="556"/>
      <c r="ING53" s="556"/>
      <c r="INH53" s="556"/>
      <c r="INI53" s="556"/>
      <c r="INJ53" s="556"/>
      <c r="INK53" s="556"/>
      <c r="INL53" s="556"/>
      <c r="INM53" s="556"/>
      <c r="INN53" s="556"/>
      <c r="INO53" s="556"/>
      <c r="INP53" s="556"/>
      <c r="INQ53" s="556"/>
      <c r="INR53" s="556"/>
      <c r="INS53" s="556"/>
      <c r="INT53" s="556"/>
      <c r="INU53" s="556"/>
      <c r="INV53" s="556"/>
      <c r="INW53" s="556"/>
      <c r="INX53" s="556"/>
      <c r="INY53" s="556"/>
      <c r="INZ53" s="556"/>
      <c r="IOA53" s="556"/>
      <c r="IOB53" s="556"/>
      <c r="IOC53" s="556"/>
      <c r="IOD53" s="556"/>
      <c r="IOE53" s="556"/>
      <c r="IOF53" s="556"/>
      <c r="IOG53" s="556"/>
      <c r="IOH53" s="556"/>
      <c r="IOI53" s="556"/>
      <c r="IOJ53" s="556"/>
      <c r="IOK53" s="556"/>
      <c r="IOL53" s="556"/>
      <c r="IOM53" s="556"/>
      <c r="ION53" s="556"/>
      <c r="IOO53" s="556"/>
      <c r="IOP53" s="556"/>
      <c r="IOQ53" s="556"/>
      <c r="IOR53" s="556"/>
      <c r="IOS53" s="556"/>
      <c r="IOT53" s="556"/>
      <c r="IOU53" s="556"/>
      <c r="IOV53" s="556"/>
      <c r="IOW53" s="556"/>
      <c r="IOX53" s="556"/>
      <c r="IOY53" s="556"/>
      <c r="IOZ53" s="556"/>
      <c r="IPA53" s="556"/>
      <c r="IPB53" s="556"/>
      <c r="IPC53" s="556"/>
      <c r="IPD53" s="556"/>
      <c r="IPE53" s="556"/>
      <c r="IPF53" s="556"/>
      <c r="IPG53" s="556"/>
      <c r="IPH53" s="556"/>
      <c r="IPI53" s="556"/>
      <c r="IPJ53" s="556"/>
      <c r="IPK53" s="556"/>
      <c r="IPL53" s="556"/>
      <c r="IPM53" s="556"/>
      <c r="IPN53" s="556"/>
      <c r="IPO53" s="556"/>
      <c r="IPP53" s="556"/>
      <c r="IPQ53" s="556"/>
      <c r="IPR53" s="556"/>
      <c r="IPS53" s="556"/>
      <c r="IPT53" s="556"/>
      <c r="IPU53" s="556"/>
      <c r="IPV53" s="556"/>
      <c r="IPW53" s="556"/>
      <c r="IPX53" s="556"/>
      <c r="IPY53" s="556"/>
      <c r="IPZ53" s="556"/>
      <c r="IQA53" s="556"/>
      <c r="IQB53" s="556"/>
      <c r="IQC53" s="556"/>
      <c r="IQD53" s="556"/>
      <c r="IQE53" s="556"/>
      <c r="IQF53" s="556"/>
      <c r="IQG53" s="556"/>
      <c r="IQH53" s="556"/>
      <c r="IQI53" s="556"/>
      <c r="IQJ53" s="556"/>
      <c r="IQK53" s="556"/>
      <c r="IQL53" s="556"/>
      <c r="IQM53" s="556"/>
      <c r="IQN53" s="556"/>
      <c r="IQO53" s="556"/>
      <c r="IQP53" s="556"/>
      <c r="IQQ53" s="556"/>
      <c r="IQR53" s="556"/>
      <c r="IQS53" s="556"/>
      <c r="IQT53" s="556"/>
      <c r="IQU53" s="556"/>
      <c r="IQV53" s="556"/>
      <c r="IQW53" s="556"/>
      <c r="IQX53" s="556"/>
      <c r="IQY53" s="556"/>
      <c r="IQZ53" s="556"/>
      <c r="IRA53" s="556"/>
      <c r="IRB53" s="556"/>
      <c r="IRC53" s="556"/>
      <c r="IRD53" s="556"/>
      <c r="IRE53" s="556"/>
      <c r="IRF53" s="556"/>
      <c r="IRG53" s="556"/>
      <c r="IRH53" s="556"/>
      <c r="IRI53" s="556"/>
      <c r="IRJ53" s="556"/>
      <c r="IRK53" s="556"/>
      <c r="IRL53" s="556"/>
      <c r="IRM53" s="556"/>
      <c r="IRN53" s="556"/>
      <c r="IRO53" s="556"/>
      <c r="IRP53" s="556"/>
      <c r="IRQ53" s="556"/>
      <c r="IRR53" s="556"/>
      <c r="IRS53" s="556"/>
      <c r="IRT53" s="556"/>
      <c r="IRU53" s="556"/>
      <c r="IRV53" s="556"/>
      <c r="IRW53" s="556"/>
      <c r="IRX53" s="556"/>
      <c r="IRY53" s="556"/>
      <c r="IRZ53" s="556"/>
      <c r="ISA53" s="556"/>
      <c r="ISB53" s="556"/>
      <c r="ISC53" s="556"/>
      <c r="ISD53" s="556"/>
      <c r="ISE53" s="556"/>
      <c r="ISF53" s="556"/>
      <c r="ISG53" s="556"/>
      <c r="ISH53" s="556"/>
      <c r="ISI53" s="556"/>
      <c r="ISJ53" s="556"/>
      <c r="ISK53" s="556"/>
      <c r="ISL53" s="556"/>
      <c r="ISM53" s="556"/>
      <c r="ISN53" s="556"/>
      <c r="ISO53" s="556"/>
      <c r="ISP53" s="556"/>
      <c r="ISQ53" s="556"/>
      <c r="ISR53" s="556"/>
      <c r="ISS53" s="556"/>
      <c r="IST53" s="556"/>
      <c r="ISU53" s="556"/>
      <c r="ISV53" s="556"/>
      <c r="ISW53" s="556"/>
      <c r="ISX53" s="556"/>
      <c r="ISY53" s="556"/>
      <c r="ISZ53" s="556"/>
      <c r="ITA53" s="556"/>
      <c r="ITB53" s="556"/>
      <c r="ITC53" s="556"/>
      <c r="ITD53" s="556"/>
      <c r="ITE53" s="556"/>
      <c r="ITF53" s="556"/>
      <c r="ITG53" s="556"/>
      <c r="ITH53" s="556"/>
      <c r="ITI53" s="556"/>
      <c r="ITJ53" s="556"/>
      <c r="ITK53" s="556"/>
      <c r="ITL53" s="556"/>
      <c r="ITM53" s="556"/>
      <c r="ITN53" s="556"/>
      <c r="ITO53" s="556"/>
      <c r="ITP53" s="556"/>
      <c r="ITQ53" s="556"/>
      <c r="ITR53" s="556"/>
      <c r="ITS53" s="556"/>
      <c r="ITT53" s="556"/>
      <c r="ITU53" s="556"/>
      <c r="ITV53" s="556"/>
      <c r="ITW53" s="556"/>
      <c r="ITX53" s="556"/>
      <c r="ITY53" s="556"/>
      <c r="ITZ53" s="556"/>
      <c r="IUA53" s="556"/>
      <c r="IUB53" s="556"/>
      <c r="IUC53" s="556"/>
      <c r="IUD53" s="556"/>
      <c r="IUE53" s="556"/>
      <c r="IUF53" s="556"/>
      <c r="IUG53" s="556"/>
      <c r="IUH53" s="556"/>
      <c r="IUI53" s="556"/>
      <c r="IUJ53" s="556"/>
      <c r="IUK53" s="556"/>
      <c r="IUL53" s="556"/>
      <c r="IUM53" s="556"/>
      <c r="IUN53" s="556"/>
      <c r="IUO53" s="556"/>
      <c r="IUP53" s="556"/>
      <c r="IUQ53" s="556"/>
      <c r="IUR53" s="556"/>
      <c r="IUS53" s="556"/>
      <c r="IUT53" s="556"/>
      <c r="IUU53" s="556"/>
      <c r="IUV53" s="556"/>
      <c r="IUW53" s="556"/>
      <c r="IUX53" s="556"/>
      <c r="IUY53" s="556"/>
      <c r="IUZ53" s="556"/>
      <c r="IVA53" s="556"/>
      <c r="IVB53" s="556"/>
      <c r="IVC53" s="556"/>
      <c r="IVD53" s="556"/>
      <c r="IVE53" s="556"/>
      <c r="IVF53" s="556"/>
      <c r="IVG53" s="556"/>
      <c r="IVH53" s="556"/>
      <c r="IVI53" s="556"/>
      <c r="IVJ53" s="556"/>
      <c r="IVK53" s="556"/>
      <c r="IVL53" s="556"/>
      <c r="IVM53" s="556"/>
      <c r="IVN53" s="556"/>
      <c r="IVO53" s="556"/>
      <c r="IVP53" s="556"/>
      <c r="IVQ53" s="556"/>
      <c r="IVR53" s="556"/>
      <c r="IVS53" s="556"/>
      <c r="IVT53" s="556"/>
      <c r="IVU53" s="556"/>
      <c r="IVV53" s="556"/>
      <c r="IVW53" s="556"/>
      <c r="IVX53" s="556"/>
      <c r="IVY53" s="556"/>
      <c r="IVZ53" s="556"/>
      <c r="IWA53" s="556"/>
      <c r="IWB53" s="556"/>
      <c r="IWC53" s="556"/>
      <c r="IWD53" s="556"/>
      <c r="IWE53" s="556"/>
      <c r="IWF53" s="556"/>
      <c r="IWG53" s="556"/>
      <c r="IWH53" s="556"/>
      <c r="IWI53" s="556"/>
      <c r="IWJ53" s="556"/>
      <c r="IWK53" s="556"/>
      <c r="IWL53" s="556"/>
      <c r="IWM53" s="556"/>
      <c r="IWN53" s="556"/>
      <c r="IWO53" s="556"/>
      <c r="IWP53" s="556"/>
      <c r="IWQ53" s="556"/>
      <c r="IWR53" s="556"/>
      <c r="IWS53" s="556"/>
      <c r="IWT53" s="556"/>
      <c r="IWU53" s="556"/>
      <c r="IWV53" s="556"/>
      <c r="IWW53" s="556"/>
      <c r="IWX53" s="556"/>
      <c r="IWY53" s="556"/>
      <c r="IWZ53" s="556"/>
      <c r="IXA53" s="556"/>
      <c r="IXB53" s="556"/>
      <c r="IXC53" s="556"/>
      <c r="IXD53" s="556"/>
      <c r="IXE53" s="556"/>
      <c r="IXF53" s="556"/>
      <c r="IXG53" s="556"/>
      <c r="IXH53" s="556"/>
      <c r="IXI53" s="556"/>
      <c r="IXJ53" s="556"/>
      <c r="IXK53" s="556"/>
      <c r="IXL53" s="556"/>
      <c r="IXM53" s="556"/>
      <c r="IXN53" s="556"/>
      <c r="IXO53" s="556"/>
      <c r="IXP53" s="556"/>
      <c r="IXQ53" s="556"/>
      <c r="IXR53" s="556"/>
      <c r="IXS53" s="556"/>
      <c r="IXT53" s="556"/>
      <c r="IXU53" s="556"/>
      <c r="IXV53" s="556"/>
      <c r="IXW53" s="556"/>
      <c r="IXX53" s="556"/>
      <c r="IXY53" s="556"/>
      <c r="IXZ53" s="556"/>
      <c r="IYA53" s="556"/>
      <c r="IYB53" s="556"/>
      <c r="IYC53" s="556"/>
      <c r="IYD53" s="556"/>
      <c r="IYE53" s="556"/>
      <c r="IYF53" s="556"/>
      <c r="IYG53" s="556"/>
      <c r="IYH53" s="556"/>
      <c r="IYI53" s="556"/>
      <c r="IYJ53" s="556"/>
      <c r="IYK53" s="556"/>
      <c r="IYL53" s="556"/>
      <c r="IYM53" s="556"/>
      <c r="IYN53" s="556"/>
      <c r="IYO53" s="556"/>
      <c r="IYP53" s="556"/>
      <c r="IYQ53" s="556"/>
      <c r="IYR53" s="556"/>
      <c r="IYS53" s="556"/>
      <c r="IYT53" s="556"/>
      <c r="IYU53" s="556"/>
      <c r="IYV53" s="556"/>
      <c r="IYW53" s="556"/>
      <c r="IYX53" s="556"/>
      <c r="IYY53" s="556"/>
      <c r="IYZ53" s="556"/>
      <c r="IZA53" s="556"/>
      <c r="IZB53" s="556"/>
      <c r="IZC53" s="556"/>
      <c r="IZD53" s="556"/>
      <c r="IZE53" s="556"/>
      <c r="IZF53" s="556"/>
      <c r="IZG53" s="556"/>
      <c r="IZH53" s="556"/>
      <c r="IZI53" s="556"/>
      <c r="IZJ53" s="556"/>
      <c r="IZK53" s="556"/>
      <c r="IZL53" s="556"/>
      <c r="IZM53" s="556"/>
      <c r="IZN53" s="556"/>
      <c r="IZO53" s="556"/>
      <c r="IZP53" s="556"/>
      <c r="IZQ53" s="556"/>
      <c r="IZR53" s="556"/>
      <c r="IZS53" s="556"/>
      <c r="IZT53" s="556"/>
      <c r="IZU53" s="556"/>
      <c r="IZV53" s="556"/>
      <c r="IZW53" s="556"/>
      <c r="IZX53" s="556"/>
      <c r="IZY53" s="556"/>
      <c r="IZZ53" s="556"/>
      <c r="JAA53" s="556"/>
      <c r="JAB53" s="556"/>
      <c r="JAC53" s="556"/>
      <c r="JAD53" s="556"/>
      <c r="JAE53" s="556"/>
      <c r="JAF53" s="556"/>
      <c r="JAG53" s="556"/>
      <c r="JAH53" s="556"/>
      <c r="JAI53" s="556"/>
      <c r="JAJ53" s="556"/>
      <c r="JAK53" s="556"/>
      <c r="JAL53" s="556"/>
      <c r="JAM53" s="556"/>
      <c r="JAN53" s="556"/>
      <c r="JAO53" s="556"/>
      <c r="JAP53" s="556"/>
      <c r="JAQ53" s="556"/>
      <c r="JAR53" s="556"/>
      <c r="JAS53" s="556"/>
      <c r="JAT53" s="556"/>
      <c r="JAU53" s="556"/>
      <c r="JAV53" s="556"/>
      <c r="JAW53" s="556"/>
      <c r="JAX53" s="556"/>
      <c r="JAY53" s="556"/>
      <c r="JAZ53" s="556"/>
      <c r="JBA53" s="556"/>
      <c r="JBB53" s="556"/>
      <c r="JBC53" s="556"/>
      <c r="JBD53" s="556"/>
      <c r="JBE53" s="556"/>
      <c r="JBF53" s="556"/>
      <c r="JBG53" s="556"/>
      <c r="JBH53" s="556"/>
      <c r="JBI53" s="556"/>
      <c r="JBJ53" s="556"/>
      <c r="JBK53" s="556"/>
      <c r="JBL53" s="556"/>
      <c r="JBM53" s="556"/>
      <c r="JBN53" s="556"/>
      <c r="JBO53" s="556"/>
      <c r="JBP53" s="556"/>
      <c r="JBQ53" s="556"/>
      <c r="JBR53" s="556"/>
      <c r="JBS53" s="556"/>
      <c r="JBT53" s="556"/>
      <c r="JBU53" s="556"/>
      <c r="JBV53" s="556"/>
      <c r="JBW53" s="556"/>
      <c r="JBX53" s="556"/>
      <c r="JBY53" s="556"/>
      <c r="JBZ53" s="556"/>
      <c r="JCA53" s="556"/>
      <c r="JCB53" s="556"/>
      <c r="JCC53" s="556"/>
      <c r="JCD53" s="556"/>
      <c r="JCE53" s="556"/>
      <c r="JCF53" s="556"/>
      <c r="JCG53" s="556"/>
      <c r="JCH53" s="556"/>
      <c r="JCI53" s="556"/>
      <c r="JCJ53" s="556"/>
      <c r="JCK53" s="556"/>
      <c r="JCL53" s="556"/>
      <c r="JCM53" s="556"/>
      <c r="JCN53" s="556"/>
      <c r="JCO53" s="556"/>
      <c r="JCP53" s="556"/>
      <c r="JCQ53" s="556"/>
      <c r="JCR53" s="556"/>
      <c r="JCS53" s="556"/>
      <c r="JCT53" s="556"/>
      <c r="JCU53" s="556"/>
      <c r="JCV53" s="556"/>
      <c r="JCW53" s="556"/>
      <c r="JCX53" s="556"/>
      <c r="JCY53" s="556"/>
      <c r="JCZ53" s="556"/>
      <c r="JDA53" s="556"/>
      <c r="JDB53" s="556"/>
      <c r="JDC53" s="556"/>
      <c r="JDD53" s="556"/>
      <c r="JDE53" s="556"/>
      <c r="JDF53" s="556"/>
      <c r="JDG53" s="556"/>
      <c r="JDH53" s="556"/>
      <c r="JDI53" s="556"/>
      <c r="JDJ53" s="556"/>
      <c r="JDK53" s="556"/>
      <c r="JDL53" s="556"/>
      <c r="JDM53" s="556"/>
      <c r="JDN53" s="556"/>
      <c r="JDO53" s="556"/>
      <c r="JDP53" s="556"/>
      <c r="JDQ53" s="556"/>
      <c r="JDR53" s="556"/>
      <c r="JDS53" s="556"/>
      <c r="JDT53" s="556"/>
      <c r="JDU53" s="556"/>
      <c r="JDV53" s="556"/>
      <c r="JDW53" s="556"/>
      <c r="JDX53" s="556"/>
      <c r="JDY53" s="556"/>
      <c r="JDZ53" s="556"/>
      <c r="JEA53" s="556"/>
      <c r="JEB53" s="556"/>
      <c r="JEC53" s="556"/>
      <c r="JED53" s="556"/>
      <c r="JEE53" s="556"/>
      <c r="JEF53" s="556"/>
      <c r="JEG53" s="556"/>
      <c r="JEH53" s="556"/>
      <c r="JEI53" s="556"/>
      <c r="JEJ53" s="556"/>
      <c r="JEK53" s="556"/>
      <c r="JEL53" s="556"/>
      <c r="JEM53" s="556"/>
      <c r="JEN53" s="556"/>
      <c r="JEO53" s="556"/>
      <c r="JEP53" s="556"/>
      <c r="JEQ53" s="556"/>
      <c r="JER53" s="556"/>
      <c r="JES53" s="556"/>
      <c r="JET53" s="556"/>
      <c r="JEU53" s="556"/>
      <c r="JEV53" s="556"/>
      <c r="JEW53" s="556"/>
      <c r="JEX53" s="556"/>
      <c r="JEY53" s="556"/>
      <c r="JEZ53" s="556"/>
      <c r="JFA53" s="556"/>
      <c r="JFB53" s="556"/>
      <c r="JFC53" s="556"/>
      <c r="JFD53" s="556"/>
      <c r="JFE53" s="556"/>
      <c r="JFF53" s="556"/>
      <c r="JFG53" s="556"/>
      <c r="JFH53" s="556"/>
      <c r="JFI53" s="556"/>
      <c r="JFJ53" s="556"/>
      <c r="JFK53" s="556"/>
      <c r="JFL53" s="556"/>
      <c r="JFM53" s="556"/>
      <c r="JFN53" s="556"/>
      <c r="JFO53" s="556"/>
      <c r="JFP53" s="556"/>
      <c r="JFQ53" s="556"/>
      <c r="JFR53" s="556"/>
      <c r="JFS53" s="556"/>
      <c r="JFT53" s="556"/>
      <c r="JFU53" s="556"/>
      <c r="JFV53" s="556"/>
      <c r="JFW53" s="556"/>
      <c r="JFX53" s="556"/>
      <c r="JFY53" s="556"/>
      <c r="JFZ53" s="556"/>
      <c r="JGA53" s="556"/>
      <c r="JGB53" s="556"/>
      <c r="JGC53" s="556"/>
      <c r="JGD53" s="556"/>
      <c r="JGE53" s="556"/>
      <c r="JGF53" s="556"/>
      <c r="JGG53" s="556"/>
      <c r="JGH53" s="556"/>
      <c r="JGI53" s="556"/>
      <c r="JGJ53" s="556"/>
      <c r="JGK53" s="556"/>
      <c r="JGL53" s="556"/>
      <c r="JGM53" s="556"/>
      <c r="JGN53" s="556"/>
      <c r="JGO53" s="556"/>
      <c r="JGP53" s="556"/>
      <c r="JGQ53" s="556"/>
      <c r="JGR53" s="556"/>
      <c r="JGS53" s="556"/>
      <c r="JGT53" s="556"/>
      <c r="JGU53" s="556"/>
      <c r="JGV53" s="556"/>
      <c r="JGW53" s="556"/>
      <c r="JGX53" s="556"/>
      <c r="JGY53" s="556"/>
      <c r="JGZ53" s="556"/>
      <c r="JHA53" s="556"/>
      <c r="JHB53" s="556"/>
      <c r="JHC53" s="556"/>
      <c r="JHD53" s="556"/>
      <c r="JHE53" s="556"/>
      <c r="JHF53" s="556"/>
      <c r="JHG53" s="556"/>
      <c r="JHH53" s="556"/>
      <c r="JHI53" s="556"/>
      <c r="JHJ53" s="556"/>
      <c r="JHK53" s="556"/>
      <c r="JHL53" s="556"/>
      <c r="JHM53" s="556"/>
      <c r="JHN53" s="556"/>
      <c r="JHO53" s="556"/>
      <c r="JHP53" s="556"/>
      <c r="JHQ53" s="556"/>
      <c r="JHR53" s="556"/>
      <c r="JHS53" s="556"/>
      <c r="JHT53" s="556"/>
      <c r="JHU53" s="556"/>
      <c r="JHV53" s="556"/>
      <c r="JHW53" s="556"/>
      <c r="JHX53" s="556"/>
      <c r="JHY53" s="556"/>
      <c r="JHZ53" s="556"/>
      <c r="JIA53" s="556"/>
      <c r="JIB53" s="556"/>
      <c r="JIC53" s="556"/>
      <c r="JID53" s="556"/>
      <c r="JIE53" s="556"/>
      <c r="JIF53" s="556"/>
      <c r="JIG53" s="556"/>
      <c r="JIH53" s="556"/>
      <c r="JII53" s="556"/>
      <c r="JIJ53" s="556"/>
      <c r="JIK53" s="556"/>
      <c r="JIL53" s="556"/>
      <c r="JIM53" s="556"/>
      <c r="JIN53" s="556"/>
      <c r="JIO53" s="556"/>
      <c r="JIP53" s="556"/>
      <c r="JIQ53" s="556"/>
      <c r="JIR53" s="556"/>
      <c r="JIS53" s="556"/>
      <c r="JIT53" s="556"/>
      <c r="JIU53" s="556"/>
      <c r="JIV53" s="556"/>
      <c r="JIW53" s="556"/>
      <c r="JIX53" s="556"/>
      <c r="JIY53" s="556"/>
      <c r="JIZ53" s="556"/>
      <c r="JJA53" s="556"/>
      <c r="JJB53" s="556"/>
      <c r="JJC53" s="556"/>
      <c r="JJD53" s="556"/>
      <c r="JJE53" s="556"/>
      <c r="JJF53" s="556"/>
      <c r="JJG53" s="556"/>
      <c r="JJH53" s="556"/>
      <c r="JJI53" s="556"/>
      <c r="JJJ53" s="556"/>
      <c r="JJK53" s="556"/>
      <c r="JJL53" s="556"/>
      <c r="JJM53" s="556"/>
      <c r="JJN53" s="556"/>
      <c r="JJO53" s="556"/>
      <c r="JJP53" s="556"/>
      <c r="JJQ53" s="556"/>
      <c r="JJR53" s="556"/>
      <c r="JJS53" s="556"/>
      <c r="JJT53" s="556"/>
      <c r="JJU53" s="556"/>
      <c r="JJV53" s="556"/>
      <c r="JJW53" s="556"/>
      <c r="JJX53" s="556"/>
      <c r="JJY53" s="556"/>
      <c r="JJZ53" s="556"/>
      <c r="JKA53" s="556"/>
      <c r="JKB53" s="556"/>
      <c r="JKC53" s="556"/>
      <c r="JKD53" s="556"/>
      <c r="JKE53" s="556"/>
      <c r="JKF53" s="556"/>
      <c r="JKG53" s="556"/>
      <c r="JKH53" s="556"/>
      <c r="JKI53" s="556"/>
      <c r="JKJ53" s="556"/>
      <c r="JKK53" s="556"/>
      <c r="JKL53" s="556"/>
      <c r="JKM53" s="556"/>
      <c r="JKN53" s="556"/>
      <c r="JKO53" s="556"/>
      <c r="JKP53" s="556"/>
      <c r="JKQ53" s="556"/>
      <c r="JKR53" s="556"/>
      <c r="JKS53" s="556"/>
      <c r="JKT53" s="556"/>
      <c r="JKU53" s="556"/>
      <c r="JKV53" s="556"/>
      <c r="JKW53" s="556"/>
      <c r="JKX53" s="556"/>
      <c r="JKY53" s="556"/>
      <c r="JKZ53" s="556"/>
      <c r="JLA53" s="556"/>
      <c r="JLB53" s="556"/>
      <c r="JLC53" s="556"/>
      <c r="JLD53" s="556"/>
      <c r="JLE53" s="556"/>
      <c r="JLF53" s="556"/>
      <c r="JLG53" s="556"/>
      <c r="JLH53" s="556"/>
      <c r="JLI53" s="556"/>
      <c r="JLJ53" s="556"/>
      <c r="JLK53" s="556"/>
      <c r="JLL53" s="556"/>
      <c r="JLM53" s="556"/>
      <c r="JLN53" s="556"/>
      <c r="JLO53" s="556"/>
      <c r="JLP53" s="556"/>
      <c r="JLQ53" s="556"/>
      <c r="JLR53" s="556"/>
      <c r="JLS53" s="556"/>
      <c r="JLT53" s="556"/>
      <c r="JLU53" s="556"/>
      <c r="JLV53" s="556"/>
      <c r="JLW53" s="556"/>
      <c r="JLX53" s="556"/>
      <c r="JLY53" s="556"/>
      <c r="JLZ53" s="556"/>
      <c r="JMA53" s="556"/>
      <c r="JMB53" s="556"/>
      <c r="JMC53" s="556"/>
      <c r="JMD53" s="556"/>
      <c r="JME53" s="556"/>
      <c r="JMF53" s="556"/>
      <c r="JMG53" s="556"/>
      <c r="JMH53" s="556"/>
      <c r="JMI53" s="556"/>
      <c r="JMJ53" s="556"/>
      <c r="JMK53" s="556"/>
      <c r="JML53" s="556"/>
      <c r="JMM53" s="556"/>
      <c r="JMN53" s="556"/>
      <c r="JMO53" s="556"/>
      <c r="JMP53" s="556"/>
      <c r="JMQ53" s="556"/>
      <c r="JMR53" s="556"/>
      <c r="JMS53" s="556"/>
      <c r="JMT53" s="556"/>
      <c r="JMU53" s="556"/>
      <c r="JMV53" s="556"/>
      <c r="JMW53" s="556"/>
      <c r="JMX53" s="556"/>
      <c r="JMY53" s="556"/>
      <c r="JMZ53" s="556"/>
      <c r="JNA53" s="556"/>
      <c r="JNB53" s="556"/>
      <c r="JNC53" s="556"/>
      <c r="JND53" s="556"/>
      <c r="JNE53" s="556"/>
      <c r="JNF53" s="556"/>
      <c r="JNG53" s="556"/>
      <c r="JNH53" s="556"/>
      <c r="JNI53" s="556"/>
      <c r="JNJ53" s="556"/>
      <c r="JNK53" s="556"/>
      <c r="JNL53" s="556"/>
      <c r="JNM53" s="556"/>
      <c r="JNN53" s="556"/>
      <c r="JNO53" s="556"/>
      <c r="JNP53" s="556"/>
      <c r="JNQ53" s="556"/>
      <c r="JNR53" s="556"/>
      <c r="JNS53" s="556"/>
      <c r="JNT53" s="556"/>
      <c r="JNU53" s="556"/>
      <c r="JNV53" s="556"/>
      <c r="JNW53" s="556"/>
      <c r="JNX53" s="556"/>
      <c r="JNY53" s="556"/>
      <c r="JNZ53" s="556"/>
      <c r="JOA53" s="556"/>
      <c r="JOB53" s="556"/>
      <c r="JOC53" s="556"/>
      <c r="JOD53" s="556"/>
      <c r="JOE53" s="556"/>
      <c r="JOF53" s="556"/>
      <c r="JOG53" s="556"/>
      <c r="JOH53" s="556"/>
      <c r="JOI53" s="556"/>
      <c r="JOJ53" s="556"/>
      <c r="JOK53" s="556"/>
      <c r="JOL53" s="556"/>
      <c r="JOM53" s="556"/>
      <c r="JON53" s="556"/>
      <c r="JOO53" s="556"/>
      <c r="JOP53" s="556"/>
      <c r="JOQ53" s="556"/>
      <c r="JOR53" s="556"/>
      <c r="JOS53" s="556"/>
      <c r="JOT53" s="556"/>
      <c r="JOU53" s="556"/>
      <c r="JOV53" s="556"/>
      <c r="JOW53" s="556"/>
      <c r="JOX53" s="556"/>
      <c r="JOY53" s="556"/>
      <c r="JOZ53" s="556"/>
      <c r="JPA53" s="556"/>
      <c r="JPB53" s="556"/>
      <c r="JPC53" s="556"/>
      <c r="JPD53" s="556"/>
      <c r="JPE53" s="556"/>
      <c r="JPF53" s="556"/>
      <c r="JPG53" s="556"/>
      <c r="JPH53" s="556"/>
      <c r="JPI53" s="556"/>
      <c r="JPJ53" s="556"/>
      <c r="JPK53" s="556"/>
      <c r="JPL53" s="556"/>
      <c r="JPM53" s="556"/>
      <c r="JPN53" s="556"/>
      <c r="JPO53" s="556"/>
      <c r="JPP53" s="556"/>
      <c r="JPQ53" s="556"/>
      <c r="JPR53" s="556"/>
      <c r="JPS53" s="556"/>
      <c r="JPT53" s="556"/>
      <c r="JPU53" s="556"/>
      <c r="JPV53" s="556"/>
      <c r="JPW53" s="556"/>
      <c r="JPX53" s="556"/>
      <c r="JPY53" s="556"/>
      <c r="JPZ53" s="556"/>
      <c r="JQA53" s="556"/>
      <c r="JQB53" s="556"/>
      <c r="JQC53" s="556"/>
      <c r="JQD53" s="556"/>
      <c r="JQE53" s="556"/>
      <c r="JQF53" s="556"/>
      <c r="JQG53" s="556"/>
      <c r="JQH53" s="556"/>
      <c r="JQI53" s="556"/>
      <c r="JQJ53" s="556"/>
      <c r="JQK53" s="556"/>
      <c r="JQL53" s="556"/>
      <c r="JQM53" s="556"/>
      <c r="JQN53" s="556"/>
      <c r="JQO53" s="556"/>
      <c r="JQP53" s="556"/>
      <c r="JQQ53" s="556"/>
      <c r="JQR53" s="556"/>
      <c r="JQS53" s="556"/>
      <c r="JQT53" s="556"/>
      <c r="JQU53" s="556"/>
      <c r="JQV53" s="556"/>
      <c r="JQW53" s="556"/>
      <c r="JQX53" s="556"/>
      <c r="JQY53" s="556"/>
      <c r="JQZ53" s="556"/>
      <c r="JRA53" s="556"/>
      <c r="JRB53" s="556"/>
      <c r="JRC53" s="556"/>
      <c r="JRD53" s="556"/>
      <c r="JRE53" s="556"/>
      <c r="JRF53" s="556"/>
      <c r="JRG53" s="556"/>
      <c r="JRH53" s="556"/>
      <c r="JRI53" s="556"/>
      <c r="JRJ53" s="556"/>
      <c r="JRK53" s="556"/>
      <c r="JRL53" s="556"/>
      <c r="JRM53" s="556"/>
      <c r="JRN53" s="556"/>
      <c r="JRO53" s="556"/>
      <c r="JRP53" s="556"/>
      <c r="JRQ53" s="556"/>
      <c r="JRR53" s="556"/>
      <c r="JRS53" s="556"/>
      <c r="JRT53" s="556"/>
      <c r="JRU53" s="556"/>
      <c r="JRV53" s="556"/>
      <c r="JRW53" s="556"/>
      <c r="JRX53" s="556"/>
      <c r="JRY53" s="556"/>
      <c r="JRZ53" s="556"/>
      <c r="JSA53" s="556"/>
      <c r="JSB53" s="556"/>
      <c r="JSC53" s="556"/>
      <c r="JSD53" s="556"/>
      <c r="JSE53" s="556"/>
      <c r="JSF53" s="556"/>
      <c r="JSG53" s="556"/>
      <c r="JSH53" s="556"/>
      <c r="JSI53" s="556"/>
      <c r="JSJ53" s="556"/>
      <c r="JSK53" s="556"/>
      <c r="JSL53" s="556"/>
      <c r="JSM53" s="556"/>
      <c r="JSN53" s="556"/>
      <c r="JSO53" s="556"/>
      <c r="JSP53" s="556"/>
      <c r="JSQ53" s="556"/>
      <c r="JSR53" s="556"/>
      <c r="JSS53" s="556"/>
      <c r="JST53" s="556"/>
      <c r="JSU53" s="556"/>
      <c r="JSV53" s="556"/>
      <c r="JSW53" s="556"/>
      <c r="JSX53" s="556"/>
      <c r="JSY53" s="556"/>
      <c r="JSZ53" s="556"/>
      <c r="JTA53" s="556"/>
      <c r="JTB53" s="556"/>
      <c r="JTC53" s="556"/>
      <c r="JTD53" s="556"/>
      <c r="JTE53" s="556"/>
      <c r="JTF53" s="556"/>
      <c r="JTG53" s="556"/>
      <c r="JTH53" s="556"/>
      <c r="JTI53" s="556"/>
      <c r="JTJ53" s="556"/>
      <c r="JTK53" s="556"/>
      <c r="JTL53" s="556"/>
      <c r="JTM53" s="556"/>
      <c r="JTN53" s="556"/>
      <c r="JTO53" s="556"/>
      <c r="JTP53" s="556"/>
      <c r="JTQ53" s="556"/>
      <c r="JTR53" s="556"/>
      <c r="JTS53" s="556"/>
      <c r="JTT53" s="556"/>
      <c r="JTU53" s="556"/>
      <c r="JTV53" s="556"/>
      <c r="JTW53" s="556"/>
      <c r="JTX53" s="556"/>
      <c r="JTY53" s="556"/>
      <c r="JTZ53" s="556"/>
      <c r="JUA53" s="556"/>
      <c r="JUB53" s="556"/>
      <c r="JUC53" s="556"/>
      <c r="JUD53" s="556"/>
      <c r="JUE53" s="556"/>
      <c r="JUF53" s="556"/>
      <c r="JUG53" s="556"/>
      <c r="JUH53" s="556"/>
      <c r="JUI53" s="556"/>
      <c r="JUJ53" s="556"/>
      <c r="JUK53" s="556"/>
      <c r="JUL53" s="556"/>
      <c r="JUM53" s="556"/>
      <c r="JUN53" s="556"/>
      <c r="JUO53" s="556"/>
      <c r="JUP53" s="556"/>
      <c r="JUQ53" s="556"/>
      <c r="JUR53" s="556"/>
      <c r="JUS53" s="556"/>
      <c r="JUT53" s="556"/>
      <c r="JUU53" s="556"/>
      <c r="JUV53" s="556"/>
      <c r="JUW53" s="556"/>
      <c r="JUX53" s="556"/>
      <c r="JUY53" s="556"/>
      <c r="JUZ53" s="556"/>
      <c r="JVA53" s="556"/>
      <c r="JVB53" s="556"/>
      <c r="JVC53" s="556"/>
      <c r="JVD53" s="556"/>
      <c r="JVE53" s="556"/>
      <c r="JVF53" s="556"/>
      <c r="JVG53" s="556"/>
      <c r="JVH53" s="556"/>
      <c r="JVI53" s="556"/>
      <c r="JVJ53" s="556"/>
      <c r="JVK53" s="556"/>
      <c r="JVL53" s="556"/>
      <c r="JVM53" s="556"/>
      <c r="JVN53" s="556"/>
      <c r="JVO53" s="556"/>
      <c r="JVP53" s="556"/>
      <c r="JVQ53" s="556"/>
      <c r="JVR53" s="556"/>
      <c r="JVS53" s="556"/>
      <c r="JVT53" s="556"/>
      <c r="JVU53" s="556"/>
      <c r="JVV53" s="556"/>
      <c r="JVW53" s="556"/>
      <c r="JVX53" s="556"/>
      <c r="JVY53" s="556"/>
      <c r="JVZ53" s="556"/>
      <c r="JWA53" s="556"/>
      <c r="JWB53" s="556"/>
      <c r="JWC53" s="556"/>
      <c r="JWD53" s="556"/>
      <c r="JWE53" s="556"/>
      <c r="JWF53" s="556"/>
      <c r="JWG53" s="556"/>
      <c r="JWH53" s="556"/>
      <c r="JWI53" s="556"/>
      <c r="JWJ53" s="556"/>
      <c r="JWK53" s="556"/>
      <c r="JWL53" s="556"/>
      <c r="JWM53" s="556"/>
      <c r="JWN53" s="556"/>
      <c r="JWO53" s="556"/>
      <c r="JWP53" s="556"/>
      <c r="JWQ53" s="556"/>
      <c r="JWR53" s="556"/>
      <c r="JWS53" s="556"/>
      <c r="JWT53" s="556"/>
      <c r="JWU53" s="556"/>
      <c r="JWV53" s="556"/>
      <c r="JWW53" s="556"/>
      <c r="JWX53" s="556"/>
      <c r="JWY53" s="556"/>
      <c r="JWZ53" s="556"/>
      <c r="JXA53" s="556"/>
      <c r="JXB53" s="556"/>
      <c r="JXC53" s="556"/>
      <c r="JXD53" s="556"/>
      <c r="JXE53" s="556"/>
      <c r="JXF53" s="556"/>
      <c r="JXG53" s="556"/>
      <c r="JXH53" s="556"/>
      <c r="JXI53" s="556"/>
      <c r="JXJ53" s="556"/>
      <c r="JXK53" s="556"/>
      <c r="JXL53" s="556"/>
      <c r="JXM53" s="556"/>
      <c r="JXN53" s="556"/>
      <c r="JXO53" s="556"/>
      <c r="JXP53" s="556"/>
      <c r="JXQ53" s="556"/>
      <c r="JXR53" s="556"/>
      <c r="JXS53" s="556"/>
      <c r="JXT53" s="556"/>
      <c r="JXU53" s="556"/>
      <c r="JXV53" s="556"/>
      <c r="JXW53" s="556"/>
      <c r="JXX53" s="556"/>
      <c r="JXY53" s="556"/>
      <c r="JXZ53" s="556"/>
      <c r="JYA53" s="556"/>
      <c r="JYB53" s="556"/>
      <c r="JYC53" s="556"/>
      <c r="JYD53" s="556"/>
      <c r="JYE53" s="556"/>
      <c r="JYF53" s="556"/>
      <c r="JYG53" s="556"/>
      <c r="JYH53" s="556"/>
      <c r="JYI53" s="556"/>
      <c r="JYJ53" s="556"/>
      <c r="JYK53" s="556"/>
      <c r="JYL53" s="556"/>
      <c r="JYM53" s="556"/>
      <c r="JYN53" s="556"/>
      <c r="JYO53" s="556"/>
      <c r="JYP53" s="556"/>
      <c r="JYQ53" s="556"/>
      <c r="JYR53" s="556"/>
      <c r="JYS53" s="556"/>
      <c r="JYT53" s="556"/>
      <c r="JYU53" s="556"/>
      <c r="JYV53" s="556"/>
      <c r="JYW53" s="556"/>
      <c r="JYX53" s="556"/>
      <c r="JYY53" s="556"/>
      <c r="JYZ53" s="556"/>
      <c r="JZA53" s="556"/>
      <c r="JZB53" s="556"/>
      <c r="JZC53" s="556"/>
      <c r="JZD53" s="556"/>
      <c r="JZE53" s="556"/>
      <c r="JZF53" s="556"/>
      <c r="JZG53" s="556"/>
      <c r="JZH53" s="556"/>
      <c r="JZI53" s="556"/>
      <c r="JZJ53" s="556"/>
      <c r="JZK53" s="556"/>
      <c r="JZL53" s="556"/>
      <c r="JZM53" s="556"/>
      <c r="JZN53" s="556"/>
      <c r="JZO53" s="556"/>
      <c r="JZP53" s="556"/>
      <c r="JZQ53" s="556"/>
      <c r="JZR53" s="556"/>
      <c r="JZS53" s="556"/>
      <c r="JZT53" s="556"/>
      <c r="JZU53" s="556"/>
      <c r="JZV53" s="556"/>
      <c r="JZW53" s="556"/>
      <c r="JZX53" s="556"/>
      <c r="JZY53" s="556"/>
      <c r="JZZ53" s="556"/>
      <c r="KAA53" s="556"/>
      <c r="KAB53" s="556"/>
      <c r="KAC53" s="556"/>
      <c r="KAD53" s="556"/>
      <c r="KAE53" s="556"/>
      <c r="KAF53" s="556"/>
      <c r="KAG53" s="556"/>
      <c r="KAH53" s="556"/>
      <c r="KAI53" s="556"/>
      <c r="KAJ53" s="556"/>
      <c r="KAK53" s="556"/>
      <c r="KAL53" s="556"/>
      <c r="KAM53" s="556"/>
      <c r="KAN53" s="556"/>
      <c r="KAO53" s="556"/>
      <c r="KAP53" s="556"/>
      <c r="KAQ53" s="556"/>
      <c r="KAR53" s="556"/>
      <c r="KAS53" s="556"/>
      <c r="KAT53" s="556"/>
      <c r="KAU53" s="556"/>
      <c r="KAV53" s="556"/>
      <c r="KAW53" s="556"/>
      <c r="KAX53" s="556"/>
      <c r="KAY53" s="556"/>
      <c r="KAZ53" s="556"/>
      <c r="KBA53" s="556"/>
      <c r="KBB53" s="556"/>
      <c r="KBC53" s="556"/>
      <c r="KBD53" s="556"/>
      <c r="KBE53" s="556"/>
      <c r="KBF53" s="556"/>
      <c r="KBG53" s="556"/>
      <c r="KBH53" s="556"/>
      <c r="KBI53" s="556"/>
      <c r="KBJ53" s="556"/>
      <c r="KBK53" s="556"/>
      <c r="KBL53" s="556"/>
      <c r="KBM53" s="556"/>
      <c r="KBN53" s="556"/>
      <c r="KBO53" s="556"/>
      <c r="KBP53" s="556"/>
      <c r="KBQ53" s="556"/>
      <c r="KBR53" s="556"/>
      <c r="KBS53" s="556"/>
      <c r="KBT53" s="556"/>
      <c r="KBU53" s="556"/>
      <c r="KBV53" s="556"/>
      <c r="KBW53" s="556"/>
      <c r="KBX53" s="556"/>
      <c r="KBY53" s="556"/>
      <c r="KBZ53" s="556"/>
      <c r="KCA53" s="556"/>
      <c r="KCB53" s="556"/>
      <c r="KCC53" s="556"/>
      <c r="KCD53" s="556"/>
      <c r="KCE53" s="556"/>
      <c r="KCF53" s="556"/>
      <c r="KCG53" s="556"/>
      <c r="KCH53" s="556"/>
      <c r="KCI53" s="556"/>
      <c r="KCJ53" s="556"/>
      <c r="KCK53" s="556"/>
      <c r="KCL53" s="556"/>
      <c r="KCM53" s="556"/>
      <c r="KCN53" s="556"/>
      <c r="KCO53" s="556"/>
      <c r="KCP53" s="556"/>
      <c r="KCQ53" s="556"/>
      <c r="KCR53" s="556"/>
      <c r="KCS53" s="556"/>
      <c r="KCT53" s="556"/>
      <c r="KCU53" s="556"/>
      <c r="KCV53" s="556"/>
      <c r="KCW53" s="556"/>
      <c r="KCX53" s="556"/>
      <c r="KCY53" s="556"/>
      <c r="KCZ53" s="556"/>
      <c r="KDA53" s="556"/>
      <c r="KDB53" s="556"/>
      <c r="KDC53" s="556"/>
      <c r="KDD53" s="556"/>
      <c r="KDE53" s="556"/>
      <c r="KDF53" s="556"/>
      <c r="KDG53" s="556"/>
      <c r="KDH53" s="556"/>
      <c r="KDI53" s="556"/>
      <c r="KDJ53" s="556"/>
      <c r="KDK53" s="556"/>
      <c r="KDL53" s="556"/>
      <c r="KDM53" s="556"/>
      <c r="KDN53" s="556"/>
      <c r="KDO53" s="556"/>
      <c r="KDP53" s="556"/>
      <c r="KDQ53" s="556"/>
      <c r="KDR53" s="556"/>
      <c r="KDS53" s="556"/>
      <c r="KDT53" s="556"/>
      <c r="KDU53" s="556"/>
      <c r="KDV53" s="556"/>
      <c r="KDW53" s="556"/>
      <c r="KDX53" s="556"/>
      <c r="KDY53" s="556"/>
      <c r="KDZ53" s="556"/>
      <c r="KEA53" s="556"/>
      <c r="KEB53" s="556"/>
      <c r="KEC53" s="556"/>
      <c r="KED53" s="556"/>
      <c r="KEE53" s="556"/>
      <c r="KEF53" s="556"/>
      <c r="KEG53" s="556"/>
      <c r="KEH53" s="556"/>
      <c r="KEI53" s="556"/>
      <c r="KEJ53" s="556"/>
      <c r="KEK53" s="556"/>
      <c r="KEL53" s="556"/>
      <c r="KEM53" s="556"/>
      <c r="KEN53" s="556"/>
      <c r="KEO53" s="556"/>
      <c r="KEP53" s="556"/>
      <c r="KEQ53" s="556"/>
      <c r="KER53" s="556"/>
      <c r="KES53" s="556"/>
      <c r="KET53" s="556"/>
      <c r="KEU53" s="556"/>
      <c r="KEV53" s="556"/>
      <c r="KEW53" s="556"/>
      <c r="KEX53" s="556"/>
      <c r="KEY53" s="556"/>
      <c r="KEZ53" s="556"/>
      <c r="KFA53" s="556"/>
      <c r="KFB53" s="556"/>
      <c r="KFC53" s="556"/>
      <c r="KFD53" s="556"/>
      <c r="KFE53" s="556"/>
      <c r="KFF53" s="556"/>
      <c r="KFG53" s="556"/>
      <c r="KFH53" s="556"/>
      <c r="KFI53" s="556"/>
      <c r="KFJ53" s="556"/>
      <c r="KFK53" s="556"/>
      <c r="KFL53" s="556"/>
      <c r="KFM53" s="556"/>
      <c r="KFN53" s="556"/>
      <c r="KFO53" s="556"/>
      <c r="KFP53" s="556"/>
      <c r="KFQ53" s="556"/>
      <c r="KFR53" s="556"/>
      <c r="KFS53" s="556"/>
      <c r="KFT53" s="556"/>
      <c r="KFU53" s="556"/>
      <c r="KFV53" s="556"/>
      <c r="KFW53" s="556"/>
      <c r="KFX53" s="556"/>
      <c r="KFY53" s="556"/>
      <c r="KFZ53" s="556"/>
      <c r="KGA53" s="556"/>
      <c r="KGB53" s="556"/>
      <c r="KGC53" s="556"/>
      <c r="KGD53" s="556"/>
      <c r="KGE53" s="556"/>
      <c r="KGF53" s="556"/>
      <c r="KGG53" s="556"/>
      <c r="KGH53" s="556"/>
      <c r="KGI53" s="556"/>
      <c r="KGJ53" s="556"/>
      <c r="KGK53" s="556"/>
      <c r="KGL53" s="556"/>
      <c r="KGM53" s="556"/>
      <c r="KGN53" s="556"/>
      <c r="KGO53" s="556"/>
      <c r="KGP53" s="556"/>
      <c r="KGQ53" s="556"/>
      <c r="KGR53" s="556"/>
      <c r="KGS53" s="556"/>
      <c r="KGT53" s="556"/>
      <c r="KGU53" s="556"/>
      <c r="KGV53" s="556"/>
      <c r="KGW53" s="556"/>
      <c r="KGX53" s="556"/>
      <c r="KGY53" s="556"/>
      <c r="KGZ53" s="556"/>
      <c r="KHA53" s="556"/>
      <c r="KHB53" s="556"/>
      <c r="KHC53" s="556"/>
      <c r="KHD53" s="556"/>
      <c r="KHE53" s="556"/>
      <c r="KHF53" s="556"/>
      <c r="KHG53" s="556"/>
      <c r="KHH53" s="556"/>
      <c r="KHI53" s="556"/>
      <c r="KHJ53" s="556"/>
      <c r="KHK53" s="556"/>
      <c r="KHL53" s="556"/>
      <c r="KHM53" s="556"/>
      <c r="KHN53" s="556"/>
      <c r="KHO53" s="556"/>
      <c r="KHP53" s="556"/>
      <c r="KHQ53" s="556"/>
      <c r="KHR53" s="556"/>
      <c r="KHS53" s="556"/>
      <c r="KHT53" s="556"/>
      <c r="KHU53" s="556"/>
      <c r="KHV53" s="556"/>
      <c r="KHW53" s="556"/>
      <c r="KHX53" s="556"/>
      <c r="KHY53" s="556"/>
      <c r="KHZ53" s="556"/>
      <c r="KIA53" s="556"/>
      <c r="KIB53" s="556"/>
      <c r="KIC53" s="556"/>
      <c r="KID53" s="556"/>
      <c r="KIE53" s="556"/>
      <c r="KIF53" s="556"/>
      <c r="KIG53" s="556"/>
      <c r="KIH53" s="556"/>
      <c r="KII53" s="556"/>
      <c r="KIJ53" s="556"/>
      <c r="KIK53" s="556"/>
      <c r="KIL53" s="556"/>
      <c r="KIM53" s="556"/>
      <c r="KIN53" s="556"/>
      <c r="KIO53" s="556"/>
      <c r="KIP53" s="556"/>
      <c r="KIQ53" s="556"/>
      <c r="KIR53" s="556"/>
      <c r="KIS53" s="556"/>
      <c r="KIT53" s="556"/>
      <c r="KIU53" s="556"/>
      <c r="KIV53" s="556"/>
      <c r="KIW53" s="556"/>
      <c r="KIX53" s="556"/>
      <c r="KIY53" s="556"/>
      <c r="KIZ53" s="556"/>
      <c r="KJA53" s="556"/>
      <c r="KJB53" s="556"/>
      <c r="KJC53" s="556"/>
      <c r="KJD53" s="556"/>
      <c r="KJE53" s="556"/>
      <c r="KJF53" s="556"/>
      <c r="KJG53" s="556"/>
      <c r="KJH53" s="556"/>
      <c r="KJI53" s="556"/>
      <c r="KJJ53" s="556"/>
      <c r="KJK53" s="556"/>
      <c r="KJL53" s="556"/>
      <c r="KJM53" s="556"/>
      <c r="KJN53" s="556"/>
      <c r="KJO53" s="556"/>
      <c r="KJP53" s="556"/>
      <c r="KJQ53" s="556"/>
      <c r="KJR53" s="556"/>
      <c r="KJS53" s="556"/>
      <c r="KJT53" s="556"/>
      <c r="KJU53" s="556"/>
      <c r="KJV53" s="556"/>
      <c r="KJW53" s="556"/>
      <c r="KJX53" s="556"/>
      <c r="KJY53" s="556"/>
      <c r="KJZ53" s="556"/>
      <c r="KKA53" s="556"/>
      <c r="KKB53" s="556"/>
      <c r="KKC53" s="556"/>
      <c r="KKD53" s="556"/>
      <c r="KKE53" s="556"/>
      <c r="KKF53" s="556"/>
      <c r="KKG53" s="556"/>
      <c r="KKH53" s="556"/>
      <c r="KKI53" s="556"/>
      <c r="KKJ53" s="556"/>
      <c r="KKK53" s="556"/>
      <c r="KKL53" s="556"/>
      <c r="KKM53" s="556"/>
      <c r="KKN53" s="556"/>
      <c r="KKO53" s="556"/>
      <c r="KKP53" s="556"/>
      <c r="KKQ53" s="556"/>
      <c r="KKR53" s="556"/>
      <c r="KKS53" s="556"/>
      <c r="KKT53" s="556"/>
      <c r="KKU53" s="556"/>
      <c r="KKV53" s="556"/>
      <c r="KKW53" s="556"/>
      <c r="KKX53" s="556"/>
      <c r="KKY53" s="556"/>
      <c r="KKZ53" s="556"/>
      <c r="KLA53" s="556"/>
      <c r="KLB53" s="556"/>
      <c r="KLC53" s="556"/>
      <c r="KLD53" s="556"/>
      <c r="KLE53" s="556"/>
      <c r="KLF53" s="556"/>
      <c r="KLG53" s="556"/>
      <c r="KLH53" s="556"/>
      <c r="KLI53" s="556"/>
      <c r="KLJ53" s="556"/>
      <c r="KLK53" s="556"/>
      <c r="KLL53" s="556"/>
      <c r="KLM53" s="556"/>
      <c r="KLN53" s="556"/>
      <c r="KLO53" s="556"/>
      <c r="KLP53" s="556"/>
      <c r="KLQ53" s="556"/>
      <c r="KLR53" s="556"/>
      <c r="KLS53" s="556"/>
      <c r="KLT53" s="556"/>
      <c r="KLU53" s="556"/>
      <c r="KLV53" s="556"/>
      <c r="KLW53" s="556"/>
      <c r="KLX53" s="556"/>
      <c r="KLY53" s="556"/>
      <c r="KLZ53" s="556"/>
      <c r="KMA53" s="556"/>
      <c r="KMB53" s="556"/>
      <c r="KMC53" s="556"/>
      <c r="KMD53" s="556"/>
      <c r="KME53" s="556"/>
      <c r="KMF53" s="556"/>
      <c r="KMG53" s="556"/>
      <c r="KMH53" s="556"/>
      <c r="KMI53" s="556"/>
      <c r="KMJ53" s="556"/>
      <c r="KMK53" s="556"/>
      <c r="KML53" s="556"/>
      <c r="KMM53" s="556"/>
      <c r="KMN53" s="556"/>
      <c r="KMO53" s="556"/>
      <c r="KMP53" s="556"/>
      <c r="KMQ53" s="556"/>
      <c r="KMR53" s="556"/>
      <c r="KMS53" s="556"/>
      <c r="KMT53" s="556"/>
      <c r="KMU53" s="556"/>
      <c r="KMV53" s="556"/>
      <c r="KMW53" s="556"/>
      <c r="KMX53" s="556"/>
      <c r="KMY53" s="556"/>
      <c r="KMZ53" s="556"/>
      <c r="KNA53" s="556"/>
      <c r="KNB53" s="556"/>
      <c r="KNC53" s="556"/>
      <c r="KND53" s="556"/>
      <c r="KNE53" s="556"/>
      <c r="KNF53" s="556"/>
      <c r="KNG53" s="556"/>
      <c r="KNH53" s="556"/>
      <c r="KNI53" s="556"/>
      <c r="KNJ53" s="556"/>
      <c r="KNK53" s="556"/>
      <c r="KNL53" s="556"/>
      <c r="KNM53" s="556"/>
      <c r="KNN53" s="556"/>
      <c r="KNO53" s="556"/>
      <c r="KNP53" s="556"/>
      <c r="KNQ53" s="556"/>
      <c r="KNR53" s="556"/>
      <c r="KNS53" s="556"/>
      <c r="KNT53" s="556"/>
      <c r="KNU53" s="556"/>
      <c r="KNV53" s="556"/>
      <c r="KNW53" s="556"/>
      <c r="KNX53" s="556"/>
      <c r="KNY53" s="556"/>
      <c r="KNZ53" s="556"/>
      <c r="KOA53" s="556"/>
      <c r="KOB53" s="556"/>
      <c r="KOC53" s="556"/>
      <c r="KOD53" s="556"/>
      <c r="KOE53" s="556"/>
      <c r="KOF53" s="556"/>
      <c r="KOG53" s="556"/>
      <c r="KOH53" s="556"/>
      <c r="KOI53" s="556"/>
      <c r="KOJ53" s="556"/>
      <c r="KOK53" s="556"/>
      <c r="KOL53" s="556"/>
      <c r="KOM53" s="556"/>
      <c r="KON53" s="556"/>
      <c r="KOO53" s="556"/>
      <c r="KOP53" s="556"/>
      <c r="KOQ53" s="556"/>
      <c r="KOR53" s="556"/>
      <c r="KOS53" s="556"/>
      <c r="KOT53" s="556"/>
      <c r="KOU53" s="556"/>
      <c r="KOV53" s="556"/>
      <c r="KOW53" s="556"/>
      <c r="KOX53" s="556"/>
      <c r="KOY53" s="556"/>
      <c r="KOZ53" s="556"/>
      <c r="KPA53" s="556"/>
      <c r="KPB53" s="556"/>
      <c r="KPC53" s="556"/>
      <c r="KPD53" s="556"/>
      <c r="KPE53" s="556"/>
      <c r="KPF53" s="556"/>
      <c r="KPG53" s="556"/>
      <c r="KPH53" s="556"/>
      <c r="KPI53" s="556"/>
      <c r="KPJ53" s="556"/>
      <c r="KPK53" s="556"/>
      <c r="KPL53" s="556"/>
      <c r="KPM53" s="556"/>
      <c r="KPN53" s="556"/>
      <c r="KPO53" s="556"/>
      <c r="KPP53" s="556"/>
      <c r="KPQ53" s="556"/>
      <c r="KPR53" s="556"/>
      <c r="KPS53" s="556"/>
      <c r="KPT53" s="556"/>
      <c r="KPU53" s="556"/>
      <c r="KPV53" s="556"/>
      <c r="KPW53" s="556"/>
      <c r="KPX53" s="556"/>
      <c r="KPY53" s="556"/>
      <c r="KPZ53" s="556"/>
      <c r="KQA53" s="556"/>
      <c r="KQB53" s="556"/>
      <c r="KQC53" s="556"/>
      <c r="KQD53" s="556"/>
      <c r="KQE53" s="556"/>
      <c r="KQF53" s="556"/>
      <c r="KQG53" s="556"/>
      <c r="KQH53" s="556"/>
      <c r="KQI53" s="556"/>
      <c r="KQJ53" s="556"/>
      <c r="KQK53" s="556"/>
      <c r="KQL53" s="556"/>
      <c r="KQM53" s="556"/>
      <c r="KQN53" s="556"/>
      <c r="KQO53" s="556"/>
      <c r="KQP53" s="556"/>
      <c r="KQQ53" s="556"/>
      <c r="KQR53" s="556"/>
      <c r="KQS53" s="556"/>
      <c r="KQT53" s="556"/>
      <c r="KQU53" s="556"/>
      <c r="KQV53" s="556"/>
      <c r="KQW53" s="556"/>
      <c r="KQX53" s="556"/>
      <c r="KQY53" s="556"/>
      <c r="KQZ53" s="556"/>
      <c r="KRA53" s="556"/>
      <c r="KRB53" s="556"/>
      <c r="KRC53" s="556"/>
      <c r="KRD53" s="556"/>
      <c r="KRE53" s="556"/>
      <c r="KRF53" s="556"/>
      <c r="KRG53" s="556"/>
      <c r="KRH53" s="556"/>
      <c r="KRI53" s="556"/>
      <c r="KRJ53" s="556"/>
      <c r="KRK53" s="556"/>
      <c r="KRL53" s="556"/>
      <c r="KRM53" s="556"/>
      <c r="KRN53" s="556"/>
      <c r="KRO53" s="556"/>
      <c r="KRP53" s="556"/>
      <c r="KRQ53" s="556"/>
      <c r="KRR53" s="556"/>
      <c r="KRS53" s="556"/>
      <c r="KRT53" s="556"/>
      <c r="KRU53" s="556"/>
      <c r="KRV53" s="556"/>
      <c r="KRW53" s="556"/>
      <c r="KRX53" s="556"/>
      <c r="KRY53" s="556"/>
      <c r="KRZ53" s="556"/>
      <c r="KSA53" s="556"/>
      <c r="KSB53" s="556"/>
      <c r="KSC53" s="556"/>
      <c r="KSD53" s="556"/>
      <c r="KSE53" s="556"/>
      <c r="KSF53" s="556"/>
      <c r="KSG53" s="556"/>
      <c r="KSH53" s="556"/>
      <c r="KSI53" s="556"/>
      <c r="KSJ53" s="556"/>
      <c r="KSK53" s="556"/>
      <c r="KSL53" s="556"/>
      <c r="KSM53" s="556"/>
      <c r="KSN53" s="556"/>
      <c r="KSO53" s="556"/>
      <c r="KSP53" s="556"/>
      <c r="KSQ53" s="556"/>
      <c r="KSR53" s="556"/>
      <c r="KSS53" s="556"/>
      <c r="KST53" s="556"/>
      <c r="KSU53" s="556"/>
      <c r="KSV53" s="556"/>
      <c r="KSW53" s="556"/>
      <c r="KSX53" s="556"/>
      <c r="KSY53" s="556"/>
      <c r="KSZ53" s="556"/>
      <c r="KTA53" s="556"/>
      <c r="KTB53" s="556"/>
      <c r="KTC53" s="556"/>
      <c r="KTD53" s="556"/>
      <c r="KTE53" s="556"/>
      <c r="KTF53" s="556"/>
      <c r="KTG53" s="556"/>
      <c r="KTH53" s="556"/>
      <c r="KTI53" s="556"/>
      <c r="KTJ53" s="556"/>
      <c r="KTK53" s="556"/>
      <c r="KTL53" s="556"/>
      <c r="KTM53" s="556"/>
      <c r="KTN53" s="556"/>
      <c r="KTO53" s="556"/>
      <c r="KTP53" s="556"/>
      <c r="KTQ53" s="556"/>
      <c r="KTR53" s="556"/>
      <c r="KTS53" s="556"/>
      <c r="KTT53" s="556"/>
      <c r="KTU53" s="556"/>
      <c r="KTV53" s="556"/>
      <c r="KTW53" s="556"/>
      <c r="KTX53" s="556"/>
      <c r="KTY53" s="556"/>
      <c r="KTZ53" s="556"/>
      <c r="KUA53" s="556"/>
      <c r="KUB53" s="556"/>
      <c r="KUC53" s="556"/>
      <c r="KUD53" s="556"/>
      <c r="KUE53" s="556"/>
      <c r="KUF53" s="556"/>
      <c r="KUG53" s="556"/>
      <c r="KUH53" s="556"/>
      <c r="KUI53" s="556"/>
      <c r="KUJ53" s="556"/>
      <c r="KUK53" s="556"/>
      <c r="KUL53" s="556"/>
      <c r="KUM53" s="556"/>
      <c r="KUN53" s="556"/>
      <c r="KUO53" s="556"/>
      <c r="KUP53" s="556"/>
      <c r="KUQ53" s="556"/>
      <c r="KUR53" s="556"/>
      <c r="KUS53" s="556"/>
      <c r="KUT53" s="556"/>
      <c r="KUU53" s="556"/>
      <c r="KUV53" s="556"/>
      <c r="KUW53" s="556"/>
      <c r="KUX53" s="556"/>
      <c r="KUY53" s="556"/>
      <c r="KUZ53" s="556"/>
      <c r="KVA53" s="556"/>
      <c r="KVB53" s="556"/>
      <c r="KVC53" s="556"/>
      <c r="KVD53" s="556"/>
      <c r="KVE53" s="556"/>
      <c r="KVF53" s="556"/>
      <c r="KVG53" s="556"/>
      <c r="KVH53" s="556"/>
      <c r="KVI53" s="556"/>
      <c r="KVJ53" s="556"/>
      <c r="KVK53" s="556"/>
      <c r="KVL53" s="556"/>
      <c r="KVM53" s="556"/>
      <c r="KVN53" s="556"/>
      <c r="KVO53" s="556"/>
      <c r="KVP53" s="556"/>
      <c r="KVQ53" s="556"/>
      <c r="KVR53" s="556"/>
      <c r="KVS53" s="556"/>
      <c r="KVT53" s="556"/>
      <c r="KVU53" s="556"/>
      <c r="KVV53" s="556"/>
      <c r="KVW53" s="556"/>
      <c r="KVX53" s="556"/>
      <c r="KVY53" s="556"/>
      <c r="KVZ53" s="556"/>
      <c r="KWA53" s="556"/>
      <c r="KWB53" s="556"/>
      <c r="KWC53" s="556"/>
      <c r="KWD53" s="556"/>
      <c r="KWE53" s="556"/>
      <c r="KWF53" s="556"/>
      <c r="KWG53" s="556"/>
      <c r="KWH53" s="556"/>
      <c r="KWI53" s="556"/>
      <c r="KWJ53" s="556"/>
      <c r="KWK53" s="556"/>
      <c r="KWL53" s="556"/>
      <c r="KWM53" s="556"/>
      <c r="KWN53" s="556"/>
      <c r="KWO53" s="556"/>
      <c r="KWP53" s="556"/>
      <c r="KWQ53" s="556"/>
      <c r="KWR53" s="556"/>
      <c r="KWS53" s="556"/>
      <c r="KWT53" s="556"/>
      <c r="KWU53" s="556"/>
      <c r="KWV53" s="556"/>
      <c r="KWW53" s="556"/>
      <c r="KWX53" s="556"/>
      <c r="KWY53" s="556"/>
      <c r="KWZ53" s="556"/>
      <c r="KXA53" s="556"/>
      <c r="KXB53" s="556"/>
      <c r="KXC53" s="556"/>
      <c r="KXD53" s="556"/>
      <c r="KXE53" s="556"/>
      <c r="KXF53" s="556"/>
      <c r="KXG53" s="556"/>
      <c r="KXH53" s="556"/>
      <c r="KXI53" s="556"/>
      <c r="KXJ53" s="556"/>
      <c r="KXK53" s="556"/>
      <c r="KXL53" s="556"/>
      <c r="KXM53" s="556"/>
      <c r="KXN53" s="556"/>
      <c r="KXO53" s="556"/>
      <c r="KXP53" s="556"/>
      <c r="KXQ53" s="556"/>
      <c r="KXR53" s="556"/>
      <c r="KXS53" s="556"/>
      <c r="KXT53" s="556"/>
      <c r="KXU53" s="556"/>
      <c r="KXV53" s="556"/>
      <c r="KXW53" s="556"/>
      <c r="KXX53" s="556"/>
      <c r="KXY53" s="556"/>
      <c r="KXZ53" s="556"/>
      <c r="KYA53" s="556"/>
      <c r="KYB53" s="556"/>
      <c r="KYC53" s="556"/>
      <c r="KYD53" s="556"/>
      <c r="KYE53" s="556"/>
      <c r="KYF53" s="556"/>
      <c r="KYG53" s="556"/>
      <c r="KYH53" s="556"/>
      <c r="KYI53" s="556"/>
      <c r="KYJ53" s="556"/>
      <c r="KYK53" s="556"/>
      <c r="KYL53" s="556"/>
      <c r="KYM53" s="556"/>
      <c r="KYN53" s="556"/>
      <c r="KYO53" s="556"/>
      <c r="KYP53" s="556"/>
      <c r="KYQ53" s="556"/>
      <c r="KYR53" s="556"/>
      <c r="KYS53" s="556"/>
      <c r="KYT53" s="556"/>
      <c r="KYU53" s="556"/>
      <c r="KYV53" s="556"/>
      <c r="KYW53" s="556"/>
      <c r="KYX53" s="556"/>
      <c r="KYY53" s="556"/>
      <c r="KYZ53" s="556"/>
      <c r="KZA53" s="556"/>
      <c r="KZB53" s="556"/>
      <c r="KZC53" s="556"/>
      <c r="KZD53" s="556"/>
      <c r="KZE53" s="556"/>
      <c r="KZF53" s="556"/>
      <c r="KZG53" s="556"/>
      <c r="KZH53" s="556"/>
      <c r="KZI53" s="556"/>
      <c r="KZJ53" s="556"/>
      <c r="KZK53" s="556"/>
      <c r="KZL53" s="556"/>
      <c r="KZM53" s="556"/>
      <c r="KZN53" s="556"/>
      <c r="KZO53" s="556"/>
      <c r="KZP53" s="556"/>
      <c r="KZQ53" s="556"/>
      <c r="KZR53" s="556"/>
      <c r="KZS53" s="556"/>
      <c r="KZT53" s="556"/>
      <c r="KZU53" s="556"/>
      <c r="KZV53" s="556"/>
      <c r="KZW53" s="556"/>
      <c r="KZX53" s="556"/>
      <c r="KZY53" s="556"/>
      <c r="KZZ53" s="556"/>
      <c r="LAA53" s="556"/>
      <c r="LAB53" s="556"/>
      <c r="LAC53" s="556"/>
      <c r="LAD53" s="556"/>
      <c r="LAE53" s="556"/>
      <c r="LAF53" s="556"/>
      <c r="LAG53" s="556"/>
      <c r="LAH53" s="556"/>
      <c r="LAI53" s="556"/>
      <c r="LAJ53" s="556"/>
      <c r="LAK53" s="556"/>
      <c r="LAL53" s="556"/>
      <c r="LAM53" s="556"/>
      <c r="LAN53" s="556"/>
      <c r="LAO53" s="556"/>
      <c r="LAP53" s="556"/>
      <c r="LAQ53" s="556"/>
      <c r="LAR53" s="556"/>
      <c r="LAS53" s="556"/>
      <c r="LAT53" s="556"/>
      <c r="LAU53" s="556"/>
      <c r="LAV53" s="556"/>
      <c r="LAW53" s="556"/>
      <c r="LAX53" s="556"/>
      <c r="LAY53" s="556"/>
      <c r="LAZ53" s="556"/>
      <c r="LBA53" s="556"/>
      <c r="LBB53" s="556"/>
      <c r="LBC53" s="556"/>
      <c r="LBD53" s="556"/>
      <c r="LBE53" s="556"/>
      <c r="LBF53" s="556"/>
      <c r="LBG53" s="556"/>
      <c r="LBH53" s="556"/>
      <c r="LBI53" s="556"/>
      <c r="LBJ53" s="556"/>
      <c r="LBK53" s="556"/>
      <c r="LBL53" s="556"/>
      <c r="LBM53" s="556"/>
      <c r="LBN53" s="556"/>
      <c r="LBO53" s="556"/>
      <c r="LBP53" s="556"/>
      <c r="LBQ53" s="556"/>
      <c r="LBR53" s="556"/>
      <c r="LBS53" s="556"/>
      <c r="LBT53" s="556"/>
      <c r="LBU53" s="556"/>
      <c r="LBV53" s="556"/>
      <c r="LBW53" s="556"/>
      <c r="LBX53" s="556"/>
      <c r="LBY53" s="556"/>
      <c r="LBZ53" s="556"/>
      <c r="LCA53" s="556"/>
      <c r="LCB53" s="556"/>
      <c r="LCC53" s="556"/>
      <c r="LCD53" s="556"/>
      <c r="LCE53" s="556"/>
      <c r="LCF53" s="556"/>
      <c r="LCG53" s="556"/>
      <c r="LCH53" s="556"/>
      <c r="LCI53" s="556"/>
      <c r="LCJ53" s="556"/>
      <c r="LCK53" s="556"/>
      <c r="LCL53" s="556"/>
      <c r="LCM53" s="556"/>
      <c r="LCN53" s="556"/>
      <c r="LCO53" s="556"/>
      <c r="LCP53" s="556"/>
      <c r="LCQ53" s="556"/>
      <c r="LCR53" s="556"/>
      <c r="LCS53" s="556"/>
      <c r="LCT53" s="556"/>
      <c r="LCU53" s="556"/>
      <c r="LCV53" s="556"/>
      <c r="LCW53" s="556"/>
      <c r="LCX53" s="556"/>
      <c r="LCY53" s="556"/>
      <c r="LCZ53" s="556"/>
      <c r="LDA53" s="556"/>
      <c r="LDB53" s="556"/>
      <c r="LDC53" s="556"/>
      <c r="LDD53" s="556"/>
      <c r="LDE53" s="556"/>
      <c r="LDF53" s="556"/>
      <c r="LDG53" s="556"/>
      <c r="LDH53" s="556"/>
      <c r="LDI53" s="556"/>
      <c r="LDJ53" s="556"/>
      <c r="LDK53" s="556"/>
      <c r="LDL53" s="556"/>
      <c r="LDM53" s="556"/>
      <c r="LDN53" s="556"/>
      <c r="LDO53" s="556"/>
      <c r="LDP53" s="556"/>
      <c r="LDQ53" s="556"/>
      <c r="LDR53" s="556"/>
      <c r="LDS53" s="556"/>
      <c r="LDT53" s="556"/>
      <c r="LDU53" s="556"/>
      <c r="LDV53" s="556"/>
      <c r="LDW53" s="556"/>
      <c r="LDX53" s="556"/>
      <c r="LDY53" s="556"/>
      <c r="LDZ53" s="556"/>
      <c r="LEA53" s="556"/>
      <c r="LEB53" s="556"/>
      <c r="LEC53" s="556"/>
      <c r="LED53" s="556"/>
      <c r="LEE53" s="556"/>
      <c r="LEF53" s="556"/>
      <c r="LEG53" s="556"/>
      <c r="LEH53" s="556"/>
      <c r="LEI53" s="556"/>
      <c r="LEJ53" s="556"/>
      <c r="LEK53" s="556"/>
      <c r="LEL53" s="556"/>
      <c r="LEM53" s="556"/>
      <c r="LEN53" s="556"/>
      <c r="LEO53" s="556"/>
      <c r="LEP53" s="556"/>
      <c r="LEQ53" s="556"/>
      <c r="LER53" s="556"/>
      <c r="LES53" s="556"/>
      <c r="LET53" s="556"/>
      <c r="LEU53" s="556"/>
      <c r="LEV53" s="556"/>
      <c r="LEW53" s="556"/>
      <c r="LEX53" s="556"/>
      <c r="LEY53" s="556"/>
      <c r="LEZ53" s="556"/>
      <c r="LFA53" s="556"/>
      <c r="LFB53" s="556"/>
      <c r="LFC53" s="556"/>
      <c r="LFD53" s="556"/>
      <c r="LFE53" s="556"/>
      <c r="LFF53" s="556"/>
      <c r="LFG53" s="556"/>
      <c r="LFH53" s="556"/>
      <c r="LFI53" s="556"/>
      <c r="LFJ53" s="556"/>
      <c r="LFK53" s="556"/>
      <c r="LFL53" s="556"/>
      <c r="LFM53" s="556"/>
      <c r="LFN53" s="556"/>
      <c r="LFO53" s="556"/>
      <c r="LFP53" s="556"/>
      <c r="LFQ53" s="556"/>
      <c r="LFR53" s="556"/>
      <c r="LFS53" s="556"/>
      <c r="LFT53" s="556"/>
      <c r="LFU53" s="556"/>
      <c r="LFV53" s="556"/>
      <c r="LFW53" s="556"/>
      <c r="LFX53" s="556"/>
      <c r="LFY53" s="556"/>
      <c r="LFZ53" s="556"/>
      <c r="LGA53" s="556"/>
      <c r="LGB53" s="556"/>
      <c r="LGC53" s="556"/>
      <c r="LGD53" s="556"/>
      <c r="LGE53" s="556"/>
      <c r="LGF53" s="556"/>
      <c r="LGG53" s="556"/>
      <c r="LGH53" s="556"/>
      <c r="LGI53" s="556"/>
      <c r="LGJ53" s="556"/>
      <c r="LGK53" s="556"/>
      <c r="LGL53" s="556"/>
      <c r="LGM53" s="556"/>
      <c r="LGN53" s="556"/>
      <c r="LGO53" s="556"/>
      <c r="LGP53" s="556"/>
      <c r="LGQ53" s="556"/>
      <c r="LGR53" s="556"/>
      <c r="LGS53" s="556"/>
      <c r="LGT53" s="556"/>
      <c r="LGU53" s="556"/>
      <c r="LGV53" s="556"/>
      <c r="LGW53" s="556"/>
      <c r="LGX53" s="556"/>
      <c r="LGY53" s="556"/>
      <c r="LGZ53" s="556"/>
      <c r="LHA53" s="556"/>
      <c r="LHB53" s="556"/>
      <c r="LHC53" s="556"/>
      <c r="LHD53" s="556"/>
      <c r="LHE53" s="556"/>
      <c r="LHF53" s="556"/>
      <c r="LHG53" s="556"/>
      <c r="LHH53" s="556"/>
      <c r="LHI53" s="556"/>
      <c r="LHJ53" s="556"/>
      <c r="LHK53" s="556"/>
      <c r="LHL53" s="556"/>
      <c r="LHM53" s="556"/>
      <c r="LHN53" s="556"/>
      <c r="LHO53" s="556"/>
      <c r="LHP53" s="556"/>
      <c r="LHQ53" s="556"/>
      <c r="LHR53" s="556"/>
      <c r="LHS53" s="556"/>
      <c r="LHT53" s="556"/>
      <c r="LHU53" s="556"/>
      <c r="LHV53" s="556"/>
      <c r="LHW53" s="556"/>
      <c r="LHX53" s="556"/>
      <c r="LHY53" s="556"/>
      <c r="LHZ53" s="556"/>
      <c r="LIA53" s="556"/>
      <c r="LIB53" s="556"/>
      <c r="LIC53" s="556"/>
      <c r="LID53" s="556"/>
      <c r="LIE53" s="556"/>
      <c r="LIF53" s="556"/>
      <c r="LIG53" s="556"/>
      <c r="LIH53" s="556"/>
      <c r="LII53" s="556"/>
      <c r="LIJ53" s="556"/>
      <c r="LIK53" s="556"/>
      <c r="LIL53" s="556"/>
      <c r="LIM53" s="556"/>
      <c r="LIN53" s="556"/>
      <c r="LIO53" s="556"/>
      <c r="LIP53" s="556"/>
      <c r="LIQ53" s="556"/>
      <c r="LIR53" s="556"/>
      <c r="LIS53" s="556"/>
      <c r="LIT53" s="556"/>
      <c r="LIU53" s="556"/>
      <c r="LIV53" s="556"/>
      <c r="LIW53" s="556"/>
      <c r="LIX53" s="556"/>
      <c r="LIY53" s="556"/>
      <c r="LIZ53" s="556"/>
      <c r="LJA53" s="556"/>
      <c r="LJB53" s="556"/>
      <c r="LJC53" s="556"/>
      <c r="LJD53" s="556"/>
      <c r="LJE53" s="556"/>
      <c r="LJF53" s="556"/>
      <c r="LJG53" s="556"/>
      <c r="LJH53" s="556"/>
      <c r="LJI53" s="556"/>
      <c r="LJJ53" s="556"/>
      <c r="LJK53" s="556"/>
      <c r="LJL53" s="556"/>
      <c r="LJM53" s="556"/>
      <c r="LJN53" s="556"/>
      <c r="LJO53" s="556"/>
      <c r="LJP53" s="556"/>
      <c r="LJQ53" s="556"/>
      <c r="LJR53" s="556"/>
      <c r="LJS53" s="556"/>
      <c r="LJT53" s="556"/>
      <c r="LJU53" s="556"/>
      <c r="LJV53" s="556"/>
      <c r="LJW53" s="556"/>
      <c r="LJX53" s="556"/>
      <c r="LJY53" s="556"/>
      <c r="LJZ53" s="556"/>
      <c r="LKA53" s="556"/>
      <c r="LKB53" s="556"/>
      <c r="LKC53" s="556"/>
      <c r="LKD53" s="556"/>
      <c r="LKE53" s="556"/>
      <c r="LKF53" s="556"/>
      <c r="LKG53" s="556"/>
      <c r="LKH53" s="556"/>
      <c r="LKI53" s="556"/>
      <c r="LKJ53" s="556"/>
      <c r="LKK53" s="556"/>
      <c r="LKL53" s="556"/>
      <c r="LKM53" s="556"/>
      <c r="LKN53" s="556"/>
      <c r="LKO53" s="556"/>
      <c r="LKP53" s="556"/>
      <c r="LKQ53" s="556"/>
      <c r="LKR53" s="556"/>
      <c r="LKS53" s="556"/>
      <c r="LKT53" s="556"/>
      <c r="LKU53" s="556"/>
      <c r="LKV53" s="556"/>
      <c r="LKW53" s="556"/>
      <c r="LKX53" s="556"/>
      <c r="LKY53" s="556"/>
      <c r="LKZ53" s="556"/>
      <c r="LLA53" s="556"/>
      <c r="LLB53" s="556"/>
      <c r="LLC53" s="556"/>
      <c r="LLD53" s="556"/>
      <c r="LLE53" s="556"/>
      <c r="LLF53" s="556"/>
      <c r="LLG53" s="556"/>
      <c r="LLH53" s="556"/>
      <c r="LLI53" s="556"/>
      <c r="LLJ53" s="556"/>
      <c r="LLK53" s="556"/>
      <c r="LLL53" s="556"/>
      <c r="LLM53" s="556"/>
      <c r="LLN53" s="556"/>
      <c r="LLO53" s="556"/>
      <c r="LLP53" s="556"/>
      <c r="LLQ53" s="556"/>
      <c r="LLR53" s="556"/>
      <c r="LLS53" s="556"/>
      <c r="LLT53" s="556"/>
      <c r="LLU53" s="556"/>
      <c r="LLV53" s="556"/>
      <c r="LLW53" s="556"/>
      <c r="LLX53" s="556"/>
      <c r="LLY53" s="556"/>
      <c r="LLZ53" s="556"/>
      <c r="LMA53" s="556"/>
      <c r="LMB53" s="556"/>
      <c r="LMC53" s="556"/>
      <c r="LMD53" s="556"/>
      <c r="LME53" s="556"/>
      <c r="LMF53" s="556"/>
      <c r="LMG53" s="556"/>
      <c r="LMH53" s="556"/>
      <c r="LMI53" s="556"/>
      <c r="LMJ53" s="556"/>
      <c r="LMK53" s="556"/>
      <c r="LML53" s="556"/>
      <c r="LMM53" s="556"/>
      <c r="LMN53" s="556"/>
      <c r="LMO53" s="556"/>
      <c r="LMP53" s="556"/>
      <c r="LMQ53" s="556"/>
      <c r="LMR53" s="556"/>
      <c r="LMS53" s="556"/>
      <c r="LMT53" s="556"/>
      <c r="LMU53" s="556"/>
      <c r="LMV53" s="556"/>
      <c r="LMW53" s="556"/>
      <c r="LMX53" s="556"/>
      <c r="LMY53" s="556"/>
      <c r="LMZ53" s="556"/>
      <c r="LNA53" s="556"/>
      <c r="LNB53" s="556"/>
      <c r="LNC53" s="556"/>
      <c r="LND53" s="556"/>
      <c r="LNE53" s="556"/>
      <c r="LNF53" s="556"/>
      <c r="LNG53" s="556"/>
      <c r="LNH53" s="556"/>
      <c r="LNI53" s="556"/>
      <c r="LNJ53" s="556"/>
      <c r="LNK53" s="556"/>
      <c r="LNL53" s="556"/>
      <c r="LNM53" s="556"/>
      <c r="LNN53" s="556"/>
      <c r="LNO53" s="556"/>
      <c r="LNP53" s="556"/>
      <c r="LNQ53" s="556"/>
      <c r="LNR53" s="556"/>
      <c r="LNS53" s="556"/>
      <c r="LNT53" s="556"/>
      <c r="LNU53" s="556"/>
      <c r="LNV53" s="556"/>
      <c r="LNW53" s="556"/>
      <c r="LNX53" s="556"/>
      <c r="LNY53" s="556"/>
      <c r="LNZ53" s="556"/>
      <c r="LOA53" s="556"/>
      <c r="LOB53" s="556"/>
      <c r="LOC53" s="556"/>
      <c r="LOD53" s="556"/>
      <c r="LOE53" s="556"/>
      <c r="LOF53" s="556"/>
      <c r="LOG53" s="556"/>
      <c r="LOH53" s="556"/>
      <c r="LOI53" s="556"/>
      <c r="LOJ53" s="556"/>
      <c r="LOK53" s="556"/>
      <c r="LOL53" s="556"/>
      <c r="LOM53" s="556"/>
      <c r="LON53" s="556"/>
      <c r="LOO53" s="556"/>
      <c r="LOP53" s="556"/>
      <c r="LOQ53" s="556"/>
      <c r="LOR53" s="556"/>
      <c r="LOS53" s="556"/>
      <c r="LOT53" s="556"/>
      <c r="LOU53" s="556"/>
      <c r="LOV53" s="556"/>
      <c r="LOW53" s="556"/>
      <c r="LOX53" s="556"/>
      <c r="LOY53" s="556"/>
      <c r="LOZ53" s="556"/>
      <c r="LPA53" s="556"/>
      <c r="LPB53" s="556"/>
      <c r="LPC53" s="556"/>
      <c r="LPD53" s="556"/>
      <c r="LPE53" s="556"/>
      <c r="LPF53" s="556"/>
      <c r="LPG53" s="556"/>
      <c r="LPH53" s="556"/>
      <c r="LPI53" s="556"/>
      <c r="LPJ53" s="556"/>
      <c r="LPK53" s="556"/>
      <c r="LPL53" s="556"/>
      <c r="LPM53" s="556"/>
      <c r="LPN53" s="556"/>
      <c r="LPO53" s="556"/>
      <c r="LPP53" s="556"/>
      <c r="LPQ53" s="556"/>
      <c r="LPR53" s="556"/>
      <c r="LPS53" s="556"/>
      <c r="LPT53" s="556"/>
      <c r="LPU53" s="556"/>
      <c r="LPV53" s="556"/>
      <c r="LPW53" s="556"/>
      <c r="LPX53" s="556"/>
      <c r="LPY53" s="556"/>
      <c r="LPZ53" s="556"/>
      <c r="LQA53" s="556"/>
      <c r="LQB53" s="556"/>
      <c r="LQC53" s="556"/>
      <c r="LQD53" s="556"/>
      <c r="LQE53" s="556"/>
      <c r="LQF53" s="556"/>
      <c r="LQG53" s="556"/>
      <c r="LQH53" s="556"/>
      <c r="LQI53" s="556"/>
      <c r="LQJ53" s="556"/>
      <c r="LQK53" s="556"/>
      <c r="LQL53" s="556"/>
      <c r="LQM53" s="556"/>
      <c r="LQN53" s="556"/>
      <c r="LQO53" s="556"/>
      <c r="LQP53" s="556"/>
      <c r="LQQ53" s="556"/>
      <c r="LQR53" s="556"/>
      <c r="LQS53" s="556"/>
      <c r="LQT53" s="556"/>
      <c r="LQU53" s="556"/>
      <c r="LQV53" s="556"/>
      <c r="LQW53" s="556"/>
      <c r="LQX53" s="556"/>
      <c r="LQY53" s="556"/>
      <c r="LQZ53" s="556"/>
      <c r="LRA53" s="556"/>
      <c r="LRB53" s="556"/>
      <c r="LRC53" s="556"/>
      <c r="LRD53" s="556"/>
      <c r="LRE53" s="556"/>
      <c r="LRF53" s="556"/>
      <c r="LRG53" s="556"/>
      <c r="LRH53" s="556"/>
      <c r="LRI53" s="556"/>
      <c r="LRJ53" s="556"/>
      <c r="LRK53" s="556"/>
      <c r="LRL53" s="556"/>
      <c r="LRM53" s="556"/>
      <c r="LRN53" s="556"/>
      <c r="LRO53" s="556"/>
      <c r="LRP53" s="556"/>
      <c r="LRQ53" s="556"/>
      <c r="LRR53" s="556"/>
      <c r="LRS53" s="556"/>
      <c r="LRT53" s="556"/>
      <c r="LRU53" s="556"/>
      <c r="LRV53" s="556"/>
      <c r="LRW53" s="556"/>
      <c r="LRX53" s="556"/>
      <c r="LRY53" s="556"/>
      <c r="LRZ53" s="556"/>
      <c r="LSA53" s="556"/>
      <c r="LSB53" s="556"/>
      <c r="LSC53" s="556"/>
      <c r="LSD53" s="556"/>
      <c r="LSE53" s="556"/>
      <c r="LSF53" s="556"/>
      <c r="LSG53" s="556"/>
      <c r="LSH53" s="556"/>
      <c r="LSI53" s="556"/>
      <c r="LSJ53" s="556"/>
      <c r="LSK53" s="556"/>
      <c r="LSL53" s="556"/>
      <c r="LSM53" s="556"/>
      <c r="LSN53" s="556"/>
      <c r="LSO53" s="556"/>
      <c r="LSP53" s="556"/>
      <c r="LSQ53" s="556"/>
      <c r="LSR53" s="556"/>
      <c r="LSS53" s="556"/>
      <c r="LST53" s="556"/>
      <c r="LSU53" s="556"/>
      <c r="LSV53" s="556"/>
      <c r="LSW53" s="556"/>
      <c r="LSX53" s="556"/>
      <c r="LSY53" s="556"/>
      <c r="LSZ53" s="556"/>
      <c r="LTA53" s="556"/>
      <c r="LTB53" s="556"/>
      <c r="LTC53" s="556"/>
      <c r="LTD53" s="556"/>
      <c r="LTE53" s="556"/>
      <c r="LTF53" s="556"/>
      <c r="LTG53" s="556"/>
      <c r="LTH53" s="556"/>
      <c r="LTI53" s="556"/>
      <c r="LTJ53" s="556"/>
      <c r="LTK53" s="556"/>
      <c r="LTL53" s="556"/>
      <c r="LTM53" s="556"/>
      <c r="LTN53" s="556"/>
      <c r="LTO53" s="556"/>
      <c r="LTP53" s="556"/>
      <c r="LTQ53" s="556"/>
      <c r="LTR53" s="556"/>
      <c r="LTS53" s="556"/>
      <c r="LTT53" s="556"/>
      <c r="LTU53" s="556"/>
      <c r="LTV53" s="556"/>
      <c r="LTW53" s="556"/>
      <c r="LTX53" s="556"/>
      <c r="LTY53" s="556"/>
      <c r="LTZ53" s="556"/>
      <c r="LUA53" s="556"/>
      <c r="LUB53" s="556"/>
      <c r="LUC53" s="556"/>
      <c r="LUD53" s="556"/>
      <c r="LUE53" s="556"/>
      <c r="LUF53" s="556"/>
      <c r="LUG53" s="556"/>
      <c r="LUH53" s="556"/>
      <c r="LUI53" s="556"/>
      <c r="LUJ53" s="556"/>
      <c r="LUK53" s="556"/>
      <c r="LUL53" s="556"/>
      <c r="LUM53" s="556"/>
      <c r="LUN53" s="556"/>
      <c r="LUO53" s="556"/>
      <c r="LUP53" s="556"/>
      <c r="LUQ53" s="556"/>
      <c r="LUR53" s="556"/>
      <c r="LUS53" s="556"/>
      <c r="LUT53" s="556"/>
      <c r="LUU53" s="556"/>
      <c r="LUV53" s="556"/>
      <c r="LUW53" s="556"/>
      <c r="LUX53" s="556"/>
      <c r="LUY53" s="556"/>
      <c r="LUZ53" s="556"/>
      <c r="LVA53" s="556"/>
      <c r="LVB53" s="556"/>
      <c r="LVC53" s="556"/>
      <c r="LVD53" s="556"/>
      <c r="LVE53" s="556"/>
      <c r="LVF53" s="556"/>
      <c r="LVG53" s="556"/>
      <c r="LVH53" s="556"/>
      <c r="LVI53" s="556"/>
      <c r="LVJ53" s="556"/>
      <c r="LVK53" s="556"/>
      <c r="LVL53" s="556"/>
      <c r="LVM53" s="556"/>
      <c r="LVN53" s="556"/>
      <c r="LVO53" s="556"/>
      <c r="LVP53" s="556"/>
      <c r="LVQ53" s="556"/>
      <c r="LVR53" s="556"/>
      <c r="LVS53" s="556"/>
      <c r="LVT53" s="556"/>
      <c r="LVU53" s="556"/>
      <c r="LVV53" s="556"/>
      <c r="LVW53" s="556"/>
      <c r="LVX53" s="556"/>
      <c r="LVY53" s="556"/>
      <c r="LVZ53" s="556"/>
      <c r="LWA53" s="556"/>
      <c r="LWB53" s="556"/>
      <c r="LWC53" s="556"/>
      <c r="LWD53" s="556"/>
      <c r="LWE53" s="556"/>
      <c r="LWF53" s="556"/>
      <c r="LWG53" s="556"/>
      <c r="LWH53" s="556"/>
      <c r="LWI53" s="556"/>
      <c r="LWJ53" s="556"/>
      <c r="LWK53" s="556"/>
      <c r="LWL53" s="556"/>
      <c r="LWM53" s="556"/>
      <c r="LWN53" s="556"/>
      <c r="LWO53" s="556"/>
      <c r="LWP53" s="556"/>
      <c r="LWQ53" s="556"/>
      <c r="LWR53" s="556"/>
      <c r="LWS53" s="556"/>
      <c r="LWT53" s="556"/>
      <c r="LWU53" s="556"/>
      <c r="LWV53" s="556"/>
      <c r="LWW53" s="556"/>
      <c r="LWX53" s="556"/>
      <c r="LWY53" s="556"/>
      <c r="LWZ53" s="556"/>
      <c r="LXA53" s="556"/>
      <c r="LXB53" s="556"/>
      <c r="LXC53" s="556"/>
      <c r="LXD53" s="556"/>
      <c r="LXE53" s="556"/>
      <c r="LXF53" s="556"/>
      <c r="LXG53" s="556"/>
      <c r="LXH53" s="556"/>
      <c r="LXI53" s="556"/>
      <c r="LXJ53" s="556"/>
      <c r="LXK53" s="556"/>
      <c r="LXL53" s="556"/>
      <c r="LXM53" s="556"/>
      <c r="LXN53" s="556"/>
      <c r="LXO53" s="556"/>
      <c r="LXP53" s="556"/>
      <c r="LXQ53" s="556"/>
      <c r="LXR53" s="556"/>
      <c r="LXS53" s="556"/>
      <c r="LXT53" s="556"/>
      <c r="LXU53" s="556"/>
      <c r="LXV53" s="556"/>
      <c r="LXW53" s="556"/>
      <c r="LXX53" s="556"/>
      <c r="LXY53" s="556"/>
      <c r="LXZ53" s="556"/>
      <c r="LYA53" s="556"/>
      <c r="LYB53" s="556"/>
      <c r="LYC53" s="556"/>
      <c r="LYD53" s="556"/>
      <c r="LYE53" s="556"/>
      <c r="LYF53" s="556"/>
      <c r="LYG53" s="556"/>
      <c r="LYH53" s="556"/>
      <c r="LYI53" s="556"/>
      <c r="LYJ53" s="556"/>
      <c r="LYK53" s="556"/>
      <c r="LYL53" s="556"/>
      <c r="LYM53" s="556"/>
      <c r="LYN53" s="556"/>
      <c r="LYO53" s="556"/>
      <c r="LYP53" s="556"/>
      <c r="LYQ53" s="556"/>
      <c r="LYR53" s="556"/>
      <c r="LYS53" s="556"/>
      <c r="LYT53" s="556"/>
      <c r="LYU53" s="556"/>
      <c r="LYV53" s="556"/>
      <c r="LYW53" s="556"/>
      <c r="LYX53" s="556"/>
      <c r="LYY53" s="556"/>
      <c r="LYZ53" s="556"/>
      <c r="LZA53" s="556"/>
      <c r="LZB53" s="556"/>
      <c r="LZC53" s="556"/>
      <c r="LZD53" s="556"/>
      <c r="LZE53" s="556"/>
      <c r="LZF53" s="556"/>
      <c r="LZG53" s="556"/>
      <c r="LZH53" s="556"/>
      <c r="LZI53" s="556"/>
      <c r="LZJ53" s="556"/>
      <c r="LZK53" s="556"/>
      <c r="LZL53" s="556"/>
      <c r="LZM53" s="556"/>
      <c r="LZN53" s="556"/>
      <c r="LZO53" s="556"/>
      <c r="LZP53" s="556"/>
      <c r="LZQ53" s="556"/>
      <c r="LZR53" s="556"/>
      <c r="LZS53" s="556"/>
      <c r="LZT53" s="556"/>
      <c r="LZU53" s="556"/>
      <c r="LZV53" s="556"/>
      <c r="LZW53" s="556"/>
      <c r="LZX53" s="556"/>
      <c r="LZY53" s="556"/>
      <c r="LZZ53" s="556"/>
      <c r="MAA53" s="556"/>
      <c r="MAB53" s="556"/>
      <c r="MAC53" s="556"/>
      <c r="MAD53" s="556"/>
      <c r="MAE53" s="556"/>
      <c r="MAF53" s="556"/>
      <c r="MAG53" s="556"/>
      <c r="MAH53" s="556"/>
      <c r="MAI53" s="556"/>
      <c r="MAJ53" s="556"/>
      <c r="MAK53" s="556"/>
      <c r="MAL53" s="556"/>
      <c r="MAM53" s="556"/>
      <c r="MAN53" s="556"/>
      <c r="MAO53" s="556"/>
      <c r="MAP53" s="556"/>
      <c r="MAQ53" s="556"/>
      <c r="MAR53" s="556"/>
      <c r="MAS53" s="556"/>
      <c r="MAT53" s="556"/>
      <c r="MAU53" s="556"/>
      <c r="MAV53" s="556"/>
      <c r="MAW53" s="556"/>
      <c r="MAX53" s="556"/>
      <c r="MAY53" s="556"/>
      <c r="MAZ53" s="556"/>
      <c r="MBA53" s="556"/>
      <c r="MBB53" s="556"/>
      <c r="MBC53" s="556"/>
      <c r="MBD53" s="556"/>
      <c r="MBE53" s="556"/>
      <c r="MBF53" s="556"/>
      <c r="MBG53" s="556"/>
      <c r="MBH53" s="556"/>
      <c r="MBI53" s="556"/>
      <c r="MBJ53" s="556"/>
      <c r="MBK53" s="556"/>
      <c r="MBL53" s="556"/>
      <c r="MBM53" s="556"/>
      <c r="MBN53" s="556"/>
      <c r="MBO53" s="556"/>
      <c r="MBP53" s="556"/>
      <c r="MBQ53" s="556"/>
      <c r="MBR53" s="556"/>
      <c r="MBS53" s="556"/>
      <c r="MBT53" s="556"/>
      <c r="MBU53" s="556"/>
      <c r="MBV53" s="556"/>
      <c r="MBW53" s="556"/>
      <c r="MBX53" s="556"/>
      <c r="MBY53" s="556"/>
      <c r="MBZ53" s="556"/>
      <c r="MCA53" s="556"/>
      <c r="MCB53" s="556"/>
      <c r="MCC53" s="556"/>
      <c r="MCD53" s="556"/>
      <c r="MCE53" s="556"/>
      <c r="MCF53" s="556"/>
      <c r="MCG53" s="556"/>
      <c r="MCH53" s="556"/>
      <c r="MCI53" s="556"/>
      <c r="MCJ53" s="556"/>
      <c r="MCK53" s="556"/>
      <c r="MCL53" s="556"/>
      <c r="MCM53" s="556"/>
      <c r="MCN53" s="556"/>
      <c r="MCO53" s="556"/>
      <c r="MCP53" s="556"/>
      <c r="MCQ53" s="556"/>
      <c r="MCR53" s="556"/>
      <c r="MCS53" s="556"/>
      <c r="MCT53" s="556"/>
      <c r="MCU53" s="556"/>
      <c r="MCV53" s="556"/>
      <c r="MCW53" s="556"/>
      <c r="MCX53" s="556"/>
      <c r="MCY53" s="556"/>
      <c r="MCZ53" s="556"/>
      <c r="MDA53" s="556"/>
      <c r="MDB53" s="556"/>
      <c r="MDC53" s="556"/>
      <c r="MDD53" s="556"/>
      <c r="MDE53" s="556"/>
      <c r="MDF53" s="556"/>
      <c r="MDG53" s="556"/>
      <c r="MDH53" s="556"/>
      <c r="MDI53" s="556"/>
      <c r="MDJ53" s="556"/>
      <c r="MDK53" s="556"/>
      <c r="MDL53" s="556"/>
      <c r="MDM53" s="556"/>
      <c r="MDN53" s="556"/>
      <c r="MDO53" s="556"/>
      <c r="MDP53" s="556"/>
      <c r="MDQ53" s="556"/>
      <c r="MDR53" s="556"/>
      <c r="MDS53" s="556"/>
      <c r="MDT53" s="556"/>
      <c r="MDU53" s="556"/>
      <c r="MDV53" s="556"/>
      <c r="MDW53" s="556"/>
      <c r="MDX53" s="556"/>
      <c r="MDY53" s="556"/>
      <c r="MDZ53" s="556"/>
      <c r="MEA53" s="556"/>
      <c r="MEB53" s="556"/>
      <c r="MEC53" s="556"/>
      <c r="MED53" s="556"/>
      <c r="MEE53" s="556"/>
      <c r="MEF53" s="556"/>
      <c r="MEG53" s="556"/>
      <c r="MEH53" s="556"/>
      <c r="MEI53" s="556"/>
      <c r="MEJ53" s="556"/>
      <c r="MEK53" s="556"/>
      <c r="MEL53" s="556"/>
      <c r="MEM53" s="556"/>
      <c r="MEN53" s="556"/>
      <c r="MEO53" s="556"/>
      <c r="MEP53" s="556"/>
      <c r="MEQ53" s="556"/>
      <c r="MER53" s="556"/>
      <c r="MES53" s="556"/>
      <c r="MET53" s="556"/>
      <c r="MEU53" s="556"/>
      <c r="MEV53" s="556"/>
      <c r="MEW53" s="556"/>
      <c r="MEX53" s="556"/>
      <c r="MEY53" s="556"/>
      <c r="MEZ53" s="556"/>
      <c r="MFA53" s="556"/>
      <c r="MFB53" s="556"/>
      <c r="MFC53" s="556"/>
      <c r="MFD53" s="556"/>
      <c r="MFE53" s="556"/>
      <c r="MFF53" s="556"/>
      <c r="MFG53" s="556"/>
      <c r="MFH53" s="556"/>
      <c r="MFI53" s="556"/>
      <c r="MFJ53" s="556"/>
      <c r="MFK53" s="556"/>
      <c r="MFL53" s="556"/>
      <c r="MFM53" s="556"/>
      <c r="MFN53" s="556"/>
      <c r="MFO53" s="556"/>
      <c r="MFP53" s="556"/>
      <c r="MFQ53" s="556"/>
      <c r="MFR53" s="556"/>
      <c r="MFS53" s="556"/>
      <c r="MFT53" s="556"/>
      <c r="MFU53" s="556"/>
      <c r="MFV53" s="556"/>
      <c r="MFW53" s="556"/>
      <c r="MFX53" s="556"/>
      <c r="MFY53" s="556"/>
      <c r="MFZ53" s="556"/>
      <c r="MGA53" s="556"/>
      <c r="MGB53" s="556"/>
      <c r="MGC53" s="556"/>
      <c r="MGD53" s="556"/>
      <c r="MGE53" s="556"/>
      <c r="MGF53" s="556"/>
      <c r="MGG53" s="556"/>
      <c r="MGH53" s="556"/>
      <c r="MGI53" s="556"/>
      <c r="MGJ53" s="556"/>
      <c r="MGK53" s="556"/>
      <c r="MGL53" s="556"/>
      <c r="MGM53" s="556"/>
      <c r="MGN53" s="556"/>
      <c r="MGO53" s="556"/>
      <c r="MGP53" s="556"/>
      <c r="MGQ53" s="556"/>
      <c r="MGR53" s="556"/>
      <c r="MGS53" s="556"/>
      <c r="MGT53" s="556"/>
      <c r="MGU53" s="556"/>
      <c r="MGV53" s="556"/>
      <c r="MGW53" s="556"/>
      <c r="MGX53" s="556"/>
      <c r="MGY53" s="556"/>
      <c r="MGZ53" s="556"/>
      <c r="MHA53" s="556"/>
      <c r="MHB53" s="556"/>
      <c r="MHC53" s="556"/>
      <c r="MHD53" s="556"/>
      <c r="MHE53" s="556"/>
      <c r="MHF53" s="556"/>
      <c r="MHG53" s="556"/>
      <c r="MHH53" s="556"/>
      <c r="MHI53" s="556"/>
      <c r="MHJ53" s="556"/>
      <c r="MHK53" s="556"/>
      <c r="MHL53" s="556"/>
      <c r="MHM53" s="556"/>
      <c r="MHN53" s="556"/>
      <c r="MHO53" s="556"/>
      <c r="MHP53" s="556"/>
      <c r="MHQ53" s="556"/>
      <c r="MHR53" s="556"/>
      <c r="MHS53" s="556"/>
      <c r="MHT53" s="556"/>
      <c r="MHU53" s="556"/>
      <c r="MHV53" s="556"/>
      <c r="MHW53" s="556"/>
      <c r="MHX53" s="556"/>
      <c r="MHY53" s="556"/>
      <c r="MHZ53" s="556"/>
      <c r="MIA53" s="556"/>
      <c r="MIB53" s="556"/>
      <c r="MIC53" s="556"/>
      <c r="MID53" s="556"/>
      <c r="MIE53" s="556"/>
      <c r="MIF53" s="556"/>
      <c r="MIG53" s="556"/>
      <c r="MIH53" s="556"/>
      <c r="MII53" s="556"/>
      <c r="MIJ53" s="556"/>
      <c r="MIK53" s="556"/>
      <c r="MIL53" s="556"/>
      <c r="MIM53" s="556"/>
      <c r="MIN53" s="556"/>
      <c r="MIO53" s="556"/>
      <c r="MIP53" s="556"/>
      <c r="MIQ53" s="556"/>
      <c r="MIR53" s="556"/>
      <c r="MIS53" s="556"/>
      <c r="MIT53" s="556"/>
      <c r="MIU53" s="556"/>
      <c r="MIV53" s="556"/>
      <c r="MIW53" s="556"/>
      <c r="MIX53" s="556"/>
      <c r="MIY53" s="556"/>
      <c r="MIZ53" s="556"/>
      <c r="MJA53" s="556"/>
      <c r="MJB53" s="556"/>
      <c r="MJC53" s="556"/>
      <c r="MJD53" s="556"/>
      <c r="MJE53" s="556"/>
      <c r="MJF53" s="556"/>
      <c r="MJG53" s="556"/>
      <c r="MJH53" s="556"/>
      <c r="MJI53" s="556"/>
      <c r="MJJ53" s="556"/>
      <c r="MJK53" s="556"/>
      <c r="MJL53" s="556"/>
      <c r="MJM53" s="556"/>
      <c r="MJN53" s="556"/>
      <c r="MJO53" s="556"/>
      <c r="MJP53" s="556"/>
      <c r="MJQ53" s="556"/>
      <c r="MJR53" s="556"/>
      <c r="MJS53" s="556"/>
      <c r="MJT53" s="556"/>
      <c r="MJU53" s="556"/>
      <c r="MJV53" s="556"/>
      <c r="MJW53" s="556"/>
      <c r="MJX53" s="556"/>
      <c r="MJY53" s="556"/>
      <c r="MJZ53" s="556"/>
      <c r="MKA53" s="556"/>
      <c r="MKB53" s="556"/>
      <c r="MKC53" s="556"/>
      <c r="MKD53" s="556"/>
      <c r="MKE53" s="556"/>
      <c r="MKF53" s="556"/>
      <c r="MKG53" s="556"/>
      <c r="MKH53" s="556"/>
      <c r="MKI53" s="556"/>
      <c r="MKJ53" s="556"/>
      <c r="MKK53" s="556"/>
      <c r="MKL53" s="556"/>
      <c r="MKM53" s="556"/>
      <c r="MKN53" s="556"/>
      <c r="MKO53" s="556"/>
      <c r="MKP53" s="556"/>
      <c r="MKQ53" s="556"/>
      <c r="MKR53" s="556"/>
      <c r="MKS53" s="556"/>
      <c r="MKT53" s="556"/>
      <c r="MKU53" s="556"/>
      <c r="MKV53" s="556"/>
      <c r="MKW53" s="556"/>
      <c r="MKX53" s="556"/>
      <c r="MKY53" s="556"/>
      <c r="MKZ53" s="556"/>
      <c r="MLA53" s="556"/>
      <c r="MLB53" s="556"/>
      <c r="MLC53" s="556"/>
      <c r="MLD53" s="556"/>
      <c r="MLE53" s="556"/>
      <c r="MLF53" s="556"/>
      <c r="MLG53" s="556"/>
      <c r="MLH53" s="556"/>
      <c r="MLI53" s="556"/>
      <c r="MLJ53" s="556"/>
      <c r="MLK53" s="556"/>
      <c r="MLL53" s="556"/>
      <c r="MLM53" s="556"/>
      <c r="MLN53" s="556"/>
      <c r="MLO53" s="556"/>
      <c r="MLP53" s="556"/>
      <c r="MLQ53" s="556"/>
      <c r="MLR53" s="556"/>
      <c r="MLS53" s="556"/>
      <c r="MLT53" s="556"/>
      <c r="MLU53" s="556"/>
      <c r="MLV53" s="556"/>
      <c r="MLW53" s="556"/>
      <c r="MLX53" s="556"/>
      <c r="MLY53" s="556"/>
      <c r="MLZ53" s="556"/>
      <c r="MMA53" s="556"/>
      <c r="MMB53" s="556"/>
      <c r="MMC53" s="556"/>
      <c r="MMD53" s="556"/>
      <c r="MME53" s="556"/>
      <c r="MMF53" s="556"/>
      <c r="MMG53" s="556"/>
      <c r="MMH53" s="556"/>
      <c r="MMI53" s="556"/>
      <c r="MMJ53" s="556"/>
      <c r="MMK53" s="556"/>
      <c r="MML53" s="556"/>
      <c r="MMM53" s="556"/>
      <c r="MMN53" s="556"/>
      <c r="MMO53" s="556"/>
      <c r="MMP53" s="556"/>
      <c r="MMQ53" s="556"/>
      <c r="MMR53" s="556"/>
      <c r="MMS53" s="556"/>
      <c r="MMT53" s="556"/>
      <c r="MMU53" s="556"/>
      <c r="MMV53" s="556"/>
      <c r="MMW53" s="556"/>
      <c r="MMX53" s="556"/>
      <c r="MMY53" s="556"/>
      <c r="MMZ53" s="556"/>
      <c r="MNA53" s="556"/>
      <c r="MNB53" s="556"/>
      <c r="MNC53" s="556"/>
      <c r="MND53" s="556"/>
      <c r="MNE53" s="556"/>
      <c r="MNF53" s="556"/>
      <c r="MNG53" s="556"/>
      <c r="MNH53" s="556"/>
      <c r="MNI53" s="556"/>
      <c r="MNJ53" s="556"/>
      <c r="MNK53" s="556"/>
      <c r="MNL53" s="556"/>
      <c r="MNM53" s="556"/>
      <c r="MNN53" s="556"/>
      <c r="MNO53" s="556"/>
      <c r="MNP53" s="556"/>
      <c r="MNQ53" s="556"/>
      <c r="MNR53" s="556"/>
      <c r="MNS53" s="556"/>
      <c r="MNT53" s="556"/>
      <c r="MNU53" s="556"/>
      <c r="MNV53" s="556"/>
      <c r="MNW53" s="556"/>
      <c r="MNX53" s="556"/>
      <c r="MNY53" s="556"/>
      <c r="MNZ53" s="556"/>
      <c r="MOA53" s="556"/>
      <c r="MOB53" s="556"/>
      <c r="MOC53" s="556"/>
      <c r="MOD53" s="556"/>
      <c r="MOE53" s="556"/>
      <c r="MOF53" s="556"/>
      <c r="MOG53" s="556"/>
      <c r="MOH53" s="556"/>
      <c r="MOI53" s="556"/>
      <c r="MOJ53" s="556"/>
      <c r="MOK53" s="556"/>
      <c r="MOL53" s="556"/>
      <c r="MOM53" s="556"/>
      <c r="MON53" s="556"/>
      <c r="MOO53" s="556"/>
      <c r="MOP53" s="556"/>
      <c r="MOQ53" s="556"/>
      <c r="MOR53" s="556"/>
      <c r="MOS53" s="556"/>
      <c r="MOT53" s="556"/>
      <c r="MOU53" s="556"/>
      <c r="MOV53" s="556"/>
      <c r="MOW53" s="556"/>
      <c r="MOX53" s="556"/>
      <c r="MOY53" s="556"/>
      <c r="MOZ53" s="556"/>
      <c r="MPA53" s="556"/>
      <c r="MPB53" s="556"/>
      <c r="MPC53" s="556"/>
      <c r="MPD53" s="556"/>
      <c r="MPE53" s="556"/>
      <c r="MPF53" s="556"/>
      <c r="MPG53" s="556"/>
      <c r="MPH53" s="556"/>
      <c r="MPI53" s="556"/>
      <c r="MPJ53" s="556"/>
      <c r="MPK53" s="556"/>
      <c r="MPL53" s="556"/>
      <c r="MPM53" s="556"/>
      <c r="MPN53" s="556"/>
      <c r="MPO53" s="556"/>
      <c r="MPP53" s="556"/>
      <c r="MPQ53" s="556"/>
      <c r="MPR53" s="556"/>
      <c r="MPS53" s="556"/>
      <c r="MPT53" s="556"/>
      <c r="MPU53" s="556"/>
      <c r="MPV53" s="556"/>
      <c r="MPW53" s="556"/>
      <c r="MPX53" s="556"/>
      <c r="MPY53" s="556"/>
      <c r="MPZ53" s="556"/>
      <c r="MQA53" s="556"/>
      <c r="MQB53" s="556"/>
      <c r="MQC53" s="556"/>
      <c r="MQD53" s="556"/>
      <c r="MQE53" s="556"/>
      <c r="MQF53" s="556"/>
      <c r="MQG53" s="556"/>
      <c r="MQH53" s="556"/>
      <c r="MQI53" s="556"/>
      <c r="MQJ53" s="556"/>
      <c r="MQK53" s="556"/>
      <c r="MQL53" s="556"/>
      <c r="MQM53" s="556"/>
      <c r="MQN53" s="556"/>
      <c r="MQO53" s="556"/>
      <c r="MQP53" s="556"/>
      <c r="MQQ53" s="556"/>
      <c r="MQR53" s="556"/>
      <c r="MQS53" s="556"/>
      <c r="MQT53" s="556"/>
      <c r="MQU53" s="556"/>
      <c r="MQV53" s="556"/>
      <c r="MQW53" s="556"/>
      <c r="MQX53" s="556"/>
      <c r="MQY53" s="556"/>
      <c r="MQZ53" s="556"/>
      <c r="MRA53" s="556"/>
      <c r="MRB53" s="556"/>
      <c r="MRC53" s="556"/>
      <c r="MRD53" s="556"/>
      <c r="MRE53" s="556"/>
      <c r="MRF53" s="556"/>
      <c r="MRG53" s="556"/>
      <c r="MRH53" s="556"/>
      <c r="MRI53" s="556"/>
      <c r="MRJ53" s="556"/>
      <c r="MRK53" s="556"/>
      <c r="MRL53" s="556"/>
      <c r="MRM53" s="556"/>
      <c r="MRN53" s="556"/>
      <c r="MRO53" s="556"/>
      <c r="MRP53" s="556"/>
      <c r="MRQ53" s="556"/>
      <c r="MRR53" s="556"/>
      <c r="MRS53" s="556"/>
      <c r="MRT53" s="556"/>
      <c r="MRU53" s="556"/>
      <c r="MRV53" s="556"/>
      <c r="MRW53" s="556"/>
      <c r="MRX53" s="556"/>
      <c r="MRY53" s="556"/>
      <c r="MRZ53" s="556"/>
      <c r="MSA53" s="556"/>
      <c r="MSB53" s="556"/>
      <c r="MSC53" s="556"/>
      <c r="MSD53" s="556"/>
      <c r="MSE53" s="556"/>
      <c r="MSF53" s="556"/>
      <c r="MSG53" s="556"/>
      <c r="MSH53" s="556"/>
      <c r="MSI53" s="556"/>
      <c r="MSJ53" s="556"/>
      <c r="MSK53" s="556"/>
      <c r="MSL53" s="556"/>
      <c r="MSM53" s="556"/>
      <c r="MSN53" s="556"/>
      <c r="MSO53" s="556"/>
      <c r="MSP53" s="556"/>
      <c r="MSQ53" s="556"/>
      <c r="MSR53" s="556"/>
      <c r="MSS53" s="556"/>
      <c r="MST53" s="556"/>
      <c r="MSU53" s="556"/>
      <c r="MSV53" s="556"/>
      <c r="MSW53" s="556"/>
      <c r="MSX53" s="556"/>
      <c r="MSY53" s="556"/>
      <c r="MSZ53" s="556"/>
      <c r="MTA53" s="556"/>
      <c r="MTB53" s="556"/>
      <c r="MTC53" s="556"/>
      <c r="MTD53" s="556"/>
      <c r="MTE53" s="556"/>
      <c r="MTF53" s="556"/>
      <c r="MTG53" s="556"/>
      <c r="MTH53" s="556"/>
      <c r="MTI53" s="556"/>
      <c r="MTJ53" s="556"/>
      <c r="MTK53" s="556"/>
      <c r="MTL53" s="556"/>
      <c r="MTM53" s="556"/>
      <c r="MTN53" s="556"/>
      <c r="MTO53" s="556"/>
      <c r="MTP53" s="556"/>
      <c r="MTQ53" s="556"/>
      <c r="MTR53" s="556"/>
      <c r="MTS53" s="556"/>
      <c r="MTT53" s="556"/>
      <c r="MTU53" s="556"/>
      <c r="MTV53" s="556"/>
      <c r="MTW53" s="556"/>
      <c r="MTX53" s="556"/>
      <c r="MTY53" s="556"/>
      <c r="MTZ53" s="556"/>
      <c r="MUA53" s="556"/>
      <c r="MUB53" s="556"/>
      <c r="MUC53" s="556"/>
      <c r="MUD53" s="556"/>
      <c r="MUE53" s="556"/>
      <c r="MUF53" s="556"/>
      <c r="MUG53" s="556"/>
      <c r="MUH53" s="556"/>
      <c r="MUI53" s="556"/>
      <c r="MUJ53" s="556"/>
      <c r="MUK53" s="556"/>
      <c r="MUL53" s="556"/>
      <c r="MUM53" s="556"/>
      <c r="MUN53" s="556"/>
      <c r="MUO53" s="556"/>
      <c r="MUP53" s="556"/>
      <c r="MUQ53" s="556"/>
      <c r="MUR53" s="556"/>
      <c r="MUS53" s="556"/>
      <c r="MUT53" s="556"/>
      <c r="MUU53" s="556"/>
      <c r="MUV53" s="556"/>
      <c r="MUW53" s="556"/>
      <c r="MUX53" s="556"/>
      <c r="MUY53" s="556"/>
      <c r="MUZ53" s="556"/>
      <c r="MVA53" s="556"/>
      <c r="MVB53" s="556"/>
      <c r="MVC53" s="556"/>
      <c r="MVD53" s="556"/>
      <c r="MVE53" s="556"/>
      <c r="MVF53" s="556"/>
      <c r="MVG53" s="556"/>
      <c r="MVH53" s="556"/>
      <c r="MVI53" s="556"/>
      <c r="MVJ53" s="556"/>
      <c r="MVK53" s="556"/>
      <c r="MVL53" s="556"/>
      <c r="MVM53" s="556"/>
      <c r="MVN53" s="556"/>
      <c r="MVO53" s="556"/>
      <c r="MVP53" s="556"/>
      <c r="MVQ53" s="556"/>
      <c r="MVR53" s="556"/>
      <c r="MVS53" s="556"/>
      <c r="MVT53" s="556"/>
      <c r="MVU53" s="556"/>
      <c r="MVV53" s="556"/>
      <c r="MVW53" s="556"/>
      <c r="MVX53" s="556"/>
      <c r="MVY53" s="556"/>
      <c r="MVZ53" s="556"/>
      <c r="MWA53" s="556"/>
      <c r="MWB53" s="556"/>
      <c r="MWC53" s="556"/>
      <c r="MWD53" s="556"/>
      <c r="MWE53" s="556"/>
      <c r="MWF53" s="556"/>
      <c r="MWG53" s="556"/>
      <c r="MWH53" s="556"/>
      <c r="MWI53" s="556"/>
      <c r="MWJ53" s="556"/>
      <c r="MWK53" s="556"/>
      <c r="MWL53" s="556"/>
      <c r="MWM53" s="556"/>
      <c r="MWN53" s="556"/>
      <c r="MWO53" s="556"/>
      <c r="MWP53" s="556"/>
      <c r="MWQ53" s="556"/>
      <c r="MWR53" s="556"/>
      <c r="MWS53" s="556"/>
      <c r="MWT53" s="556"/>
      <c r="MWU53" s="556"/>
      <c r="MWV53" s="556"/>
      <c r="MWW53" s="556"/>
      <c r="MWX53" s="556"/>
      <c r="MWY53" s="556"/>
      <c r="MWZ53" s="556"/>
      <c r="MXA53" s="556"/>
      <c r="MXB53" s="556"/>
      <c r="MXC53" s="556"/>
      <c r="MXD53" s="556"/>
      <c r="MXE53" s="556"/>
      <c r="MXF53" s="556"/>
      <c r="MXG53" s="556"/>
      <c r="MXH53" s="556"/>
      <c r="MXI53" s="556"/>
      <c r="MXJ53" s="556"/>
      <c r="MXK53" s="556"/>
      <c r="MXL53" s="556"/>
      <c r="MXM53" s="556"/>
      <c r="MXN53" s="556"/>
      <c r="MXO53" s="556"/>
      <c r="MXP53" s="556"/>
      <c r="MXQ53" s="556"/>
      <c r="MXR53" s="556"/>
      <c r="MXS53" s="556"/>
      <c r="MXT53" s="556"/>
      <c r="MXU53" s="556"/>
      <c r="MXV53" s="556"/>
      <c r="MXW53" s="556"/>
      <c r="MXX53" s="556"/>
      <c r="MXY53" s="556"/>
      <c r="MXZ53" s="556"/>
      <c r="MYA53" s="556"/>
      <c r="MYB53" s="556"/>
      <c r="MYC53" s="556"/>
      <c r="MYD53" s="556"/>
      <c r="MYE53" s="556"/>
      <c r="MYF53" s="556"/>
      <c r="MYG53" s="556"/>
      <c r="MYH53" s="556"/>
      <c r="MYI53" s="556"/>
      <c r="MYJ53" s="556"/>
      <c r="MYK53" s="556"/>
      <c r="MYL53" s="556"/>
      <c r="MYM53" s="556"/>
      <c r="MYN53" s="556"/>
      <c r="MYO53" s="556"/>
      <c r="MYP53" s="556"/>
      <c r="MYQ53" s="556"/>
      <c r="MYR53" s="556"/>
      <c r="MYS53" s="556"/>
      <c r="MYT53" s="556"/>
      <c r="MYU53" s="556"/>
      <c r="MYV53" s="556"/>
      <c r="MYW53" s="556"/>
      <c r="MYX53" s="556"/>
      <c r="MYY53" s="556"/>
      <c r="MYZ53" s="556"/>
      <c r="MZA53" s="556"/>
      <c r="MZB53" s="556"/>
      <c r="MZC53" s="556"/>
      <c r="MZD53" s="556"/>
      <c r="MZE53" s="556"/>
      <c r="MZF53" s="556"/>
      <c r="MZG53" s="556"/>
      <c r="MZH53" s="556"/>
      <c r="MZI53" s="556"/>
      <c r="MZJ53" s="556"/>
      <c r="MZK53" s="556"/>
      <c r="MZL53" s="556"/>
      <c r="MZM53" s="556"/>
      <c r="MZN53" s="556"/>
      <c r="MZO53" s="556"/>
      <c r="MZP53" s="556"/>
      <c r="MZQ53" s="556"/>
      <c r="MZR53" s="556"/>
      <c r="MZS53" s="556"/>
      <c r="MZT53" s="556"/>
      <c r="MZU53" s="556"/>
      <c r="MZV53" s="556"/>
      <c r="MZW53" s="556"/>
      <c r="MZX53" s="556"/>
      <c r="MZY53" s="556"/>
      <c r="MZZ53" s="556"/>
      <c r="NAA53" s="556"/>
      <c r="NAB53" s="556"/>
      <c r="NAC53" s="556"/>
      <c r="NAD53" s="556"/>
      <c r="NAE53" s="556"/>
      <c r="NAF53" s="556"/>
      <c r="NAG53" s="556"/>
      <c r="NAH53" s="556"/>
      <c r="NAI53" s="556"/>
      <c r="NAJ53" s="556"/>
      <c r="NAK53" s="556"/>
      <c r="NAL53" s="556"/>
      <c r="NAM53" s="556"/>
      <c r="NAN53" s="556"/>
      <c r="NAO53" s="556"/>
      <c r="NAP53" s="556"/>
      <c r="NAQ53" s="556"/>
      <c r="NAR53" s="556"/>
      <c r="NAS53" s="556"/>
      <c r="NAT53" s="556"/>
      <c r="NAU53" s="556"/>
      <c r="NAV53" s="556"/>
      <c r="NAW53" s="556"/>
      <c r="NAX53" s="556"/>
      <c r="NAY53" s="556"/>
      <c r="NAZ53" s="556"/>
      <c r="NBA53" s="556"/>
      <c r="NBB53" s="556"/>
      <c r="NBC53" s="556"/>
      <c r="NBD53" s="556"/>
      <c r="NBE53" s="556"/>
      <c r="NBF53" s="556"/>
      <c r="NBG53" s="556"/>
      <c r="NBH53" s="556"/>
      <c r="NBI53" s="556"/>
      <c r="NBJ53" s="556"/>
      <c r="NBK53" s="556"/>
      <c r="NBL53" s="556"/>
      <c r="NBM53" s="556"/>
      <c r="NBN53" s="556"/>
      <c r="NBO53" s="556"/>
      <c r="NBP53" s="556"/>
      <c r="NBQ53" s="556"/>
      <c r="NBR53" s="556"/>
      <c r="NBS53" s="556"/>
      <c r="NBT53" s="556"/>
      <c r="NBU53" s="556"/>
      <c r="NBV53" s="556"/>
      <c r="NBW53" s="556"/>
      <c r="NBX53" s="556"/>
      <c r="NBY53" s="556"/>
      <c r="NBZ53" s="556"/>
      <c r="NCA53" s="556"/>
      <c r="NCB53" s="556"/>
      <c r="NCC53" s="556"/>
      <c r="NCD53" s="556"/>
      <c r="NCE53" s="556"/>
      <c r="NCF53" s="556"/>
      <c r="NCG53" s="556"/>
      <c r="NCH53" s="556"/>
      <c r="NCI53" s="556"/>
      <c r="NCJ53" s="556"/>
      <c r="NCK53" s="556"/>
      <c r="NCL53" s="556"/>
      <c r="NCM53" s="556"/>
      <c r="NCN53" s="556"/>
      <c r="NCO53" s="556"/>
      <c r="NCP53" s="556"/>
      <c r="NCQ53" s="556"/>
      <c r="NCR53" s="556"/>
      <c r="NCS53" s="556"/>
      <c r="NCT53" s="556"/>
      <c r="NCU53" s="556"/>
      <c r="NCV53" s="556"/>
      <c r="NCW53" s="556"/>
      <c r="NCX53" s="556"/>
      <c r="NCY53" s="556"/>
      <c r="NCZ53" s="556"/>
      <c r="NDA53" s="556"/>
      <c r="NDB53" s="556"/>
      <c r="NDC53" s="556"/>
      <c r="NDD53" s="556"/>
      <c r="NDE53" s="556"/>
      <c r="NDF53" s="556"/>
      <c r="NDG53" s="556"/>
      <c r="NDH53" s="556"/>
      <c r="NDI53" s="556"/>
      <c r="NDJ53" s="556"/>
      <c r="NDK53" s="556"/>
      <c r="NDL53" s="556"/>
      <c r="NDM53" s="556"/>
      <c r="NDN53" s="556"/>
      <c r="NDO53" s="556"/>
      <c r="NDP53" s="556"/>
      <c r="NDQ53" s="556"/>
      <c r="NDR53" s="556"/>
      <c r="NDS53" s="556"/>
      <c r="NDT53" s="556"/>
      <c r="NDU53" s="556"/>
      <c r="NDV53" s="556"/>
      <c r="NDW53" s="556"/>
      <c r="NDX53" s="556"/>
      <c r="NDY53" s="556"/>
      <c r="NDZ53" s="556"/>
      <c r="NEA53" s="556"/>
      <c r="NEB53" s="556"/>
      <c r="NEC53" s="556"/>
      <c r="NED53" s="556"/>
      <c r="NEE53" s="556"/>
      <c r="NEF53" s="556"/>
      <c r="NEG53" s="556"/>
      <c r="NEH53" s="556"/>
      <c r="NEI53" s="556"/>
      <c r="NEJ53" s="556"/>
      <c r="NEK53" s="556"/>
      <c r="NEL53" s="556"/>
      <c r="NEM53" s="556"/>
      <c r="NEN53" s="556"/>
      <c r="NEO53" s="556"/>
      <c r="NEP53" s="556"/>
      <c r="NEQ53" s="556"/>
      <c r="NER53" s="556"/>
      <c r="NES53" s="556"/>
      <c r="NET53" s="556"/>
      <c r="NEU53" s="556"/>
      <c r="NEV53" s="556"/>
      <c r="NEW53" s="556"/>
      <c r="NEX53" s="556"/>
      <c r="NEY53" s="556"/>
      <c r="NEZ53" s="556"/>
      <c r="NFA53" s="556"/>
      <c r="NFB53" s="556"/>
      <c r="NFC53" s="556"/>
      <c r="NFD53" s="556"/>
      <c r="NFE53" s="556"/>
      <c r="NFF53" s="556"/>
      <c r="NFG53" s="556"/>
      <c r="NFH53" s="556"/>
      <c r="NFI53" s="556"/>
      <c r="NFJ53" s="556"/>
      <c r="NFK53" s="556"/>
      <c r="NFL53" s="556"/>
      <c r="NFM53" s="556"/>
      <c r="NFN53" s="556"/>
      <c r="NFO53" s="556"/>
      <c r="NFP53" s="556"/>
      <c r="NFQ53" s="556"/>
      <c r="NFR53" s="556"/>
      <c r="NFS53" s="556"/>
      <c r="NFT53" s="556"/>
      <c r="NFU53" s="556"/>
      <c r="NFV53" s="556"/>
      <c r="NFW53" s="556"/>
      <c r="NFX53" s="556"/>
      <c r="NFY53" s="556"/>
      <c r="NFZ53" s="556"/>
      <c r="NGA53" s="556"/>
      <c r="NGB53" s="556"/>
      <c r="NGC53" s="556"/>
      <c r="NGD53" s="556"/>
      <c r="NGE53" s="556"/>
      <c r="NGF53" s="556"/>
      <c r="NGG53" s="556"/>
      <c r="NGH53" s="556"/>
      <c r="NGI53" s="556"/>
      <c r="NGJ53" s="556"/>
      <c r="NGK53" s="556"/>
      <c r="NGL53" s="556"/>
      <c r="NGM53" s="556"/>
      <c r="NGN53" s="556"/>
      <c r="NGO53" s="556"/>
      <c r="NGP53" s="556"/>
      <c r="NGQ53" s="556"/>
      <c r="NGR53" s="556"/>
      <c r="NGS53" s="556"/>
      <c r="NGT53" s="556"/>
      <c r="NGU53" s="556"/>
      <c r="NGV53" s="556"/>
      <c r="NGW53" s="556"/>
      <c r="NGX53" s="556"/>
      <c r="NGY53" s="556"/>
      <c r="NGZ53" s="556"/>
      <c r="NHA53" s="556"/>
      <c r="NHB53" s="556"/>
      <c r="NHC53" s="556"/>
      <c r="NHD53" s="556"/>
      <c r="NHE53" s="556"/>
      <c r="NHF53" s="556"/>
      <c r="NHG53" s="556"/>
      <c r="NHH53" s="556"/>
      <c r="NHI53" s="556"/>
      <c r="NHJ53" s="556"/>
      <c r="NHK53" s="556"/>
      <c r="NHL53" s="556"/>
      <c r="NHM53" s="556"/>
      <c r="NHN53" s="556"/>
      <c r="NHO53" s="556"/>
      <c r="NHP53" s="556"/>
      <c r="NHQ53" s="556"/>
      <c r="NHR53" s="556"/>
      <c r="NHS53" s="556"/>
      <c r="NHT53" s="556"/>
      <c r="NHU53" s="556"/>
      <c r="NHV53" s="556"/>
      <c r="NHW53" s="556"/>
      <c r="NHX53" s="556"/>
      <c r="NHY53" s="556"/>
      <c r="NHZ53" s="556"/>
      <c r="NIA53" s="556"/>
      <c r="NIB53" s="556"/>
      <c r="NIC53" s="556"/>
      <c r="NID53" s="556"/>
      <c r="NIE53" s="556"/>
      <c r="NIF53" s="556"/>
      <c r="NIG53" s="556"/>
      <c r="NIH53" s="556"/>
      <c r="NII53" s="556"/>
      <c r="NIJ53" s="556"/>
      <c r="NIK53" s="556"/>
      <c r="NIL53" s="556"/>
      <c r="NIM53" s="556"/>
      <c r="NIN53" s="556"/>
      <c r="NIO53" s="556"/>
      <c r="NIP53" s="556"/>
      <c r="NIQ53" s="556"/>
      <c r="NIR53" s="556"/>
      <c r="NIS53" s="556"/>
      <c r="NIT53" s="556"/>
      <c r="NIU53" s="556"/>
      <c r="NIV53" s="556"/>
      <c r="NIW53" s="556"/>
      <c r="NIX53" s="556"/>
      <c r="NIY53" s="556"/>
      <c r="NIZ53" s="556"/>
      <c r="NJA53" s="556"/>
      <c r="NJB53" s="556"/>
      <c r="NJC53" s="556"/>
      <c r="NJD53" s="556"/>
      <c r="NJE53" s="556"/>
      <c r="NJF53" s="556"/>
      <c r="NJG53" s="556"/>
      <c r="NJH53" s="556"/>
      <c r="NJI53" s="556"/>
      <c r="NJJ53" s="556"/>
      <c r="NJK53" s="556"/>
      <c r="NJL53" s="556"/>
      <c r="NJM53" s="556"/>
      <c r="NJN53" s="556"/>
      <c r="NJO53" s="556"/>
      <c r="NJP53" s="556"/>
      <c r="NJQ53" s="556"/>
      <c r="NJR53" s="556"/>
      <c r="NJS53" s="556"/>
      <c r="NJT53" s="556"/>
      <c r="NJU53" s="556"/>
      <c r="NJV53" s="556"/>
      <c r="NJW53" s="556"/>
      <c r="NJX53" s="556"/>
      <c r="NJY53" s="556"/>
      <c r="NJZ53" s="556"/>
      <c r="NKA53" s="556"/>
      <c r="NKB53" s="556"/>
      <c r="NKC53" s="556"/>
      <c r="NKD53" s="556"/>
      <c r="NKE53" s="556"/>
      <c r="NKF53" s="556"/>
      <c r="NKG53" s="556"/>
      <c r="NKH53" s="556"/>
      <c r="NKI53" s="556"/>
      <c r="NKJ53" s="556"/>
      <c r="NKK53" s="556"/>
      <c r="NKL53" s="556"/>
      <c r="NKM53" s="556"/>
      <c r="NKN53" s="556"/>
      <c r="NKO53" s="556"/>
      <c r="NKP53" s="556"/>
      <c r="NKQ53" s="556"/>
      <c r="NKR53" s="556"/>
      <c r="NKS53" s="556"/>
      <c r="NKT53" s="556"/>
      <c r="NKU53" s="556"/>
      <c r="NKV53" s="556"/>
      <c r="NKW53" s="556"/>
      <c r="NKX53" s="556"/>
      <c r="NKY53" s="556"/>
      <c r="NKZ53" s="556"/>
      <c r="NLA53" s="556"/>
      <c r="NLB53" s="556"/>
      <c r="NLC53" s="556"/>
      <c r="NLD53" s="556"/>
      <c r="NLE53" s="556"/>
      <c r="NLF53" s="556"/>
      <c r="NLG53" s="556"/>
      <c r="NLH53" s="556"/>
      <c r="NLI53" s="556"/>
      <c r="NLJ53" s="556"/>
      <c r="NLK53" s="556"/>
      <c r="NLL53" s="556"/>
      <c r="NLM53" s="556"/>
      <c r="NLN53" s="556"/>
      <c r="NLO53" s="556"/>
      <c r="NLP53" s="556"/>
      <c r="NLQ53" s="556"/>
      <c r="NLR53" s="556"/>
      <c r="NLS53" s="556"/>
      <c r="NLT53" s="556"/>
      <c r="NLU53" s="556"/>
      <c r="NLV53" s="556"/>
      <c r="NLW53" s="556"/>
      <c r="NLX53" s="556"/>
      <c r="NLY53" s="556"/>
      <c r="NLZ53" s="556"/>
      <c r="NMA53" s="556"/>
      <c r="NMB53" s="556"/>
      <c r="NMC53" s="556"/>
      <c r="NMD53" s="556"/>
      <c r="NME53" s="556"/>
      <c r="NMF53" s="556"/>
      <c r="NMG53" s="556"/>
      <c r="NMH53" s="556"/>
      <c r="NMI53" s="556"/>
      <c r="NMJ53" s="556"/>
      <c r="NMK53" s="556"/>
      <c r="NML53" s="556"/>
      <c r="NMM53" s="556"/>
      <c r="NMN53" s="556"/>
      <c r="NMO53" s="556"/>
      <c r="NMP53" s="556"/>
      <c r="NMQ53" s="556"/>
      <c r="NMR53" s="556"/>
      <c r="NMS53" s="556"/>
      <c r="NMT53" s="556"/>
      <c r="NMU53" s="556"/>
      <c r="NMV53" s="556"/>
      <c r="NMW53" s="556"/>
      <c r="NMX53" s="556"/>
      <c r="NMY53" s="556"/>
      <c r="NMZ53" s="556"/>
      <c r="NNA53" s="556"/>
      <c r="NNB53" s="556"/>
      <c r="NNC53" s="556"/>
      <c r="NND53" s="556"/>
      <c r="NNE53" s="556"/>
      <c r="NNF53" s="556"/>
      <c r="NNG53" s="556"/>
      <c r="NNH53" s="556"/>
      <c r="NNI53" s="556"/>
      <c r="NNJ53" s="556"/>
      <c r="NNK53" s="556"/>
      <c r="NNL53" s="556"/>
      <c r="NNM53" s="556"/>
      <c r="NNN53" s="556"/>
      <c r="NNO53" s="556"/>
      <c r="NNP53" s="556"/>
      <c r="NNQ53" s="556"/>
      <c r="NNR53" s="556"/>
      <c r="NNS53" s="556"/>
      <c r="NNT53" s="556"/>
      <c r="NNU53" s="556"/>
      <c r="NNV53" s="556"/>
      <c r="NNW53" s="556"/>
      <c r="NNX53" s="556"/>
      <c r="NNY53" s="556"/>
      <c r="NNZ53" s="556"/>
      <c r="NOA53" s="556"/>
      <c r="NOB53" s="556"/>
      <c r="NOC53" s="556"/>
      <c r="NOD53" s="556"/>
      <c r="NOE53" s="556"/>
      <c r="NOF53" s="556"/>
      <c r="NOG53" s="556"/>
      <c r="NOH53" s="556"/>
      <c r="NOI53" s="556"/>
      <c r="NOJ53" s="556"/>
      <c r="NOK53" s="556"/>
      <c r="NOL53" s="556"/>
      <c r="NOM53" s="556"/>
      <c r="NON53" s="556"/>
      <c r="NOO53" s="556"/>
      <c r="NOP53" s="556"/>
      <c r="NOQ53" s="556"/>
      <c r="NOR53" s="556"/>
      <c r="NOS53" s="556"/>
      <c r="NOT53" s="556"/>
      <c r="NOU53" s="556"/>
      <c r="NOV53" s="556"/>
      <c r="NOW53" s="556"/>
      <c r="NOX53" s="556"/>
      <c r="NOY53" s="556"/>
      <c r="NOZ53" s="556"/>
      <c r="NPA53" s="556"/>
      <c r="NPB53" s="556"/>
      <c r="NPC53" s="556"/>
      <c r="NPD53" s="556"/>
      <c r="NPE53" s="556"/>
      <c r="NPF53" s="556"/>
      <c r="NPG53" s="556"/>
      <c r="NPH53" s="556"/>
      <c r="NPI53" s="556"/>
      <c r="NPJ53" s="556"/>
      <c r="NPK53" s="556"/>
      <c r="NPL53" s="556"/>
      <c r="NPM53" s="556"/>
      <c r="NPN53" s="556"/>
      <c r="NPO53" s="556"/>
      <c r="NPP53" s="556"/>
      <c r="NPQ53" s="556"/>
      <c r="NPR53" s="556"/>
      <c r="NPS53" s="556"/>
      <c r="NPT53" s="556"/>
      <c r="NPU53" s="556"/>
      <c r="NPV53" s="556"/>
      <c r="NPW53" s="556"/>
      <c r="NPX53" s="556"/>
      <c r="NPY53" s="556"/>
      <c r="NPZ53" s="556"/>
      <c r="NQA53" s="556"/>
      <c r="NQB53" s="556"/>
      <c r="NQC53" s="556"/>
      <c r="NQD53" s="556"/>
      <c r="NQE53" s="556"/>
      <c r="NQF53" s="556"/>
      <c r="NQG53" s="556"/>
      <c r="NQH53" s="556"/>
      <c r="NQI53" s="556"/>
      <c r="NQJ53" s="556"/>
      <c r="NQK53" s="556"/>
      <c r="NQL53" s="556"/>
      <c r="NQM53" s="556"/>
      <c r="NQN53" s="556"/>
      <c r="NQO53" s="556"/>
      <c r="NQP53" s="556"/>
      <c r="NQQ53" s="556"/>
      <c r="NQR53" s="556"/>
      <c r="NQS53" s="556"/>
      <c r="NQT53" s="556"/>
      <c r="NQU53" s="556"/>
      <c r="NQV53" s="556"/>
      <c r="NQW53" s="556"/>
      <c r="NQX53" s="556"/>
      <c r="NQY53" s="556"/>
      <c r="NQZ53" s="556"/>
      <c r="NRA53" s="556"/>
      <c r="NRB53" s="556"/>
      <c r="NRC53" s="556"/>
      <c r="NRD53" s="556"/>
      <c r="NRE53" s="556"/>
      <c r="NRF53" s="556"/>
      <c r="NRG53" s="556"/>
      <c r="NRH53" s="556"/>
      <c r="NRI53" s="556"/>
      <c r="NRJ53" s="556"/>
      <c r="NRK53" s="556"/>
      <c r="NRL53" s="556"/>
      <c r="NRM53" s="556"/>
      <c r="NRN53" s="556"/>
      <c r="NRO53" s="556"/>
      <c r="NRP53" s="556"/>
      <c r="NRQ53" s="556"/>
      <c r="NRR53" s="556"/>
      <c r="NRS53" s="556"/>
      <c r="NRT53" s="556"/>
      <c r="NRU53" s="556"/>
      <c r="NRV53" s="556"/>
      <c r="NRW53" s="556"/>
      <c r="NRX53" s="556"/>
      <c r="NRY53" s="556"/>
      <c r="NRZ53" s="556"/>
      <c r="NSA53" s="556"/>
      <c r="NSB53" s="556"/>
      <c r="NSC53" s="556"/>
      <c r="NSD53" s="556"/>
      <c r="NSE53" s="556"/>
      <c r="NSF53" s="556"/>
      <c r="NSG53" s="556"/>
      <c r="NSH53" s="556"/>
      <c r="NSI53" s="556"/>
      <c r="NSJ53" s="556"/>
      <c r="NSK53" s="556"/>
      <c r="NSL53" s="556"/>
      <c r="NSM53" s="556"/>
      <c r="NSN53" s="556"/>
      <c r="NSO53" s="556"/>
      <c r="NSP53" s="556"/>
      <c r="NSQ53" s="556"/>
      <c r="NSR53" s="556"/>
      <c r="NSS53" s="556"/>
      <c r="NST53" s="556"/>
      <c r="NSU53" s="556"/>
      <c r="NSV53" s="556"/>
      <c r="NSW53" s="556"/>
      <c r="NSX53" s="556"/>
      <c r="NSY53" s="556"/>
      <c r="NSZ53" s="556"/>
      <c r="NTA53" s="556"/>
      <c r="NTB53" s="556"/>
      <c r="NTC53" s="556"/>
      <c r="NTD53" s="556"/>
      <c r="NTE53" s="556"/>
      <c r="NTF53" s="556"/>
      <c r="NTG53" s="556"/>
      <c r="NTH53" s="556"/>
      <c r="NTI53" s="556"/>
      <c r="NTJ53" s="556"/>
      <c r="NTK53" s="556"/>
      <c r="NTL53" s="556"/>
      <c r="NTM53" s="556"/>
      <c r="NTN53" s="556"/>
      <c r="NTO53" s="556"/>
      <c r="NTP53" s="556"/>
      <c r="NTQ53" s="556"/>
      <c r="NTR53" s="556"/>
      <c r="NTS53" s="556"/>
      <c r="NTT53" s="556"/>
      <c r="NTU53" s="556"/>
      <c r="NTV53" s="556"/>
      <c r="NTW53" s="556"/>
      <c r="NTX53" s="556"/>
      <c r="NTY53" s="556"/>
      <c r="NTZ53" s="556"/>
      <c r="NUA53" s="556"/>
      <c r="NUB53" s="556"/>
      <c r="NUC53" s="556"/>
      <c r="NUD53" s="556"/>
      <c r="NUE53" s="556"/>
      <c r="NUF53" s="556"/>
      <c r="NUG53" s="556"/>
      <c r="NUH53" s="556"/>
      <c r="NUI53" s="556"/>
      <c r="NUJ53" s="556"/>
      <c r="NUK53" s="556"/>
      <c r="NUL53" s="556"/>
      <c r="NUM53" s="556"/>
      <c r="NUN53" s="556"/>
      <c r="NUO53" s="556"/>
      <c r="NUP53" s="556"/>
      <c r="NUQ53" s="556"/>
      <c r="NUR53" s="556"/>
      <c r="NUS53" s="556"/>
      <c r="NUT53" s="556"/>
      <c r="NUU53" s="556"/>
      <c r="NUV53" s="556"/>
      <c r="NUW53" s="556"/>
      <c r="NUX53" s="556"/>
      <c r="NUY53" s="556"/>
      <c r="NUZ53" s="556"/>
      <c r="NVA53" s="556"/>
      <c r="NVB53" s="556"/>
      <c r="NVC53" s="556"/>
      <c r="NVD53" s="556"/>
      <c r="NVE53" s="556"/>
      <c r="NVF53" s="556"/>
      <c r="NVG53" s="556"/>
      <c r="NVH53" s="556"/>
      <c r="NVI53" s="556"/>
      <c r="NVJ53" s="556"/>
      <c r="NVK53" s="556"/>
      <c r="NVL53" s="556"/>
      <c r="NVM53" s="556"/>
      <c r="NVN53" s="556"/>
      <c r="NVO53" s="556"/>
      <c r="NVP53" s="556"/>
      <c r="NVQ53" s="556"/>
      <c r="NVR53" s="556"/>
      <c r="NVS53" s="556"/>
      <c r="NVT53" s="556"/>
      <c r="NVU53" s="556"/>
      <c r="NVV53" s="556"/>
      <c r="NVW53" s="556"/>
      <c r="NVX53" s="556"/>
      <c r="NVY53" s="556"/>
      <c r="NVZ53" s="556"/>
      <c r="NWA53" s="556"/>
      <c r="NWB53" s="556"/>
      <c r="NWC53" s="556"/>
      <c r="NWD53" s="556"/>
      <c r="NWE53" s="556"/>
      <c r="NWF53" s="556"/>
      <c r="NWG53" s="556"/>
      <c r="NWH53" s="556"/>
      <c r="NWI53" s="556"/>
      <c r="NWJ53" s="556"/>
      <c r="NWK53" s="556"/>
      <c r="NWL53" s="556"/>
      <c r="NWM53" s="556"/>
      <c r="NWN53" s="556"/>
      <c r="NWO53" s="556"/>
      <c r="NWP53" s="556"/>
      <c r="NWQ53" s="556"/>
      <c r="NWR53" s="556"/>
      <c r="NWS53" s="556"/>
      <c r="NWT53" s="556"/>
      <c r="NWU53" s="556"/>
      <c r="NWV53" s="556"/>
      <c r="NWW53" s="556"/>
      <c r="NWX53" s="556"/>
      <c r="NWY53" s="556"/>
      <c r="NWZ53" s="556"/>
      <c r="NXA53" s="556"/>
      <c r="NXB53" s="556"/>
      <c r="NXC53" s="556"/>
      <c r="NXD53" s="556"/>
      <c r="NXE53" s="556"/>
      <c r="NXF53" s="556"/>
      <c r="NXG53" s="556"/>
      <c r="NXH53" s="556"/>
      <c r="NXI53" s="556"/>
      <c r="NXJ53" s="556"/>
      <c r="NXK53" s="556"/>
      <c r="NXL53" s="556"/>
      <c r="NXM53" s="556"/>
      <c r="NXN53" s="556"/>
      <c r="NXO53" s="556"/>
      <c r="NXP53" s="556"/>
      <c r="NXQ53" s="556"/>
      <c r="NXR53" s="556"/>
      <c r="NXS53" s="556"/>
      <c r="NXT53" s="556"/>
      <c r="NXU53" s="556"/>
      <c r="NXV53" s="556"/>
      <c r="NXW53" s="556"/>
      <c r="NXX53" s="556"/>
      <c r="NXY53" s="556"/>
      <c r="NXZ53" s="556"/>
      <c r="NYA53" s="556"/>
      <c r="NYB53" s="556"/>
      <c r="NYC53" s="556"/>
      <c r="NYD53" s="556"/>
      <c r="NYE53" s="556"/>
      <c r="NYF53" s="556"/>
      <c r="NYG53" s="556"/>
      <c r="NYH53" s="556"/>
      <c r="NYI53" s="556"/>
      <c r="NYJ53" s="556"/>
      <c r="NYK53" s="556"/>
      <c r="NYL53" s="556"/>
      <c r="NYM53" s="556"/>
      <c r="NYN53" s="556"/>
      <c r="NYO53" s="556"/>
      <c r="NYP53" s="556"/>
      <c r="NYQ53" s="556"/>
      <c r="NYR53" s="556"/>
      <c r="NYS53" s="556"/>
      <c r="NYT53" s="556"/>
      <c r="NYU53" s="556"/>
      <c r="NYV53" s="556"/>
      <c r="NYW53" s="556"/>
      <c r="NYX53" s="556"/>
      <c r="NYY53" s="556"/>
      <c r="NYZ53" s="556"/>
      <c r="NZA53" s="556"/>
      <c r="NZB53" s="556"/>
      <c r="NZC53" s="556"/>
      <c r="NZD53" s="556"/>
      <c r="NZE53" s="556"/>
      <c r="NZF53" s="556"/>
      <c r="NZG53" s="556"/>
      <c r="NZH53" s="556"/>
      <c r="NZI53" s="556"/>
      <c r="NZJ53" s="556"/>
      <c r="NZK53" s="556"/>
      <c r="NZL53" s="556"/>
      <c r="NZM53" s="556"/>
      <c r="NZN53" s="556"/>
      <c r="NZO53" s="556"/>
      <c r="NZP53" s="556"/>
      <c r="NZQ53" s="556"/>
      <c r="NZR53" s="556"/>
      <c r="NZS53" s="556"/>
      <c r="NZT53" s="556"/>
      <c r="NZU53" s="556"/>
      <c r="NZV53" s="556"/>
      <c r="NZW53" s="556"/>
      <c r="NZX53" s="556"/>
      <c r="NZY53" s="556"/>
      <c r="NZZ53" s="556"/>
      <c r="OAA53" s="556"/>
      <c r="OAB53" s="556"/>
      <c r="OAC53" s="556"/>
      <c r="OAD53" s="556"/>
      <c r="OAE53" s="556"/>
      <c r="OAF53" s="556"/>
      <c r="OAG53" s="556"/>
      <c r="OAH53" s="556"/>
      <c r="OAI53" s="556"/>
      <c r="OAJ53" s="556"/>
      <c r="OAK53" s="556"/>
      <c r="OAL53" s="556"/>
      <c r="OAM53" s="556"/>
      <c r="OAN53" s="556"/>
      <c r="OAO53" s="556"/>
      <c r="OAP53" s="556"/>
      <c r="OAQ53" s="556"/>
      <c r="OAR53" s="556"/>
      <c r="OAS53" s="556"/>
      <c r="OAT53" s="556"/>
      <c r="OAU53" s="556"/>
      <c r="OAV53" s="556"/>
      <c r="OAW53" s="556"/>
      <c r="OAX53" s="556"/>
      <c r="OAY53" s="556"/>
      <c r="OAZ53" s="556"/>
      <c r="OBA53" s="556"/>
      <c r="OBB53" s="556"/>
      <c r="OBC53" s="556"/>
      <c r="OBD53" s="556"/>
      <c r="OBE53" s="556"/>
      <c r="OBF53" s="556"/>
      <c r="OBG53" s="556"/>
      <c r="OBH53" s="556"/>
      <c r="OBI53" s="556"/>
      <c r="OBJ53" s="556"/>
      <c r="OBK53" s="556"/>
      <c r="OBL53" s="556"/>
      <c r="OBM53" s="556"/>
      <c r="OBN53" s="556"/>
      <c r="OBO53" s="556"/>
      <c r="OBP53" s="556"/>
      <c r="OBQ53" s="556"/>
      <c r="OBR53" s="556"/>
      <c r="OBS53" s="556"/>
      <c r="OBT53" s="556"/>
      <c r="OBU53" s="556"/>
      <c r="OBV53" s="556"/>
      <c r="OBW53" s="556"/>
      <c r="OBX53" s="556"/>
      <c r="OBY53" s="556"/>
      <c r="OBZ53" s="556"/>
      <c r="OCA53" s="556"/>
      <c r="OCB53" s="556"/>
      <c r="OCC53" s="556"/>
      <c r="OCD53" s="556"/>
      <c r="OCE53" s="556"/>
      <c r="OCF53" s="556"/>
      <c r="OCG53" s="556"/>
      <c r="OCH53" s="556"/>
      <c r="OCI53" s="556"/>
      <c r="OCJ53" s="556"/>
      <c r="OCK53" s="556"/>
      <c r="OCL53" s="556"/>
      <c r="OCM53" s="556"/>
      <c r="OCN53" s="556"/>
      <c r="OCO53" s="556"/>
      <c r="OCP53" s="556"/>
      <c r="OCQ53" s="556"/>
      <c r="OCR53" s="556"/>
      <c r="OCS53" s="556"/>
      <c r="OCT53" s="556"/>
      <c r="OCU53" s="556"/>
      <c r="OCV53" s="556"/>
      <c r="OCW53" s="556"/>
      <c r="OCX53" s="556"/>
      <c r="OCY53" s="556"/>
      <c r="OCZ53" s="556"/>
      <c r="ODA53" s="556"/>
      <c r="ODB53" s="556"/>
      <c r="ODC53" s="556"/>
      <c r="ODD53" s="556"/>
      <c r="ODE53" s="556"/>
      <c r="ODF53" s="556"/>
      <c r="ODG53" s="556"/>
      <c r="ODH53" s="556"/>
      <c r="ODI53" s="556"/>
      <c r="ODJ53" s="556"/>
      <c r="ODK53" s="556"/>
      <c r="ODL53" s="556"/>
      <c r="ODM53" s="556"/>
      <c r="ODN53" s="556"/>
      <c r="ODO53" s="556"/>
      <c r="ODP53" s="556"/>
      <c r="ODQ53" s="556"/>
      <c r="ODR53" s="556"/>
      <c r="ODS53" s="556"/>
      <c r="ODT53" s="556"/>
      <c r="ODU53" s="556"/>
      <c r="ODV53" s="556"/>
      <c r="ODW53" s="556"/>
      <c r="ODX53" s="556"/>
      <c r="ODY53" s="556"/>
      <c r="ODZ53" s="556"/>
      <c r="OEA53" s="556"/>
      <c r="OEB53" s="556"/>
      <c r="OEC53" s="556"/>
      <c r="OED53" s="556"/>
      <c r="OEE53" s="556"/>
      <c r="OEF53" s="556"/>
      <c r="OEG53" s="556"/>
      <c r="OEH53" s="556"/>
      <c r="OEI53" s="556"/>
      <c r="OEJ53" s="556"/>
      <c r="OEK53" s="556"/>
      <c r="OEL53" s="556"/>
      <c r="OEM53" s="556"/>
      <c r="OEN53" s="556"/>
      <c r="OEO53" s="556"/>
      <c r="OEP53" s="556"/>
      <c r="OEQ53" s="556"/>
      <c r="OER53" s="556"/>
      <c r="OES53" s="556"/>
      <c r="OET53" s="556"/>
      <c r="OEU53" s="556"/>
      <c r="OEV53" s="556"/>
      <c r="OEW53" s="556"/>
      <c r="OEX53" s="556"/>
      <c r="OEY53" s="556"/>
      <c r="OEZ53" s="556"/>
      <c r="OFA53" s="556"/>
      <c r="OFB53" s="556"/>
      <c r="OFC53" s="556"/>
      <c r="OFD53" s="556"/>
      <c r="OFE53" s="556"/>
      <c r="OFF53" s="556"/>
      <c r="OFG53" s="556"/>
      <c r="OFH53" s="556"/>
      <c r="OFI53" s="556"/>
      <c r="OFJ53" s="556"/>
      <c r="OFK53" s="556"/>
      <c r="OFL53" s="556"/>
      <c r="OFM53" s="556"/>
      <c r="OFN53" s="556"/>
      <c r="OFO53" s="556"/>
      <c r="OFP53" s="556"/>
      <c r="OFQ53" s="556"/>
      <c r="OFR53" s="556"/>
      <c r="OFS53" s="556"/>
      <c r="OFT53" s="556"/>
      <c r="OFU53" s="556"/>
      <c r="OFV53" s="556"/>
      <c r="OFW53" s="556"/>
      <c r="OFX53" s="556"/>
      <c r="OFY53" s="556"/>
      <c r="OFZ53" s="556"/>
      <c r="OGA53" s="556"/>
      <c r="OGB53" s="556"/>
      <c r="OGC53" s="556"/>
      <c r="OGD53" s="556"/>
      <c r="OGE53" s="556"/>
      <c r="OGF53" s="556"/>
      <c r="OGG53" s="556"/>
      <c r="OGH53" s="556"/>
      <c r="OGI53" s="556"/>
      <c r="OGJ53" s="556"/>
      <c r="OGK53" s="556"/>
      <c r="OGL53" s="556"/>
      <c r="OGM53" s="556"/>
      <c r="OGN53" s="556"/>
      <c r="OGO53" s="556"/>
      <c r="OGP53" s="556"/>
      <c r="OGQ53" s="556"/>
      <c r="OGR53" s="556"/>
      <c r="OGS53" s="556"/>
      <c r="OGT53" s="556"/>
      <c r="OGU53" s="556"/>
      <c r="OGV53" s="556"/>
      <c r="OGW53" s="556"/>
      <c r="OGX53" s="556"/>
      <c r="OGY53" s="556"/>
      <c r="OGZ53" s="556"/>
      <c r="OHA53" s="556"/>
      <c r="OHB53" s="556"/>
      <c r="OHC53" s="556"/>
      <c r="OHD53" s="556"/>
      <c r="OHE53" s="556"/>
      <c r="OHF53" s="556"/>
      <c r="OHG53" s="556"/>
      <c r="OHH53" s="556"/>
      <c r="OHI53" s="556"/>
      <c r="OHJ53" s="556"/>
      <c r="OHK53" s="556"/>
      <c r="OHL53" s="556"/>
      <c r="OHM53" s="556"/>
      <c r="OHN53" s="556"/>
      <c r="OHO53" s="556"/>
      <c r="OHP53" s="556"/>
      <c r="OHQ53" s="556"/>
      <c r="OHR53" s="556"/>
      <c r="OHS53" s="556"/>
      <c r="OHT53" s="556"/>
      <c r="OHU53" s="556"/>
      <c r="OHV53" s="556"/>
      <c r="OHW53" s="556"/>
      <c r="OHX53" s="556"/>
      <c r="OHY53" s="556"/>
      <c r="OHZ53" s="556"/>
      <c r="OIA53" s="556"/>
      <c r="OIB53" s="556"/>
      <c r="OIC53" s="556"/>
      <c r="OID53" s="556"/>
      <c r="OIE53" s="556"/>
      <c r="OIF53" s="556"/>
      <c r="OIG53" s="556"/>
      <c r="OIH53" s="556"/>
      <c r="OII53" s="556"/>
      <c r="OIJ53" s="556"/>
      <c r="OIK53" s="556"/>
      <c r="OIL53" s="556"/>
      <c r="OIM53" s="556"/>
      <c r="OIN53" s="556"/>
      <c r="OIO53" s="556"/>
      <c r="OIP53" s="556"/>
      <c r="OIQ53" s="556"/>
      <c r="OIR53" s="556"/>
      <c r="OIS53" s="556"/>
      <c r="OIT53" s="556"/>
      <c r="OIU53" s="556"/>
      <c r="OIV53" s="556"/>
      <c r="OIW53" s="556"/>
      <c r="OIX53" s="556"/>
      <c r="OIY53" s="556"/>
      <c r="OIZ53" s="556"/>
      <c r="OJA53" s="556"/>
      <c r="OJB53" s="556"/>
      <c r="OJC53" s="556"/>
      <c r="OJD53" s="556"/>
      <c r="OJE53" s="556"/>
      <c r="OJF53" s="556"/>
      <c r="OJG53" s="556"/>
      <c r="OJH53" s="556"/>
      <c r="OJI53" s="556"/>
      <c r="OJJ53" s="556"/>
      <c r="OJK53" s="556"/>
      <c r="OJL53" s="556"/>
      <c r="OJM53" s="556"/>
      <c r="OJN53" s="556"/>
      <c r="OJO53" s="556"/>
      <c r="OJP53" s="556"/>
      <c r="OJQ53" s="556"/>
      <c r="OJR53" s="556"/>
      <c r="OJS53" s="556"/>
      <c r="OJT53" s="556"/>
      <c r="OJU53" s="556"/>
      <c r="OJV53" s="556"/>
      <c r="OJW53" s="556"/>
      <c r="OJX53" s="556"/>
      <c r="OJY53" s="556"/>
      <c r="OJZ53" s="556"/>
      <c r="OKA53" s="556"/>
      <c r="OKB53" s="556"/>
      <c r="OKC53" s="556"/>
      <c r="OKD53" s="556"/>
      <c r="OKE53" s="556"/>
      <c r="OKF53" s="556"/>
      <c r="OKG53" s="556"/>
      <c r="OKH53" s="556"/>
      <c r="OKI53" s="556"/>
      <c r="OKJ53" s="556"/>
      <c r="OKK53" s="556"/>
      <c r="OKL53" s="556"/>
      <c r="OKM53" s="556"/>
      <c r="OKN53" s="556"/>
      <c r="OKO53" s="556"/>
      <c r="OKP53" s="556"/>
      <c r="OKQ53" s="556"/>
      <c r="OKR53" s="556"/>
      <c r="OKS53" s="556"/>
      <c r="OKT53" s="556"/>
      <c r="OKU53" s="556"/>
      <c r="OKV53" s="556"/>
      <c r="OKW53" s="556"/>
      <c r="OKX53" s="556"/>
      <c r="OKY53" s="556"/>
      <c r="OKZ53" s="556"/>
      <c r="OLA53" s="556"/>
      <c r="OLB53" s="556"/>
      <c r="OLC53" s="556"/>
      <c r="OLD53" s="556"/>
      <c r="OLE53" s="556"/>
      <c r="OLF53" s="556"/>
      <c r="OLG53" s="556"/>
      <c r="OLH53" s="556"/>
      <c r="OLI53" s="556"/>
      <c r="OLJ53" s="556"/>
      <c r="OLK53" s="556"/>
      <c r="OLL53" s="556"/>
      <c r="OLM53" s="556"/>
      <c r="OLN53" s="556"/>
      <c r="OLO53" s="556"/>
      <c r="OLP53" s="556"/>
      <c r="OLQ53" s="556"/>
      <c r="OLR53" s="556"/>
      <c r="OLS53" s="556"/>
      <c r="OLT53" s="556"/>
      <c r="OLU53" s="556"/>
      <c r="OLV53" s="556"/>
      <c r="OLW53" s="556"/>
      <c r="OLX53" s="556"/>
      <c r="OLY53" s="556"/>
      <c r="OLZ53" s="556"/>
      <c r="OMA53" s="556"/>
      <c r="OMB53" s="556"/>
      <c r="OMC53" s="556"/>
      <c r="OMD53" s="556"/>
      <c r="OME53" s="556"/>
      <c r="OMF53" s="556"/>
      <c r="OMG53" s="556"/>
      <c r="OMH53" s="556"/>
      <c r="OMI53" s="556"/>
      <c r="OMJ53" s="556"/>
      <c r="OMK53" s="556"/>
      <c r="OML53" s="556"/>
      <c r="OMM53" s="556"/>
      <c r="OMN53" s="556"/>
      <c r="OMO53" s="556"/>
      <c r="OMP53" s="556"/>
      <c r="OMQ53" s="556"/>
      <c r="OMR53" s="556"/>
      <c r="OMS53" s="556"/>
      <c r="OMT53" s="556"/>
      <c r="OMU53" s="556"/>
      <c r="OMV53" s="556"/>
      <c r="OMW53" s="556"/>
      <c r="OMX53" s="556"/>
      <c r="OMY53" s="556"/>
      <c r="OMZ53" s="556"/>
      <c r="ONA53" s="556"/>
      <c r="ONB53" s="556"/>
      <c r="ONC53" s="556"/>
      <c r="OND53" s="556"/>
      <c r="ONE53" s="556"/>
      <c r="ONF53" s="556"/>
      <c r="ONG53" s="556"/>
      <c r="ONH53" s="556"/>
      <c r="ONI53" s="556"/>
      <c r="ONJ53" s="556"/>
      <c r="ONK53" s="556"/>
      <c r="ONL53" s="556"/>
      <c r="ONM53" s="556"/>
      <c r="ONN53" s="556"/>
      <c r="ONO53" s="556"/>
      <c r="ONP53" s="556"/>
      <c r="ONQ53" s="556"/>
      <c r="ONR53" s="556"/>
      <c r="ONS53" s="556"/>
      <c r="ONT53" s="556"/>
      <c r="ONU53" s="556"/>
      <c r="ONV53" s="556"/>
      <c r="ONW53" s="556"/>
      <c r="ONX53" s="556"/>
      <c r="ONY53" s="556"/>
      <c r="ONZ53" s="556"/>
      <c r="OOA53" s="556"/>
      <c r="OOB53" s="556"/>
      <c r="OOC53" s="556"/>
      <c r="OOD53" s="556"/>
      <c r="OOE53" s="556"/>
      <c r="OOF53" s="556"/>
      <c r="OOG53" s="556"/>
      <c r="OOH53" s="556"/>
      <c r="OOI53" s="556"/>
      <c r="OOJ53" s="556"/>
      <c r="OOK53" s="556"/>
      <c r="OOL53" s="556"/>
      <c r="OOM53" s="556"/>
      <c r="OON53" s="556"/>
      <c r="OOO53" s="556"/>
      <c r="OOP53" s="556"/>
      <c r="OOQ53" s="556"/>
      <c r="OOR53" s="556"/>
      <c r="OOS53" s="556"/>
      <c r="OOT53" s="556"/>
      <c r="OOU53" s="556"/>
      <c r="OOV53" s="556"/>
      <c r="OOW53" s="556"/>
      <c r="OOX53" s="556"/>
      <c r="OOY53" s="556"/>
      <c r="OOZ53" s="556"/>
      <c r="OPA53" s="556"/>
      <c r="OPB53" s="556"/>
      <c r="OPC53" s="556"/>
      <c r="OPD53" s="556"/>
      <c r="OPE53" s="556"/>
      <c r="OPF53" s="556"/>
      <c r="OPG53" s="556"/>
      <c r="OPH53" s="556"/>
      <c r="OPI53" s="556"/>
      <c r="OPJ53" s="556"/>
      <c r="OPK53" s="556"/>
      <c r="OPL53" s="556"/>
      <c r="OPM53" s="556"/>
      <c r="OPN53" s="556"/>
      <c r="OPO53" s="556"/>
      <c r="OPP53" s="556"/>
      <c r="OPQ53" s="556"/>
      <c r="OPR53" s="556"/>
      <c r="OPS53" s="556"/>
      <c r="OPT53" s="556"/>
      <c r="OPU53" s="556"/>
      <c r="OPV53" s="556"/>
      <c r="OPW53" s="556"/>
      <c r="OPX53" s="556"/>
      <c r="OPY53" s="556"/>
      <c r="OPZ53" s="556"/>
      <c r="OQA53" s="556"/>
      <c r="OQB53" s="556"/>
      <c r="OQC53" s="556"/>
      <c r="OQD53" s="556"/>
      <c r="OQE53" s="556"/>
      <c r="OQF53" s="556"/>
      <c r="OQG53" s="556"/>
      <c r="OQH53" s="556"/>
      <c r="OQI53" s="556"/>
      <c r="OQJ53" s="556"/>
      <c r="OQK53" s="556"/>
      <c r="OQL53" s="556"/>
      <c r="OQM53" s="556"/>
      <c r="OQN53" s="556"/>
      <c r="OQO53" s="556"/>
      <c r="OQP53" s="556"/>
      <c r="OQQ53" s="556"/>
      <c r="OQR53" s="556"/>
      <c r="OQS53" s="556"/>
      <c r="OQT53" s="556"/>
      <c r="OQU53" s="556"/>
      <c r="OQV53" s="556"/>
      <c r="OQW53" s="556"/>
      <c r="OQX53" s="556"/>
      <c r="OQY53" s="556"/>
      <c r="OQZ53" s="556"/>
      <c r="ORA53" s="556"/>
      <c r="ORB53" s="556"/>
      <c r="ORC53" s="556"/>
      <c r="ORD53" s="556"/>
      <c r="ORE53" s="556"/>
      <c r="ORF53" s="556"/>
      <c r="ORG53" s="556"/>
      <c r="ORH53" s="556"/>
      <c r="ORI53" s="556"/>
      <c r="ORJ53" s="556"/>
      <c r="ORK53" s="556"/>
      <c r="ORL53" s="556"/>
      <c r="ORM53" s="556"/>
      <c r="ORN53" s="556"/>
      <c r="ORO53" s="556"/>
      <c r="ORP53" s="556"/>
      <c r="ORQ53" s="556"/>
      <c r="ORR53" s="556"/>
      <c r="ORS53" s="556"/>
      <c r="ORT53" s="556"/>
      <c r="ORU53" s="556"/>
      <c r="ORV53" s="556"/>
      <c r="ORW53" s="556"/>
      <c r="ORX53" s="556"/>
      <c r="ORY53" s="556"/>
      <c r="ORZ53" s="556"/>
      <c r="OSA53" s="556"/>
      <c r="OSB53" s="556"/>
      <c r="OSC53" s="556"/>
      <c r="OSD53" s="556"/>
      <c r="OSE53" s="556"/>
      <c r="OSF53" s="556"/>
      <c r="OSG53" s="556"/>
      <c r="OSH53" s="556"/>
      <c r="OSI53" s="556"/>
      <c r="OSJ53" s="556"/>
      <c r="OSK53" s="556"/>
      <c r="OSL53" s="556"/>
      <c r="OSM53" s="556"/>
      <c r="OSN53" s="556"/>
      <c r="OSO53" s="556"/>
      <c r="OSP53" s="556"/>
      <c r="OSQ53" s="556"/>
      <c r="OSR53" s="556"/>
      <c r="OSS53" s="556"/>
      <c r="OST53" s="556"/>
      <c r="OSU53" s="556"/>
      <c r="OSV53" s="556"/>
      <c r="OSW53" s="556"/>
      <c r="OSX53" s="556"/>
      <c r="OSY53" s="556"/>
      <c r="OSZ53" s="556"/>
      <c r="OTA53" s="556"/>
      <c r="OTB53" s="556"/>
      <c r="OTC53" s="556"/>
      <c r="OTD53" s="556"/>
      <c r="OTE53" s="556"/>
      <c r="OTF53" s="556"/>
      <c r="OTG53" s="556"/>
      <c r="OTH53" s="556"/>
      <c r="OTI53" s="556"/>
      <c r="OTJ53" s="556"/>
      <c r="OTK53" s="556"/>
      <c r="OTL53" s="556"/>
      <c r="OTM53" s="556"/>
      <c r="OTN53" s="556"/>
      <c r="OTO53" s="556"/>
      <c r="OTP53" s="556"/>
      <c r="OTQ53" s="556"/>
      <c r="OTR53" s="556"/>
      <c r="OTS53" s="556"/>
      <c r="OTT53" s="556"/>
      <c r="OTU53" s="556"/>
      <c r="OTV53" s="556"/>
      <c r="OTW53" s="556"/>
      <c r="OTX53" s="556"/>
      <c r="OTY53" s="556"/>
      <c r="OTZ53" s="556"/>
      <c r="OUA53" s="556"/>
      <c r="OUB53" s="556"/>
      <c r="OUC53" s="556"/>
      <c r="OUD53" s="556"/>
      <c r="OUE53" s="556"/>
      <c r="OUF53" s="556"/>
      <c r="OUG53" s="556"/>
      <c r="OUH53" s="556"/>
      <c r="OUI53" s="556"/>
      <c r="OUJ53" s="556"/>
      <c r="OUK53" s="556"/>
      <c r="OUL53" s="556"/>
      <c r="OUM53" s="556"/>
      <c r="OUN53" s="556"/>
      <c r="OUO53" s="556"/>
      <c r="OUP53" s="556"/>
      <c r="OUQ53" s="556"/>
      <c r="OUR53" s="556"/>
      <c r="OUS53" s="556"/>
      <c r="OUT53" s="556"/>
      <c r="OUU53" s="556"/>
      <c r="OUV53" s="556"/>
      <c r="OUW53" s="556"/>
      <c r="OUX53" s="556"/>
      <c r="OUY53" s="556"/>
      <c r="OUZ53" s="556"/>
      <c r="OVA53" s="556"/>
      <c r="OVB53" s="556"/>
      <c r="OVC53" s="556"/>
      <c r="OVD53" s="556"/>
      <c r="OVE53" s="556"/>
      <c r="OVF53" s="556"/>
      <c r="OVG53" s="556"/>
      <c r="OVH53" s="556"/>
      <c r="OVI53" s="556"/>
      <c r="OVJ53" s="556"/>
      <c r="OVK53" s="556"/>
      <c r="OVL53" s="556"/>
      <c r="OVM53" s="556"/>
      <c r="OVN53" s="556"/>
      <c r="OVO53" s="556"/>
      <c r="OVP53" s="556"/>
      <c r="OVQ53" s="556"/>
      <c r="OVR53" s="556"/>
      <c r="OVS53" s="556"/>
      <c r="OVT53" s="556"/>
      <c r="OVU53" s="556"/>
      <c r="OVV53" s="556"/>
      <c r="OVW53" s="556"/>
      <c r="OVX53" s="556"/>
      <c r="OVY53" s="556"/>
      <c r="OVZ53" s="556"/>
      <c r="OWA53" s="556"/>
      <c r="OWB53" s="556"/>
      <c r="OWC53" s="556"/>
      <c r="OWD53" s="556"/>
      <c r="OWE53" s="556"/>
      <c r="OWF53" s="556"/>
      <c r="OWG53" s="556"/>
      <c r="OWH53" s="556"/>
      <c r="OWI53" s="556"/>
      <c r="OWJ53" s="556"/>
      <c r="OWK53" s="556"/>
      <c r="OWL53" s="556"/>
      <c r="OWM53" s="556"/>
      <c r="OWN53" s="556"/>
      <c r="OWO53" s="556"/>
      <c r="OWP53" s="556"/>
      <c r="OWQ53" s="556"/>
      <c r="OWR53" s="556"/>
      <c r="OWS53" s="556"/>
      <c r="OWT53" s="556"/>
      <c r="OWU53" s="556"/>
      <c r="OWV53" s="556"/>
      <c r="OWW53" s="556"/>
      <c r="OWX53" s="556"/>
      <c r="OWY53" s="556"/>
      <c r="OWZ53" s="556"/>
      <c r="OXA53" s="556"/>
      <c r="OXB53" s="556"/>
      <c r="OXC53" s="556"/>
      <c r="OXD53" s="556"/>
      <c r="OXE53" s="556"/>
      <c r="OXF53" s="556"/>
      <c r="OXG53" s="556"/>
      <c r="OXH53" s="556"/>
      <c r="OXI53" s="556"/>
      <c r="OXJ53" s="556"/>
      <c r="OXK53" s="556"/>
      <c r="OXL53" s="556"/>
      <c r="OXM53" s="556"/>
      <c r="OXN53" s="556"/>
      <c r="OXO53" s="556"/>
      <c r="OXP53" s="556"/>
      <c r="OXQ53" s="556"/>
      <c r="OXR53" s="556"/>
      <c r="OXS53" s="556"/>
      <c r="OXT53" s="556"/>
      <c r="OXU53" s="556"/>
      <c r="OXV53" s="556"/>
      <c r="OXW53" s="556"/>
      <c r="OXX53" s="556"/>
      <c r="OXY53" s="556"/>
      <c r="OXZ53" s="556"/>
      <c r="OYA53" s="556"/>
      <c r="OYB53" s="556"/>
      <c r="OYC53" s="556"/>
      <c r="OYD53" s="556"/>
      <c r="OYE53" s="556"/>
      <c r="OYF53" s="556"/>
      <c r="OYG53" s="556"/>
      <c r="OYH53" s="556"/>
      <c r="OYI53" s="556"/>
      <c r="OYJ53" s="556"/>
      <c r="OYK53" s="556"/>
      <c r="OYL53" s="556"/>
      <c r="OYM53" s="556"/>
      <c r="OYN53" s="556"/>
      <c r="OYO53" s="556"/>
      <c r="OYP53" s="556"/>
      <c r="OYQ53" s="556"/>
      <c r="OYR53" s="556"/>
      <c r="OYS53" s="556"/>
      <c r="OYT53" s="556"/>
      <c r="OYU53" s="556"/>
      <c r="OYV53" s="556"/>
      <c r="OYW53" s="556"/>
      <c r="OYX53" s="556"/>
      <c r="OYY53" s="556"/>
      <c r="OYZ53" s="556"/>
      <c r="OZA53" s="556"/>
      <c r="OZB53" s="556"/>
      <c r="OZC53" s="556"/>
      <c r="OZD53" s="556"/>
      <c r="OZE53" s="556"/>
      <c r="OZF53" s="556"/>
      <c r="OZG53" s="556"/>
      <c r="OZH53" s="556"/>
      <c r="OZI53" s="556"/>
      <c r="OZJ53" s="556"/>
      <c r="OZK53" s="556"/>
      <c r="OZL53" s="556"/>
      <c r="OZM53" s="556"/>
      <c r="OZN53" s="556"/>
      <c r="OZO53" s="556"/>
      <c r="OZP53" s="556"/>
      <c r="OZQ53" s="556"/>
      <c r="OZR53" s="556"/>
      <c r="OZS53" s="556"/>
      <c r="OZT53" s="556"/>
      <c r="OZU53" s="556"/>
      <c r="OZV53" s="556"/>
      <c r="OZW53" s="556"/>
      <c r="OZX53" s="556"/>
      <c r="OZY53" s="556"/>
      <c r="OZZ53" s="556"/>
      <c r="PAA53" s="556"/>
      <c r="PAB53" s="556"/>
      <c r="PAC53" s="556"/>
      <c r="PAD53" s="556"/>
      <c r="PAE53" s="556"/>
      <c r="PAF53" s="556"/>
      <c r="PAG53" s="556"/>
      <c r="PAH53" s="556"/>
      <c r="PAI53" s="556"/>
      <c r="PAJ53" s="556"/>
      <c r="PAK53" s="556"/>
      <c r="PAL53" s="556"/>
      <c r="PAM53" s="556"/>
      <c r="PAN53" s="556"/>
      <c r="PAO53" s="556"/>
      <c r="PAP53" s="556"/>
      <c r="PAQ53" s="556"/>
      <c r="PAR53" s="556"/>
      <c r="PAS53" s="556"/>
      <c r="PAT53" s="556"/>
      <c r="PAU53" s="556"/>
      <c r="PAV53" s="556"/>
      <c r="PAW53" s="556"/>
      <c r="PAX53" s="556"/>
      <c r="PAY53" s="556"/>
      <c r="PAZ53" s="556"/>
      <c r="PBA53" s="556"/>
      <c r="PBB53" s="556"/>
      <c r="PBC53" s="556"/>
      <c r="PBD53" s="556"/>
      <c r="PBE53" s="556"/>
      <c r="PBF53" s="556"/>
      <c r="PBG53" s="556"/>
      <c r="PBH53" s="556"/>
      <c r="PBI53" s="556"/>
      <c r="PBJ53" s="556"/>
      <c r="PBK53" s="556"/>
      <c r="PBL53" s="556"/>
      <c r="PBM53" s="556"/>
      <c r="PBN53" s="556"/>
      <c r="PBO53" s="556"/>
      <c r="PBP53" s="556"/>
      <c r="PBQ53" s="556"/>
      <c r="PBR53" s="556"/>
      <c r="PBS53" s="556"/>
      <c r="PBT53" s="556"/>
      <c r="PBU53" s="556"/>
      <c r="PBV53" s="556"/>
      <c r="PBW53" s="556"/>
      <c r="PBX53" s="556"/>
      <c r="PBY53" s="556"/>
      <c r="PBZ53" s="556"/>
      <c r="PCA53" s="556"/>
      <c r="PCB53" s="556"/>
      <c r="PCC53" s="556"/>
      <c r="PCD53" s="556"/>
      <c r="PCE53" s="556"/>
      <c r="PCF53" s="556"/>
      <c r="PCG53" s="556"/>
      <c r="PCH53" s="556"/>
      <c r="PCI53" s="556"/>
      <c r="PCJ53" s="556"/>
      <c r="PCK53" s="556"/>
      <c r="PCL53" s="556"/>
      <c r="PCM53" s="556"/>
      <c r="PCN53" s="556"/>
      <c r="PCO53" s="556"/>
      <c r="PCP53" s="556"/>
      <c r="PCQ53" s="556"/>
      <c r="PCR53" s="556"/>
      <c r="PCS53" s="556"/>
      <c r="PCT53" s="556"/>
      <c r="PCU53" s="556"/>
      <c r="PCV53" s="556"/>
      <c r="PCW53" s="556"/>
      <c r="PCX53" s="556"/>
      <c r="PCY53" s="556"/>
      <c r="PCZ53" s="556"/>
      <c r="PDA53" s="556"/>
      <c r="PDB53" s="556"/>
      <c r="PDC53" s="556"/>
      <c r="PDD53" s="556"/>
      <c r="PDE53" s="556"/>
      <c r="PDF53" s="556"/>
      <c r="PDG53" s="556"/>
      <c r="PDH53" s="556"/>
      <c r="PDI53" s="556"/>
      <c r="PDJ53" s="556"/>
      <c r="PDK53" s="556"/>
      <c r="PDL53" s="556"/>
      <c r="PDM53" s="556"/>
      <c r="PDN53" s="556"/>
      <c r="PDO53" s="556"/>
      <c r="PDP53" s="556"/>
      <c r="PDQ53" s="556"/>
      <c r="PDR53" s="556"/>
      <c r="PDS53" s="556"/>
      <c r="PDT53" s="556"/>
      <c r="PDU53" s="556"/>
      <c r="PDV53" s="556"/>
      <c r="PDW53" s="556"/>
      <c r="PDX53" s="556"/>
      <c r="PDY53" s="556"/>
      <c r="PDZ53" s="556"/>
      <c r="PEA53" s="556"/>
      <c r="PEB53" s="556"/>
      <c r="PEC53" s="556"/>
      <c r="PED53" s="556"/>
      <c r="PEE53" s="556"/>
      <c r="PEF53" s="556"/>
      <c r="PEG53" s="556"/>
      <c r="PEH53" s="556"/>
      <c r="PEI53" s="556"/>
      <c r="PEJ53" s="556"/>
      <c r="PEK53" s="556"/>
      <c r="PEL53" s="556"/>
      <c r="PEM53" s="556"/>
      <c r="PEN53" s="556"/>
      <c r="PEO53" s="556"/>
      <c r="PEP53" s="556"/>
      <c r="PEQ53" s="556"/>
      <c r="PER53" s="556"/>
      <c r="PES53" s="556"/>
      <c r="PET53" s="556"/>
      <c r="PEU53" s="556"/>
      <c r="PEV53" s="556"/>
      <c r="PEW53" s="556"/>
      <c r="PEX53" s="556"/>
      <c r="PEY53" s="556"/>
      <c r="PEZ53" s="556"/>
      <c r="PFA53" s="556"/>
      <c r="PFB53" s="556"/>
      <c r="PFC53" s="556"/>
      <c r="PFD53" s="556"/>
      <c r="PFE53" s="556"/>
      <c r="PFF53" s="556"/>
      <c r="PFG53" s="556"/>
      <c r="PFH53" s="556"/>
      <c r="PFI53" s="556"/>
      <c r="PFJ53" s="556"/>
      <c r="PFK53" s="556"/>
      <c r="PFL53" s="556"/>
      <c r="PFM53" s="556"/>
      <c r="PFN53" s="556"/>
      <c r="PFO53" s="556"/>
      <c r="PFP53" s="556"/>
      <c r="PFQ53" s="556"/>
      <c r="PFR53" s="556"/>
      <c r="PFS53" s="556"/>
      <c r="PFT53" s="556"/>
      <c r="PFU53" s="556"/>
      <c r="PFV53" s="556"/>
      <c r="PFW53" s="556"/>
      <c r="PFX53" s="556"/>
      <c r="PFY53" s="556"/>
      <c r="PFZ53" s="556"/>
      <c r="PGA53" s="556"/>
      <c r="PGB53" s="556"/>
      <c r="PGC53" s="556"/>
      <c r="PGD53" s="556"/>
      <c r="PGE53" s="556"/>
      <c r="PGF53" s="556"/>
      <c r="PGG53" s="556"/>
      <c r="PGH53" s="556"/>
      <c r="PGI53" s="556"/>
      <c r="PGJ53" s="556"/>
      <c r="PGK53" s="556"/>
      <c r="PGL53" s="556"/>
      <c r="PGM53" s="556"/>
      <c r="PGN53" s="556"/>
      <c r="PGO53" s="556"/>
      <c r="PGP53" s="556"/>
      <c r="PGQ53" s="556"/>
      <c r="PGR53" s="556"/>
      <c r="PGS53" s="556"/>
      <c r="PGT53" s="556"/>
      <c r="PGU53" s="556"/>
      <c r="PGV53" s="556"/>
      <c r="PGW53" s="556"/>
      <c r="PGX53" s="556"/>
      <c r="PGY53" s="556"/>
      <c r="PGZ53" s="556"/>
      <c r="PHA53" s="556"/>
      <c r="PHB53" s="556"/>
      <c r="PHC53" s="556"/>
      <c r="PHD53" s="556"/>
      <c r="PHE53" s="556"/>
      <c r="PHF53" s="556"/>
      <c r="PHG53" s="556"/>
      <c r="PHH53" s="556"/>
      <c r="PHI53" s="556"/>
      <c r="PHJ53" s="556"/>
      <c r="PHK53" s="556"/>
      <c r="PHL53" s="556"/>
      <c r="PHM53" s="556"/>
      <c r="PHN53" s="556"/>
      <c r="PHO53" s="556"/>
      <c r="PHP53" s="556"/>
      <c r="PHQ53" s="556"/>
      <c r="PHR53" s="556"/>
      <c r="PHS53" s="556"/>
      <c r="PHT53" s="556"/>
      <c r="PHU53" s="556"/>
      <c r="PHV53" s="556"/>
      <c r="PHW53" s="556"/>
      <c r="PHX53" s="556"/>
      <c r="PHY53" s="556"/>
      <c r="PHZ53" s="556"/>
      <c r="PIA53" s="556"/>
      <c r="PIB53" s="556"/>
      <c r="PIC53" s="556"/>
      <c r="PID53" s="556"/>
      <c r="PIE53" s="556"/>
      <c r="PIF53" s="556"/>
      <c r="PIG53" s="556"/>
      <c r="PIH53" s="556"/>
      <c r="PII53" s="556"/>
      <c r="PIJ53" s="556"/>
      <c r="PIK53" s="556"/>
      <c r="PIL53" s="556"/>
      <c r="PIM53" s="556"/>
      <c r="PIN53" s="556"/>
      <c r="PIO53" s="556"/>
      <c r="PIP53" s="556"/>
      <c r="PIQ53" s="556"/>
      <c r="PIR53" s="556"/>
      <c r="PIS53" s="556"/>
      <c r="PIT53" s="556"/>
      <c r="PIU53" s="556"/>
      <c r="PIV53" s="556"/>
      <c r="PIW53" s="556"/>
      <c r="PIX53" s="556"/>
      <c r="PIY53" s="556"/>
      <c r="PIZ53" s="556"/>
      <c r="PJA53" s="556"/>
      <c r="PJB53" s="556"/>
      <c r="PJC53" s="556"/>
      <c r="PJD53" s="556"/>
      <c r="PJE53" s="556"/>
      <c r="PJF53" s="556"/>
      <c r="PJG53" s="556"/>
      <c r="PJH53" s="556"/>
      <c r="PJI53" s="556"/>
      <c r="PJJ53" s="556"/>
      <c r="PJK53" s="556"/>
      <c r="PJL53" s="556"/>
      <c r="PJM53" s="556"/>
      <c r="PJN53" s="556"/>
      <c r="PJO53" s="556"/>
      <c r="PJP53" s="556"/>
      <c r="PJQ53" s="556"/>
      <c r="PJR53" s="556"/>
      <c r="PJS53" s="556"/>
      <c r="PJT53" s="556"/>
      <c r="PJU53" s="556"/>
      <c r="PJV53" s="556"/>
      <c r="PJW53" s="556"/>
      <c r="PJX53" s="556"/>
      <c r="PJY53" s="556"/>
      <c r="PJZ53" s="556"/>
      <c r="PKA53" s="556"/>
      <c r="PKB53" s="556"/>
      <c r="PKC53" s="556"/>
      <c r="PKD53" s="556"/>
      <c r="PKE53" s="556"/>
      <c r="PKF53" s="556"/>
      <c r="PKG53" s="556"/>
      <c r="PKH53" s="556"/>
      <c r="PKI53" s="556"/>
      <c r="PKJ53" s="556"/>
      <c r="PKK53" s="556"/>
      <c r="PKL53" s="556"/>
      <c r="PKM53" s="556"/>
      <c r="PKN53" s="556"/>
      <c r="PKO53" s="556"/>
      <c r="PKP53" s="556"/>
      <c r="PKQ53" s="556"/>
      <c r="PKR53" s="556"/>
      <c r="PKS53" s="556"/>
      <c r="PKT53" s="556"/>
      <c r="PKU53" s="556"/>
      <c r="PKV53" s="556"/>
      <c r="PKW53" s="556"/>
      <c r="PKX53" s="556"/>
      <c r="PKY53" s="556"/>
      <c r="PKZ53" s="556"/>
      <c r="PLA53" s="556"/>
      <c r="PLB53" s="556"/>
      <c r="PLC53" s="556"/>
      <c r="PLD53" s="556"/>
      <c r="PLE53" s="556"/>
      <c r="PLF53" s="556"/>
      <c r="PLG53" s="556"/>
      <c r="PLH53" s="556"/>
      <c r="PLI53" s="556"/>
      <c r="PLJ53" s="556"/>
      <c r="PLK53" s="556"/>
      <c r="PLL53" s="556"/>
      <c r="PLM53" s="556"/>
      <c r="PLN53" s="556"/>
      <c r="PLO53" s="556"/>
      <c r="PLP53" s="556"/>
      <c r="PLQ53" s="556"/>
      <c r="PLR53" s="556"/>
      <c r="PLS53" s="556"/>
      <c r="PLT53" s="556"/>
      <c r="PLU53" s="556"/>
      <c r="PLV53" s="556"/>
      <c r="PLW53" s="556"/>
      <c r="PLX53" s="556"/>
      <c r="PLY53" s="556"/>
      <c r="PLZ53" s="556"/>
      <c r="PMA53" s="556"/>
      <c r="PMB53" s="556"/>
      <c r="PMC53" s="556"/>
      <c r="PMD53" s="556"/>
      <c r="PME53" s="556"/>
      <c r="PMF53" s="556"/>
      <c r="PMG53" s="556"/>
      <c r="PMH53" s="556"/>
      <c r="PMI53" s="556"/>
      <c r="PMJ53" s="556"/>
      <c r="PMK53" s="556"/>
      <c r="PML53" s="556"/>
      <c r="PMM53" s="556"/>
      <c r="PMN53" s="556"/>
      <c r="PMO53" s="556"/>
      <c r="PMP53" s="556"/>
      <c r="PMQ53" s="556"/>
      <c r="PMR53" s="556"/>
      <c r="PMS53" s="556"/>
      <c r="PMT53" s="556"/>
      <c r="PMU53" s="556"/>
      <c r="PMV53" s="556"/>
      <c r="PMW53" s="556"/>
      <c r="PMX53" s="556"/>
      <c r="PMY53" s="556"/>
      <c r="PMZ53" s="556"/>
      <c r="PNA53" s="556"/>
      <c r="PNB53" s="556"/>
      <c r="PNC53" s="556"/>
      <c r="PND53" s="556"/>
      <c r="PNE53" s="556"/>
      <c r="PNF53" s="556"/>
      <c r="PNG53" s="556"/>
      <c r="PNH53" s="556"/>
      <c r="PNI53" s="556"/>
      <c r="PNJ53" s="556"/>
      <c r="PNK53" s="556"/>
      <c r="PNL53" s="556"/>
      <c r="PNM53" s="556"/>
      <c r="PNN53" s="556"/>
      <c r="PNO53" s="556"/>
      <c r="PNP53" s="556"/>
      <c r="PNQ53" s="556"/>
      <c r="PNR53" s="556"/>
      <c r="PNS53" s="556"/>
      <c r="PNT53" s="556"/>
      <c r="PNU53" s="556"/>
      <c r="PNV53" s="556"/>
      <c r="PNW53" s="556"/>
      <c r="PNX53" s="556"/>
      <c r="PNY53" s="556"/>
      <c r="PNZ53" s="556"/>
      <c r="POA53" s="556"/>
      <c r="POB53" s="556"/>
      <c r="POC53" s="556"/>
      <c r="POD53" s="556"/>
      <c r="POE53" s="556"/>
      <c r="POF53" s="556"/>
      <c r="POG53" s="556"/>
      <c r="POH53" s="556"/>
      <c r="POI53" s="556"/>
      <c r="POJ53" s="556"/>
      <c r="POK53" s="556"/>
      <c r="POL53" s="556"/>
      <c r="POM53" s="556"/>
      <c r="PON53" s="556"/>
      <c r="POO53" s="556"/>
      <c r="POP53" s="556"/>
      <c r="POQ53" s="556"/>
      <c r="POR53" s="556"/>
      <c r="POS53" s="556"/>
      <c r="POT53" s="556"/>
      <c r="POU53" s="556"/>
      <c r="POV53" s="556"/>
      <c r="POW53" s="556"/>
      <c r="POX53" s="556"/>
      <c r="POY53" s="556"/>
      <c r="POZ53" s="556"/>
      <c r="PPA53" s="556"/>
      <c r="PPB53" s="556"/>
      <c r="PPC53" s="556"/>
      <c r="PPD53" s="556"/>
      <c r="PPE53" s="556"/>
      <c r="PPF53" s="556"/>
      <c r="PPG53" s="556"/>
      <c r="PPH53" s="556"/>
      <c r="PPI53" s="556"/>
      <c r="PPJ53" s="556"/>
      <c r="PPK53" s="556"/>
      <c r="PPL53" s="556"/>
      <c r="PPM53" s="556"/>
      <c r="PPN53" s="556"/>
      <c r="PPO53" s="556"/>
      <c r="PPP53" s="556"/>
      <c r="PPQ53" s="556"/>
      <c r="PPR53" s="556"/>
      <c r="PPS53" s="556"/>
      <c r="PPT53" s="556"/>
      <c r="PPU53" s="556"/>
      <c r="PPV53" s="556"/>
      <c r="PPW53" s="556"/>
      <c r="PPX53" s="556"/>
      <c r="PPY53" s="556"/>
      <c r="PPZ53" s="556"/>
      <c r="PQA53" s="556"/>
      <c r="PQB53" s="556"/>
      <c r="PQC53" s="556"/>
      <c r="PQD53" s="556"/>
      <c r="PQE53" s="556"/>
      <c r="PQF53" s="556"/>
      <c r="PQG53" s="556"/>
      <c r="PQH53" s="556"/>
      <c r="PQI53" s="556"/>
      <c r="PQJ53" s="556"/>
      <c r="PQK53" s="556"/>
      <c r="PQL53" s="556"/>
      <c r="PQM53" s="556"/>
      <c r="PQN53" s="556"/>
      <c r="PQO53" s="556"/>
      <c r="PQP53" s="556"/>
      <c r="PQQ53" s="556"/>
      <c r="PQR53" s="556"/>
      <c r="PQS53" s="556"/>
      <c r="PQT53" s="556"/>
      <c r="PQU53" s="556"/>
      <c r="PQV53" s="556"/>
      <c r="PQW53" s="556"/>
      <c r="PQX53" s="556"/>
      <c r="PQY53" s="556"/>
      <c r="PQZ53" s="556"/>
      <c r="PRA53" s="556"/>
      <c r="PRB53" s="556"/>
      <c r="PRC53" s="556"/>
      <c r="PRD53" s="556"/>
      <c r="PRE53" s="556"/>
      <c r="PRF53" s="556"/>
      <c r="PRG53" s="556"/>
      <c r="PRH53" s="556"/>
      <c r="PRI53" s="556"/>
      <c r="PRJ53" s="556"/>
      <c r="PRK53" s="556"/>
      <c r="PRL53" s="556"/>
      <c r="PRM53" s="556"/>
      <c r="PRN53" s="556"/>
      <c r="PRO53" s="556"/>
      <c r="PRP53" s="556"/>
      <c r="PRQ53" s="556"/>
      <c r="PRR53" s="556"/>
      <c r="PRS53" s="556"/>
      <c r="PRT53" s="556"/>
      <c r="PRU53" s="556"/>
      <c r="PRV53" s="556"/>
      <c r="PRW53" s="556"/>
      <c r="PRX53" s="556"/>
      <c r="PRY53" s="556"/>
      <c r="PRZ53" s="556"/>
      <c r="PSA53" s="556"/>
      <c r="PSB53" s="556"/>
      <c r="PSC53" s="556"/>
      <c r="PSD53" s="556"/>
      <c r="PSE53" s="556"/>
      <c r="PSF53" s="556"/>
      <c r="PSG53" s="556"/>
      <c r="PSH53" s="556"/>
      <c r="PSI53" s="556"/>
      <c r="PSJ53" s="556"/>
      <c r="PSK53" s="556"/>
      <c r="PSL53" s="556"/>
      <c r="PSM53" s="556"/>
      <c r="PSN53" s="556"/>
      <c r="PSO53" s="556"/>
      <c r="PSP53" s="556"/>
      <c r="PSQ53" s="556"/>
      <c r="PSR53" s="556"/>
      <c r="PSS53" s="556"/>
      <c r="PST53" s="556"/>
      <c r="PSU53" s="556"/>
      <c r="PSV53" s="556"/>
      <c r="PSW53" s="556"/>
      <c r="PSX53" s="556"/>
      <c r="PSY53" s="556"/>
      <c r="PSZ53" s="556"/>
      <c r="PTA53" s="556"/>
      <c r="PTB53" s="556"/>
      <c r="PTC53" s="556"/>
      <c r="PTD53" s="556"/>
      <c r="PTE53" s="556"/>
      <c r="PTF53" s="556"/>
      <c r="PTG53" s="556"/>
      <c r="PTH53" s="556"/>
      <c r="PTI53" s="556"/>
      <c r="PTJ53" s="556"/>
      <c r="PTK53" s="556"/>
      <c r="PTL53" s="556"/>
      <c r="PTM53" s="556"/>
      <c r="PTN53" s="556"/>
      <c r="PTO53" s="556"/>
      <c r="PTP53" s="556"/>
      <c r="PTQ53" s="556"/>
      <c r="PTR53" s="556"/>
      <c r="PTS53" s="556"/>
      <c r="PTT53" s="556"/>
      <c r="PTU53" s="556"/>
      <c r="PTV53" s="556"/>
      <c r="PTW53" s="556"/>
      <c r="PTX53" s="556"/>
      <c r="PTY53" s="556"/>
      <c r="PTZ53" s="556"/>
      <c r="PUA53" s="556"/>
      <c r="PUB53" s="556"/>
      <c r="PUC53" s="556"/>
      <c r="PUD53" s="556"/>
      <c r="PUE53" s="556"/>
      <c r="PUF53" s="556"/>
      <c r="PUG53" s="556"/>
      <c r="PUH53" s="556"/>
      <c r="PUI53" s="556"/>
      <c r="PUJ53" s="556"/>
      <c r="PUK53" s="556"/>
      <c r="PUL53" s="556"/>
      <c r="PUM53" s="556"/>
      <c r="PUN53" s="556"/>
      <c r="PUO53" s="556"/>
      <c r="PUP53" s="556"/>
      <c r="PUQ53" s="556"/>
      <c r="PUR53" s="556"/>
      <c r="PUS53" s="556"/>
      <c r="PUT53" s="556"/>
      <c r="PUU53" s="556"/>
      <c r="PUV53" s="556"/>
      <c r="PUW53" s="556"/>
      <c r="PUX53" s="556"/>
      <c r="PUY53" s="556"/>
      <c r="PUZ53" s="556"/>
      <c r="PVA53" s="556"/>
      <c r="PVB53" s="556"/>
      <c r="PVC53" s="556"/>
      <c r="PVD53" s="556"/>
      <c r="PVE53" s="556"/>
      <c r="PVF53" s="556"/>
      <c r="PVG53" s="556"/>
      <c r="PVH53" s="556"/>
      <c r="PVI53" s="556"/>
      <c r="PVJ53" s="556"/>
      <c r="PVK53" s="556"/>
      <c r="PVL53" s="556"/>
      <c r="PVM53" s="556"/>
      <c r="PVN53" s="556"/>
      <c r="PVO53" s="556"/>
      <c r="PVP53" s="556"/>
      <c r="PVQ53" s="556"/>
      <c r="PVR53" s="556"/>
      <c r="PVS53" s="556"/>
      <c r="PVT53" s="556"/>
      <c r="PVU53" s="556"/>
      <c r="PVV53" s="556"/>
      <c r="PVW53" s="556"/>
      <c r="PVX53" s="556"/>
      <c r="PVY53" s="556"/>
      <c r="PVZ53" s="556"/>
      <c r="PWA53" s="556"/>
      <c r="PWB53" s="556"/>
      <c r="PWC53" s="556"/>
      <c r="PWD53" s="556"/>
      <c r="PWE53" s="556"/>
      <c r="PWF53" s="556"/>
      <c r="PWG53" s="556"/>
      <c r="PWH53" s="556"/>
      <c r="PWI53" s="556"/>
      <c r="PWJ53" s="556"/>
      <c r="PWK53" s="556"/>
      <c r="PWL53" s="556"/>
      <c r="PWM53" s="556"/>
      <c r="PWN53" s="556"/>
      <c r="PWO53" s="556"/>
      <c r="PWP53" s="556"/>
      <c r="PWQ53" s="556"/>
      <c r="PWR53" s="556"/>
      <c r="PWS53" s="556"/>
      <c r="PWT53" s="556"/>
      <c r="PWU53" s="556"/>
      <c r="PWV53" s="556"/>
      <c r="PWW53" s="556"/>
      <c r="PWX53" s="556"/>
      <c r="PWY53" s="556"/>
      <c r="PWZ53" s="556"/>
      <c r="PXA53" s="556"/>
      <c r="PXB53" s="556"/>
      <c r="PXC53" s="556"/>
      <c r="PXD53" s="556"/>
      <c r="PXE53" s="556"/>
      <c r="PXF53" s="556"/>
      <c r="PXG53" s="556"/>
      <c r="PXH53" s="556"/>
      <c r="PXI53" s="556"/>
      <c r="PXJ53" s="556"/>
      <c r="PXK53" s="556"/>
      <c r="PXL53" s="556"/>
      <c r="PXM53" s="556"/>
      <c r="PXN53" s="556"/>
      <c r="PXO53" s="556"/>
      <c r="PXP53" s="556"/>
      <c r="PXQ53" s="556"/>
      <c r="PXR53" s="556"/>
      <c r="PXS53" s="556"/>
      <c r="PXT53" s="556"/>
      <c r="PXU53" s="556"/>
      <c r="PXV53" s="556"/>
      <c r="PXW53" s="556"/>
      <c r="PXX53" s="556"/>
      <c r="PXY53" s="556"/>
      <c r="PXZ53" s="556"/>
      <c r="PYA53" s="556"/>
      <c r="PYB53" s="556"/>
      <c r="PYC53" s="556"/>
      <c r="PYD53" s="556"/>
      <c r="PYE53" s="556"/>
      <c r="PYF53" s="556"/>
      <c r="PYG53" s="556"/>
      <c r="PYH53" s="556"/>
      <c r="PYI53" s="556"/>
      <c r="PYJ53" s="556"/>
      <c r="PYK53" s="556"/>
      <c r="PYL53" s="556"/>
      <c r="PYM53" s="556"/>
      <c r="PYN53" s="556"/>
      <c r="PYO53" s="556"/>
      <c r="PYP53" s="556"/>
      <c r="PYQ53" s="556"/>
      <c r="PYR53" s="556"/>
      <c r="PYS53" s="556"/>
      <c r="PYT53" s="556"/>
      <c r="PYU53" s="556"/>
      <c r="PYV53" s="556"/>
      <c r="PYW53" s="556"/>
      <c r="PYX53" s="556"/>
      <c r="PYY53" s="556"/>
      <c r="PYZ53" s="556"/>
      <c r="PZA53" s="556"/>
      <c r="PZB53" s="556"/>
      <c r="PZC53" s="556"/>
      <c r="PZD53" s="556"/>
      <c r="PZE53" s="556"/>
      <c r="PZF53" s="556"/>
      <c r="PZG53" s="556"/>
      <c r="PZH53" s="556"/>
      <c r="PZI53" s="556"/>
      <c r="PZJ53" s="556"/>
      <c r="PZK53" s="556"/>
      <c r="PZL53" s="556"/>
      <c r="PZM53" s="556"/>
      <c r="PZN53" s="556"/>
      <c r="PZO53" s="556"/>
      <c r="PZP53" s="556"/>
      <c r="PZQ53" s="556"/>
      <c r="PZR53" s="556"/>
      <c r="PZS53" s="556"/>
      <c r="PZT53" s="556"/>
      <c r="PZU53" s="556"/>
      <c r="PZV53" s="556"/>
      <c r="PZW53" s="556"/>
      <c r="PZX53" s="556"/>
      <c r="PZY53" s="556"/>
      <c r="PZZ53" s="556"/>
      <c r="QAA53" s="556"/>
      <c r="QAB53" s="556"/>
      <c r="QAC53" s="556"/>
      <c r="QAD53" s="556"/>
      <c r="QAE53" s="556"/>
      <c r="QAF53" s="556"/>
      <c r="QAG53" s="556"/>
      <c r="QAH53" s="556"/>
      <c r="QAI53" s="556"/>
      <c r="QAJ53" s="556"/>
      <c r="QAK53" s="556"/>
      <c r="QAL53" s="556"/>
      <c r="QAM53" s="556"/>
      <c r="QAN53" s="556"/>
      <c r="QAO53" s="556"/>
      <c r="QAP53" s="556"/>
      <c r="QAQ53" s="556"/>
      <c r="QAR53" s="556"/>
      <c r="QAS53" s="556"/>
      <c r="QAT53" s="556"/>
      <c r="QAU53" s="556"/>
      <c r="QAV53" s="556"/>
      <c r="QAW53" s="556"/>
      <c r="QAX53" s="556"/>
      <c r="QAY53" s="556"/>
      <c r="QAZ53" s="556"/>
      <c r="QBA53" s="556"/>
      <c r="QBB53" s="556"/>
      <c r="QBC53" s="556"/>
      <c r="QBD53" s="556"/>
      <c r="QBE53" s="556"/>
      <c r="QBF53" s="556"/>
      <c r="QBG53" s="556"/>
      <c r="QBH53" s="556"/>
      <c r="QBI53" s="556"/>
      <c r="QBJ53" s="556"/>
      <c r="QBK53" s="556"/>
      <c r="QBL53" s="556"/>
      <c r="QBM53" s="556"/>
      <c r="QBN53" s="556"/>
      <c r="QBO53" s="556"/>
      <c r="QBP53" s="556"/>
      <c r="QBQ53" s="556"/>
      <c r="QBR53" s="556"/>
      <c r="QBS53" s="556"/>
      <c r="QBT53" s="556"/>
      <c r="QBU53" s="556"/>
      <c r="QBV53" s="556"/>
      <c r="QBW53" s="556"/>
      <c r="QBX53" s="556"/>
      <c r="QBY53" s="556"/>
      <c r="QBZ53" s="556"/>
      <c r="QCA53" s="556"/>
      <c r="QCB53" s="556"/>
      <c r="QCC53" s="556"/>
      <c r="QCD53" s="556"/>
      <c r="QCE53" s="556"/>
      <c r="QCF53" s="556"/>
      <c r="QCG53" s="556"/>
      <c r="QCH53" s="556"/>
      <c r="QCI53" s="556"/>
      <c r="QCJ53" s="556"/>
      <c r="QCK53" s="556"/>
      <c r="QCL53" s="556"/>
      <c r="QCM53" s="556"/>
      <c r="QCN53" s="556"/>
      <c r="QCO53" s="556"/>
      <c r="QCP53" s="556"/>
      <c r="QCQ53" s="556"/>
      <c r="QCR53" s="556"/>
      <c r="QCS53" s="556"/>
      <c r="QCT53" s="556"/>
      <c r="QCU53" s="556"/>
      <c r="QCV53" s="556"/>
      <c r="QCW53" s="556"/>
      <c r="QCX53" s="556"/>
      <c r="QCY53" s="556"/>
      <c r="QCZ53" s="556"/>
      <c r="QDA53" s="556"/>
      <c r="QDB53" s="556"/>
      <c r="QDC53" s="556"/>
      <c r="QDD53" s="556"/>
      <c r="QDE53" s="556"/>
      <c r="QDF53" s="556"/>
      <c r="QDG53" s="556"/>
      <c r="QDH53" s="556"/>
      <c r="QDI53" s="556"/>
      <c r="QDJ53" s="556"/>
      <c r="QDK53" s="556"/>
      <c r="QDL53" s="556"/>
      <c r="QDM53" s="556"/>
      <c r="QDN53" s="556"/>
      <c r="QDO53" s="556"/>
      <c r="QDP53" s="556"/>
      <c r="QDQ53" s="556"/>
      <c r="QDR53" s="556"/>
      <c r="QDS53" s="556"/>
      <c r="QDT53" s="556"/>
      <c r="QDU53" s="556"/>
      <c r="QDV53" s="556"/>
      <c r="QDW53" s="556"/>
      <c r="QDX53" s="556"/>
      <c r="QDY53" s="556"/>
      <c r="QDZ53" s="556"/>
      <c r="QEA53" s="556"/>
      <c r="QEB53" s="556"/>
      <c r="QEC53" s="556"/>
      <c r="QED53" s="556"/>
      <c r="QEE53" s="556"/>
      <c r="QEF53" s="556"/>
      <c r="QEG53" s="556"/>
      <c r="QEH53" s="556"/>
      <c r="QEI53" s="556"/>
      <c r="QEJ53" s="556"/>
      <c r="QEK53" s="556"/>
      <c r="QEL53" s="556"/>
      <c r="QEM53" s="556"/>
      <c r="QEN53" s="556"/>
      <c r="QEO53" s="556"/>
      <c r="QEP53" s="556"/>
      <c r="QEQ53" s="556"/>
      <c r="QER53" s="556"/>
      <c r="QES53" s="556"/>
      <c r="QET53" s="556"/>
      <c r="QEU53" s="556"/>
      <c r="QEV53" s="556"/>
      <c r="QEW53" s="556"/>
      <c r="QEX53" s="556"/>
      <c r="QEY53" s="556"/>
      <c r="QEZ53" s="556"/>
      <c r="QFA53" s="556"/>
      <c r="QFB53" s="556"/>
      <c r="QFC53" s="556"/>
      <c r="QFD53" s="556"/>
      <c r="QFE53" s="556"/>
      <c r="QFF53" s="556"/>
      <c r="QFG53" s="556"/>
      <c r="QFH53" s="556"/>
      <c r="QFI53" s="556"/>
      <c r="QFJ53" s="556"/>
      <c r="QFK53" s="556"/>
      <c r="QFL53" s="556"/>
      <c r="QFM53" s="556"/>
      <c r="QFN53" s="556"/>
      <c r="QFO53" s="556"/>
      <c r="QFP53" s="556"/>
      <c r="QFQ53" s="556"/>
      <c r="QFR53" s="556"/>
      <c r="QFS53" s="556"/>
      <c r="QFT53" s="556"/>
      <c r="QFU53" s="556"/>
      <c r="QFV53" s="556"/>
      <c r="QFW53" s="556"/>
      <c r="QFX53" s="556"/>
      <c r="QFY53" s="556"/>
      <c r="QFZ53" s="556"/>
      <c r="QGA53" s="556"/>
      <c r="QGB53" s="556"/>
      <c r="QGC53" s="556"/>
      <c r="QGD53" s="556"/>
      <c r="QGE53" s="556"/>
      <c r="QGF53" s="556"/>
      <c r="QGG53" s="556"/>
      <c r="QGH53" s="556"/>
      <c r="QGI53" s="556"/>
      <c r="QGJ53" s="556"/>
      <c r="QGK53" s="556"/>
      <c r="QGL53" s="556"/>
      <c r="QGM53" s="556"/>
      <c r="QGN53" s="556"/>
      <c r="QGO53" s="556"/>
      <c r="QGP53" s="556"/>
      <c r="QGQ53" s="556"/>
      <c r="QGR53" s="556"/>
      <c r="QGS53" s="556"/>
      <c r="QGT53" s="556"/>
      <c r="QGU53" s="556"/>
      <c r="QGV53" s="556"/>
      <c r="QGW53" s="556"/>
      <c r="QGX53" s="556"/>
      <c r="QGY53" s="556"/>
      <c r="QGZ53" s="556"/>
      <c r="QHA53" s="556"/>
      <c r="QHB53" s="556"/>
      <c r="QHC53" s="556"/>
      <c r="QHD53" s="556"/>
      <c r="QHE53" s="556"/>
      <c r="QHF53" s="556"/>
      <c r="QHG53" s="556"/>
      <c r="QHH53" s="556"/>
      <c r="QHI53" s="556"/>
      <c r="QHJ53" s="556"/>
      <c r="QHK53" s="556"/>
      <c r="QHL53" s="556"/>
      <c r="QHM53" s="556"/>
      <c r="QHN53" s="556"/>
      <c r="QHO53" s="556"/>
      <c r="QHP53" s="556"/>
      <c r="QHQ53" s="556"/>
      <c r="QHR53" s="556"/>
      <c r="QHS53" s="556"/>
      <c r="QHT53" s="556"/>
      <c r="QHU53" s="556"/>
      <c r="QHV53" s="556"/>
      <c r="QHW53" s="556"/>
      <c r="QHX53" s="556"/>
      <c r="QHY53" s="556"/>
      <c r="QHZ53" s="556"/>
      <c r="QIA53" s="556"/>
      <c r="QIB53" s="556"/>
      <c r="QIC53" s="556"/>
      <c r="QID53" s="556"/>
      <c r="QIE53" s="556"/>
      <c r="QIF53" s="556"/>
      <c r="QIG53" s="556"/>
      <c r="QIH53" s="556"/>
      <c r="QII53" s="556"/>
      <c r="QIJ53" s="556"/>
      <c r="QIK53" s="556"/>
      <c r="QIL53" s="556"/>
      <c r="QIM53" s="556"/>
      <c r="QIN53" s="556"/>
      <c r="QIO53" s="556"/>
      <c r="QIP53" s="556"/>
      <c r="QIQ53" s="556"/>
      <c r="QIR53" s="556"/>
      <c r="QIS53" s="556"/>
      <c r="QIT53" s="556"/>
      <c r="QIU53" s="556"/>
      <c r="QIV53" s="556"/>
      <c r="QIW53" s="556"/>
      <c r="QIX53" s="556"/>
      <c r="QIY53" s="556"/>
      <c r="QIZ53" s="556"/>
      <c r="QJA53" s="556"/>
      <c r="QJB53" s="556"/>
      <c r="QJC53" s="556"/>
      <c r="QJD53" s="556"/>
      <c r="QJE53" s="556"/>
      <c r="QJF53" s="556"/>
      <c r="QJG53" s="556"/>
      <c r="QJH53" s="556"/>
      <c r="QJI53" s="556"/>
      <c r="QJJ53" s="556"/>
      <c r="QJK53" s="556"/>
      <c r="QJL53" s="556"/>
      <c r="QJM53" s="556"/>
      <c r="QJN53" s="556"/>
      <c r="QJO53" s="556"/>
      <c r="QJP53" s="556"/>
      <c r="QJQ53" s="556"/>
      <c r="QJR53" s="556"/>
      <c r="QJS53" s="556"/>
      <c r="QJT53" s="556"/>
      <c r="QJU53" s="556"/>
      <c r="QJV53" s="556"/>
      <c r="QJW53" s="556"/>
      <c r="QJX53" s="556"/>
      <c r="QJY53" s="556"/>
      <c r="QJZ53" s="556"/>
      <c r="QKA53" s="556"/>
      <c r="QKB53" s="556"/>
      <c r="QKC53" s="556"/>
      <c r="QKD53" s="556"/>
      <c r="QKE53" s="556"/>
      <c r="QKF53" s="556"/>
      <c r="QKG53" s="556"/>
      <c r="QKH53" s="556"/>
      <c r="QKI53" s="556"/>
      <c r="QKJ53" s="556"/>
      <c r="QKK53" s="556"/>
      <c r="QKL53" s="556"/>
      <c r="QKM53" s="556"/>
      <c r="QKN53" s="556"/>
      <c r="QKO53" s="556"/>
      <c r="QKP53" s="556"/>
      <c r="QKQ53" s="556"/>
      <c r="QKR53" s="556"/>
      <c r="QKS53" s="556"/>
      <c r="QKT53" s="556"/>
      <c r="QKU53" s="556"/>
      <c r="QKV53" s="556"/>
      <c r="QKW53" s="556"/>
      <c r="QKX53" s="556"/>
      <c r="QKY53" s="556"/>
      <c r="QKZ53" s="556"/>
      <c r="QLA53" s="556"/>
      <c r="QLB53" s="556"/>
      <c r="QLC53" s="556"/>
      <c r="QLD53" s="556"/>
      <c r="QLE53" s="556"/>
      <c r="QLF53" s="556"/>
      <c r="QLG53" s="556"/>
      <c r="QLH53" s="556"/>
      <c r="QLI53" s="556"/>
      <c r="QLJ53" s="556"/>
      <c r="QLK53" s="556"/>
      <c r="QLL53" s="556"/>
      <c r="QLM53" s="556"/>
      <c r="QLN53" s="556"/>
      <c r="QLO53" s="556"/>
      <c r="QLP53" s="556"/>
      <c r="QLQ53" s="556"/>
      <c r="QLR53" s="556"/>
      <c r="QLS53" s="556"/>
      <c r="QLT53" s="556"/>
      <c r="QLU53" s="556"/>
      <c r="QLV53" s="556"/>
      <c r="QLW53" s="556"/>
      <c r="QLX53" s="556"/>
      <c r="QLY53" s="556"/>
      <c r="QLZ53" s="556"/>
      <c r="QMA53" s="556"/>
      <c r="QMB53" s="556"/>
      <c r="QMC53" s="556"/>
      <c r="QMD53" s="556"/>
      <c r="QME53" s="556"/>
      <c r="QMF53" s="556"/>
      <c r="QMG53" s="556"/>
      <c r="QMH53" s="556"/>
      <c r="QMI53" s="556"/>
      <c r="QMJ53" s="556"/>
      <c r="QMK53" s="556"/>
      <c r="QML53" s="556"/>
      <c r="QMM53" s="556"/>
      <c r="QMN53" s="556"/>
      <c r="QMO53" s="556"/>
      <c r="QMP53" s="556"/>
      <c r="QMQ53" s="556"/>
      <c r="QMR53" s="556"/>
      <c r="QMS53" s="556"/>
      <c r="QMT53" s="556"/>
      <c r="QMU53" s="556"/>
      <c r="QMV53" s="556"/>
      <c r="QMW53" s="556"/>
      <c r="QMX53" s="556"/>
      <c r="QMY53" s="556"/>
      <c r="QMZ53" s="556"/>
      <c r="QNA53" s="556"/>
      <c r="QNB53" s="556"/>
      <c r="QNC53" s="556"/>
      <c r="QND53" s="556"/>
      <c r="QNE53" s="556"/>
      <c r="QNF53" s="556"/>
      <c r="QNG53" s="556"/>
      <c r="QNH53" s="556"/>
      <c r="QNI53" s="556"/>
      <c r="QNJ53" s="556"/>
      <c r="QNK53" s="556"/>
      <c r="QNL53" s="556"/>
      <c r="QNM53" s="556"/>
      <c r="QNN53" s="556"/>
      <c r="QNO53" s="556"/>
      <c r="QNP53" s="556"/>
      <c r="QNQ53" s="556"/>
      <c r="QNR53" s="556"/>
      <c r="QNS53" s="556"/>
      <c r="QNT53" s="556"/>
      <c r="QNU53" s="556"/>
      <c r="QNV53" s="556"/>
      <c r="QNW53" s="556"/>
      <c r="QNX53" s="556"/>
      <c r="QNY53" s="556"/>
      <c r="QNZ53" s="556"/>
      <c r="QOA53" s="556"/>
      <c r="QOB53" s="556"/>
      <c r="QOC53" s="556"/>
      <c r="QOD53" s="556"/>
      <c r="QOE53" s="556"/>
      <c r="QOF53" s="556"/>
      <c r="QOG53" s="556"/>
      <c r="QOH53" s="556"/>
      <c r="QOI53" s="556"/>
      <c r="QOJ53" s="556"/>
      <c r="QOK53" s="556"/>
      <c r="QOL53" s="556"/>
      <c r="QOM53" s="556"/>
      <c r="QON53" s="556"/>
      <c r="QOO53" s="556"/>
      <c r="QOP53" s="556"/>
      <c r="QOQ53" s="556"/>
      <c r="QOR53" s="556"/>
      <c r="QOS53" s="556"/>
      <c r="QOT53" s="556"/>
      <c r="QOU53" s="556"/>
      <c r="QOV53" s="556"/>
      <c r="QOW53" s="556"/>
      <c r="QOX53" s="556"/>
      <c r="QOY53" s="556"/>
      <c r="QOZ53" s="556"/>
      <c r="QPA53" s="556"/>
      <c r="QPB53" s="556"/>
      <c r="QPC53" s="556"/>
      <c r="QPD53" s="556"/>
      <c r="QPE53" s="556"/>
      <c r="QPF53" s="556"/>
      <c r="QPG53" s="556"/>
      <c r="QPH53" s="556"/>
      <c r="QPI53" s="556"/>
      <c r="QPJ53" s="556"/>
      <c r="QPK53" s="556"/>
      <c r="QPL53" s="556"/>
      <c r="QPM53" s="556"/>
      <c r="QPN53" s="556"/>
      <c r="QPO53" s="556"/>
      <c r="QPP53" s="556"/>
      <c r="QPQ53" s="556"/>
      <c r="QPR53" s="556"/>
      <c r="QPS53" s="556"/>
      <c r="QPT53" s="556"/>
      <c r="QPU53" s="556"/>
      <c r="QPV53" s="556"/>
      <c r="QPW53" s="556"/>
      <c r="QPX53" s="556"/>
      <c r="QPY53" s="556"/>
      <c r="QPZ53" s="556"/>
      <c r="QQA53" s="556"/>
      <c r="QQB53" s="556"/>
      <c r="QQC53" s="556"/>
      <c r="QQD53" s="556"/>
      <c r="QQE53" s="556"/>
      <c r="QQF53" s="556"/>
      <c r="QQG53" s="556"/>
      <c r="QQH53" s="556"/>
      <c r="QQI53" s="556"/>
      <c r="QQJ53" s="556"/>
      <c r="QQK53" s="556"/>
      <c r="QQL53" s="556"/>
      <c r="QQM53" s="556"/>
      <c r="QQN53" s="556"/>
      <c r="QQO53" s="556"/>
      <c r="QQP53" s="556"/>
      <c r="QQQ53" s="556"/>
      <c r="QQR53" s="556"/>
      <c r="QQS53" s="556"/>
      <c r="QQT53" s="556"/>
      <c r="QQU53" s="556"/>
      <c r="QQV53" s="556"/>
      <c r="QQW53" s="556"/>
      <c r="QQX53" s="556"/>
      <c r="QQY53" s="556"/>
      <c r="QQZ53" s="556"/>
      <c r="QRA53" s="556"/>
      <c r="QRB53" s="556"/>
      <c r="QRC53" s="556"/>
      <c r="QRD53" s="556"/>
      <c r="QRE53" s="556"/>
      <c r="QRF53" s="556"/>
      <c r="QRG53" s="556"/>
      <c r="QRH53" s="556"/>
      <c r="QRI53" s="556"/>
      <c r="QRJ53" s="556"/>
      <c r="QRK53" s="556"/>
      <c r="QRL53" s="556"/>
      <c r="QRM53" s="556"/>
      <c r="QRN53" s="556"/>
      <c r="QRO53" s="556"/>
      <c r="QRP53" s="556"/>
      <c r="QRQ53" s="556"/>
      <c r="QRR53" s="556"/>
      <c r="QRS53" s="556"/>
      <c r="QRT53" s="556"/>
      <c r="QRU53" s="556"/>
      <c r="QRV53" s="556"/>
      <c r="QRW53" s="556"/>
      <c r="QRX53" s="556"/>
      <c r="QRY53" s="556"/>
      <c r="QRZ53" s="556"/>
      <c r="QSA53" s="556"/>
      <c r="QSB53" s="556"/>
      <c r="QSC53" s="556"/>
      <c r="QSD53" s="556"/>
      <c r="QSE53" s="556"/>
      <c r="QSF53" s="556"/>
      <c r="QSG53" s="556"/>
      <c r="QSH53" s="556"/>
      <c r="QSI53" s="556"/>
      <c r="QSJ53" s="556"/>
      <c r="QSK53" s="556"/>
      <c r="QSL53" s="556"/>
      <c r="QSM53" s="556"/>
      <c r="QSN53" s="556"/>
      <c r="QSO53" s="556"/>
      <c r="QSP53" s="556"/>
      <c r="QSQ53" s="556"/>
      <c r="QSR53" s="556"/>
      <c r="QSS53" s="556"/>
      <c r="QST53" s="556"/>
      <c r="QSU53" s="556"/>
      <c r="QSV53" s="556"/>
      <c r="QSW53" s="556"/>
      <c r="QSX53" s="556"/>
      <c r="QSY53" s="556"/>
      <c r="QSZ53" s="556"/>
      <c r="QTA53" s="556"/>
      <c r="QTB53" s="556"/>
      <c r="QTC53" s="556"/>
      <c r="QTD53" s="556"/>
      <c r="QTE53" s="556"/>
      <c r="QTF53" s="556"/>
      <c r="QTG53" s="556"/>
      <c r="QTH53" s="556"/>
      <c r="QTI53" s="556"/>
      <c r="QTJ53" s="556"/>
      <c r="QTK53" s="556"/>
      <c r="QTL53" s="556"/>
      <c r="QTM53" s="556"/>
      <c r="QTN53" s="556"/>
      <c r="QTO53" s="556"/>
      <c r="QTP53" s="556"/>
      <c r="QTQ53" s="556"/>
      <c r="QTR53" s="556"/>
      <c r="QTS53" s="556"/>
      <c r="QTT53" s="556"/>
      <c r="QTU53" s="556"/>
      <c r="QTV53" s="556"/>
      <c r="QTW53" s="556"/>
      <c r="QTX53" s="556"/>
      <c r="QTY53" s="556"/>
      <c r="QTZ53" s="556"/>
      <c r="QUA53" s="556"/>
      <c r="QUB53" s="556"/>
      <c r="QUC53" s="556"/>
      <c r="QUD53" s="556"/>
      <c r="QUE53" s="556"/>
      <c r="QUF53" s="556"/>
      <c r="QUG53" s="556"/>
      <c r="QUH53" s="556"/>
      <c r="QUI53" s="556"/>
      <c r="QUJ53" s="556"/>
      <c r="QUK53" s="556"/>
      <c r="QUL53" s="556"/>
      <c r="QUM53" s="556"/>
      <c r="QUN53" s="556"/>
      <c r="QUO53" s="556"/>
      <c r="QUP53" s="556"/>
      <c r="QUQ53" s="556"/>
      <c r="QUR53" s="556"/>
      <c r="QUS53" s="556"/>
      <c r="QUT53" s="556"/>
      <c r="QUU53" s="556"/>
      <c r="QUV53" s="556"/>
      <c r="QUW53" s="556"/>
      <c r="QUX53" s="556"/>
      <c r="QUY53" s="556"/>
      <c r="QUZ53" s="556"/>
      <c r="QVA53" s="556"/>
      <c r="QVB53" s="556"/>
      <c r="QVC53" s="556"/>
      <c r="QVD53" s="556"/>
      <c r="QVE53" s="556"/>
      <c r="QVF53" s="556"/>
      <c r="QVG53" s="556"/>
      <c r="QVH53" s="556"/>
      <c r="QVI53" s="556"/>
      <c r="QVJ53" s="556"/>
      <c r="QVK53" s="556"/>
      <c r="QVL53" s="556"/>
      <c r="QVM53" s="556"/>
      <c r="QVN53" s="556"/>
      <c r="QVO53" s="556"/>
      <c r="QVP53" s="556"/>
      <c r="QVQ53" s="556"/>
      <c r="QVR53" s="556"/>
      <c r="QVS53" s="556"/>
      <c r="QVT53" s="556"/>
      <c r="QVU53" s="556"/>
      <c r="QVV53" s="556"/>
      <c r="QVW53" s="556"/>
      <c r="QVX53" s="556"/>
      <c r="QVY53" s="556"/>
      <c r="QVZ53" s="556"/>
      <c r="QWA53" s="556"/>
      <c r="QWB53" s="556"/>
      <c r="QWC53" s="556"/>
      <c r="QWD53" s="556"/>
      <c r="QWE53" s="556"/>
      <c r="QWF53" s="556"/>
      <c r="QWG53" s="556"/>
      <c r="QWH53" s="556"/>
      <c r="QWI53" s="556"/>
      <c r="QWJ53" s="556"/>
      <c r="QWK53" s="556"/>
      <c r="QWL53" s="556"/>
      <c r="QWM53" s="556"/>
      <c r="QWN53" s="556"/>
      <c r="QWO53" s="556"/>
      <c r="QWP53" s="556"/>
      <c r="QWQ53" s="556"/>
      <c r="QWR53" s="556"/>
      <c r="QWS53" s="556"/>
      <c r="QWT53" s="556"/>
      <c r="QWU53" s="556"/>
      <c r="QWV53" s="556"/>
      <c r="QWW53" s="556"/>
      <c r="QWX53" s="556"/>
      <c r="QWY53" s="556"/>
      <c r="QWZ53" s="556"/>
      <c r="QXA53" s="556"/>
      <c r="QXB53" s="556"/>
      <c r="QXC53" s="556"/>
      <c r="QXD53" s="556"/>
      <c r="QXE53" s="556"/>
      <c r="QXF53" s="556"/>
      <c r="QXG53" s="556"/>
      <c r="QXH53" s="556"/>
      <c r="QXI53" s="556"/>
      <c r="QXJ53" s="556"/>
      <c r="QXK53" s="556"/>
      <c r="QXL53" s="556"/>
      <c r="QXM53" s="556"/>
      <c r="QXN53" s="556"/>
      <c r="QXO53" s="556"/>
      <c r="QXP53" s="556"/>
      <c r="QXQ53" s="556"/>
      <c r="QXR53" s="556"/>
      <c r="QXS53" s="556"/>
      <c r="QXT53" s="556"/>
      <c r="QXU53" s="556"/>
      <c r="QXV53" s="556"/>
      <c r="QXW53" s="556"/>
      <c r="QXX53" s="556"/>
      <c r="QXY53" s="556"/>
      <c r="QXZ53" s="556"/>
      <c r="QYA53" s="556"/>
      <c r="QYB53" s="556"/>
      <c r="QYC53" s="556"/>
      <c r="QYD53" s="556"/>
      <c r="QYE53" s="556"/>
      <c r="QYF53" s="556"/>
      <c r="QYG53" s="556"/>
      <c r="QYH53" s="556"/>
      <c r="QYI53" s="556"/>
      <c r="QYJ53" s="556"/>
      <c r="QYK53" s="556"/>
      <c r="QYL53" s="556"/>
      <c r="QYM53" s="556"/>
      <c r="QYN53" s="556"/>
      <c r="QYO53" s="556"/>
      <c r="QYP53" s="556"/>
      <c r="QYQ53" s="556"/>
      <c r="QYR53" s="556"/>
      <c r="QYS53" s="556"/>
      <c r="QYT53" s="556"/>
      <c r="QYU53" s="556"/>
      <c r="QYV53" s="556"/>
      <c r="QYW53" s="556"/>
      <c r="QYX53" s="556"/>
      <c r="QYY53" s="556"/>
      <c r="QYZ53" s="556"/>
      <c r="QZA53" s="556"/>
      <c r="QZB53" s="556"/>
      <c r="QZC53" s="556"/>
      <c r="QZD53" s="556"/>
      <c r="QZE53" s="556"/>
      <c r="QZF53" s="556"/>
      <c r="QZG53" s="556"/>
      <c r="QZH53" s="556"/>
      <c r="QZI53" s="556"/>
      <c r="QZJ53" s="556"/>
      <c r="QZK53" s="556"/>
      <c r="QZL53" s="556"/>
      <c r="QZM53" s="556"/>
      <c r="QZN53" s="556"/>
      <c r="QZO53" s="556"/>
      <c r="QZP53" s="556"/>
      <c r="QZQ53" s="556"/>
      <c r="QZR53" s="556"/>
      <c r="QZS53" s="556"/>
      <c r="QZT53" s="556"/>
      <c r="QZU53" s="556"/>
      <c r="QZV53" s="556"/>
      <c r="QZW53" s="556"/>
      <c r="QZX53" s="556"/>
      <c r="QZY53" s="556"/>
      <c r="QZZ53" s="556"/>
      <c r="RAA53" s="556"/>
      <c r="RAB53" s="556"/>
      <c r="RAC53" s="556"/>
      <c r="RAD53" s="556"/>
      <c r="RAE53" s="556"/>
      <c r="RAF53" s="556"/>
      <c r="RAG53" s="556"/>
      <c r="RAH53" s="556"/>
      <c r="RAI53" s="556"/>
      <c r="RAJ53" s="556"/>
      <c r="RAK53" s="556"/>
      <c r="RAL53" s="556"/>
      <c r="RAM53" s="556"/>
      <c r="RAN53" s="556"/>
      <c r="RAO53" s="556"/>
      <c r="RAP53" s="556"/>
      <c r="RAQ53" s="556"/>
      <c r="RAR53" s="556"/>
      <c r="RAS53" s="556"/>
      <c r="RAT53" s="556"/>
      <c r="RAU53" s="556"/>
      <c r="RAV53" s="556"/>
      <c r="RAW53" s="556"/>
      <c r="RAX53" s="556"/>
      <c r="RAY53" s="556"/>
      <c r="RAZ53" s="556"/>
      <c r="RBA53" s="556"/>
      <c r="RBB53" s="556"/>
      <c r="RBC53" s="556"/>
      <c r="RBD53" s="556"/>
      <c r="RBE53" s="556"/>
      <c r="RBF53" s="556"/>
      <c r="RBG53" s="556"/>
      <c r="RBH53" s="556"/>
      <c r="RBI53" s="556"/>
      <c r="RBJ53" s="556"/>
      <c r="RBK53" s="556"/>
      <c r="RBL53" s="556"/>
      <c r="RBM53" s="556"/>
      <c r="RBN53" s="556"/>
      <c r="RBO53" s="556"/>
      <c r="RBP53" s="556"/>
      <c r="RBQ53" s="556"/>
      <c r="RBR53" s="556"/>
      <c r="RBS53" s="556"/>
      <c r="RBT53" s="556"/>
      <c r="RBU53" s="556"/>
      <c r="RBV53" s="556"/>
      <c r="RBW53" s="556"/>
      <c r="RBX53" s="556"/>
      <c r="RBY53" s="556"/>
      <c r="RBZ53" s="556"/>
      <c r="RCA53" s="556"/>
      <c r="RCB53" s="556"/>
      <c r="RCC53" s="556"/>
      <c r="RCD53" s="556"/>
      <c r="RCE53" s="556"/>
      <c r="RCF53" s="556"/>
      <c r="RCG53" s="556"/>
      <c r="RCH53" s="556"/>
      <c r="RCI53" s="556"/>
      <c r="RCJ53" s="556"/>
      <c r="RCK53" s="556"/>
      <c r="RCL53" s="556"/>
      <c r="RCM53" s="556"/>
      <c r="RCN53" s="556"/>
      <c r="RCO53" s="556"/>
      <c r="RCP53" s="556"/>
      <c r="RCQ53" s="556"/>
      <c r="RCR53" s="556"/>
      <c r="RCS53" s="556"/>
      <c r="RCT53" s="556"/>
      <c r="RCU53" s="556"/>
      <c r="RCV53" s="556"/>
      <c r="RCW53" s="556"/>
      <c r="RCX53" s="556"/>
      <c r="RCY53" s="556"/>
      <c r="RCZ53" s="556"/>
      <c r="RDA53" s="556"/>
      <c r="RDB53" s="556"/>
      <c r="RDC53" s="556"/>
      <c r="RDD53" s="556"/>
      <c r="RDE53" s="556"/>
      <c r="RDF53" s="556"/>
      <c r="RDG53" s="556"/>
      <c r="RDH53" s="556"/>
      <c r="RDI53" s="556"/>
      <c r="RDJ53" s="556"/>
      <c r="RDK53" s="556"/>
      <c r="RDL53" s="556"/>
      <c r="RDM53" s="556"/>
      <c r="RDN53" s="556"/>
      <c r="RDO53" s="556"/>
      <c r="RDP53" s="556"/>
      <c r="RDQ53" s="556"/>
      <c r="RDR53" s="556"/>
      <c r="RDS53" s="556"/>
      <c r="RDT53" s="556"/>
      <c r="RDU53" s="556"/>
      <c r="RDV53" s="556"/>
      <c r="RDW53" s="556"/>
      <c r="RDX53" s="556"/>
      <c r="RDY53" s="556"/>
      <c r="RDZ53" s="556"/>
      <c r="REA53" s="556"/>
      <c r="REB53" s="556"/>
      <c r="REC53" s="556"/>
      <c r="RED53" s="556"/>
      <c r="REE53" s="556"/>
      <c r="REF53" s="556"/>
      <c r="REG53" s="556"/>
      <c r="REH53" s="556"/>
      <c r="REI53" s="556"/>
      <c r="REJ53" s="556"/>
      <c r="REK53" s="556"/>
      <c r="REL53" s="556"/>
      <c r="REM53" s="556"/>
      <c r="REN53" s="556"/>
      <c r="REO53" s="556"/>
      <c r="REP53" s="556"/>
      <c r="REQ53" s="556"/>
      <c r="RER53" s="556"/>
      <c r="RES53" s="556"/>
      <c r="RET53" s="556"/>
      <c r="REU53" s="556"/>
      <c r="REV53" s="556"/>
      <c r="REW53" s="556"/>
      <c r="REX53" s="556"/>
      <c r="REY53" s="556"/>
      <c r="REZ53" s="556"/>
      <c r="RFA53" s="556"/>
      <c r="RFB53" s="556"/>
      <c r="RFC53" s="556"/>
      <c r="RFD53" s="556"/>
      <c r="RFE53" s="556"/>
      <c r="RFF53" s="556"/>
      <c r="RFG53" s="556"/>
      <c r="RFH53" s="556"/>
      <c r="RFI53" s="556"/>
      <c r="RFJ53" s="556"/>
      <c r="RFK53" s="556"/>
      <c r="RFL53" s="556"/>
      <c r="RFM53" s="556"/>
      <c r="RFN53" s="556"/>
      <c r="RFO53" s="556"/>
      <c r="RFP53" s="556"/>
      <c r="RFQ53" s="556"/>
      <c r="RFR53" s="556"/>
      <c r="RFS53" s="556"/>
      <c r="RFT53" s="556"/>
      <c r="RFU53" s="556"/>
      <c r="RFV53" s="556"/>
      <c r="RFW53" s="556"/>
      <c r="RFX53" s="556"/>
      <c r="RFY53" s="556"/>
      <c r="RFZ53" s="556"/>
      <c r="RGA53" s="556"/>
      <c r="RGB53" s="556"/>
      <c r="RGC53" s="556"/>
      <c r="RGD53" s="556"/>
      <c r="RGE53" s="556"/>
      <c r="RGF53" s="556"/>
      <c r="RGG53" s="556"/>
      <c r="RGH53" s="556"/>
      <c r="RGI53" s="556"/>
      <c r="RGJ53" s="556"/>
      <c r="RGK53" s="556"/>
      <c r="RGL53" s="556"/>
      <c r="RGM53" s="556"/>
      <c r="RGN53" s="556"/>
      <c r="RGO53" s="556"/>
      <c r="RGP53" s="556"/>
      <c r="RGQ53" s="556"/>
      <c r="RGR53" s="556"/>
      <c r="RGS53" s="556"/>
      <c r="RGT53" s="556"/>
      <c r="RGU53" s="556"/>
      <c r="RGV53" s="556"/>
      <c r="RGW53" s="556"/>
      <c r="RGX53" s="556"/>
      <c r="RGY53" s="556"/>
      <c r="RGZ53" s="556"/>
      <c r="RHA53" s="556"/>
      <c r="RHB53" s="556"/>
      <c r="RHC53" s="556"/>
      <c r="RHD53" s="556"/>
      <c r="RHE53" s="556"/>
      <c r="RHF53" s="556"/>
      <c r="RHG53" s="556"/>
      <c r="RHH53" s="556"/>
      <c r="RHI53" s="556"/>
      <c r="RHJ53" s="556"/>
      <c r="RHK53" s="556"/>
      <c r="RHL53" s="556"/>
      <c r="RHM53" s="556"/>
      <c r="RHN53" s="556"/>
      <c r="RHO53" s="556"/>
      <c r="RHP53" s="556"/>
      <c r="RHQ53" s="556"/>
      <c r="RHR53" s="556"/>
      <c r="RHS53" s="556"/>
      <c r="RHT53" s="556"/>
      <c r="RHU53" s="556"/>
      <c r="RHV53" s="556"/>
      <c r="RHW53" s="556"/>
      <c r="RHX53" s="556"/>
      <c r="RHY53" s="556"/>
      <c r="RHZ53" s="556"/>
      <c r="RIA53" s="556"/>
      <c r="RIB53" s="556"/>
      <c r="RIC53" s="556"/>
      <c r="RID53" s="556"/>
      <c r="RIE53" s="556"/>
      <c r="RIF53" s="556"/>
      <c r="RIG53" s="556"/>
      <c r="RIH53" s="556"/>
      <c r="RII53" s="556"/>
      <c r="RIJ53" s="556"/>
      <c r="RIK53" s="556"/>
      <c r="RIL53" s="556"/>
      <c r="RIM53" s="556"/>
      <c r="RIN53" s="556"/>
      <c r="RIO53" s="556"/>
      <c r="RIP53" s="556"/>
      <c r="RIQ53" s="556"/>
      <c r="RIR53" s="556"/>
      <c r="RIS53" s="556"/>
      <c r="RIT53" s="556"/>
      <c r="RIU53" s="556"/>
      <c r="RIV53" s="556"/>
      <c r="RIW53" s="556"/>
      <c r="RIX53" s="556"/>
      <c r="RIY53" s="556"/>
      <c r="RIZ53" s="556"/>
      <c r="RJA53" s="556"/>
      <c r="RJB53" s="556"/>
      <c r="RJC53" s="556"/>
      <c r="RJD53" s="556"/>
      <c r="RJE53" s="556"/>
      <c r="RJF53" s="556"/>
      <c r="RJG53" s="556"/>
      <c r="RJH53" s="556"/>
      <c r="RJI53" s="556"/>
      <c r="RJJ53" s="556"/>
      <c r="RJK53" s="556"/>
      <c r="RJL53" s="556"/>
      <c r="RJM53" s="556"/>
      <c r="RJN53" s="556"/>
      <c r="RJO53" s="556"/>
      <c r="RJP53" s="556"/>
      <c r="RJQ53" s="556"/>
      <c r="RJR53" s="556"/>
      <c r="RJS53" s="556"/>
      <c r="RJT53" s="556"/>
      <c r="RJU53" s="556"/>
      <c r="RJV53" s="556"/>
      <c r="RJW53" s="556"/>
      <c r="RJX53" s="556"/>
      <c r="RJY53" s="556"/>
      <c r="RJZ53" s="556"/>
      <c r="RKA53" s="556"/>
      <c r="RKB53" s="556"/>
      <c r="RKC53" s="556"/>
      <c r="RKD53" s="556"/>
      <c r="RKE53" s="556"/>
      <c r="RKF53" s="556"/>
      <c r="RKG53" s="556"/>
      <c r="RKH53" s="556"/>
      <c r="RKI53" s="556"/>
      <c r="RKJ53" s="556"/>
      <c r="RKK53" s="556"/>
      <c r="RKL53" s="556"/>
      <c r="RKM53" s="556"/>
      <c r="RKN53" s="556"/>
      <c r="RKO53" s="556"/>
      <c r="RKP53" s="556"/>
      <c r="RKQ53" s="556"/>
      <c r="RKR53" s="556"/>
      <c r="RKS53" s="556"/>
      <c r="RKT53" s="556"/>
      <c r="RKU53" s="556"/>
      <c r="RKV53" s="556"/>
      <c r="RKW53" s="556"/>
      <c r="RKX53" s="556"/>
      <c r="RKY53" s="556"/>
      <c r="RKZ53" s="556"/>
      <c r="RLA53" s="556"/>
      <c r="RLB53" s="556"/>
      <c r="RLC53" s="556"/>
      <c r="RLD53" s="556"/>
      <c r="RLE53" s="556"/>
      <c r="RLF53" s="556"/>
      <c r="RLG53" s="556"/>
      <c r="RLH53" s="556"/>
      <c r="RLI53" s="556"/>
      <c r="RLJ53" s="556"/>
      <c r="RLK53" s="556"/>
      <c r="RLL53" s="556"/>
      <c r="RLM53" s="556"/>
      <c r="RLN53" s="556"/>
      <c r="RLO53" s="556"/>
      <c r="RLP53" s="556"/>
      <c r="RLQ53" s="556"/>
      <c r="RLR53" s="556"/>
      <c r="RLS53" s="556"/>
      <c r="RLT53" s="556"/>
      <c r="RLU53" s="556"/>
      <c r="RLV53" s="556"/>
      <c r="RLW53" s="556"/>
      <c r="RLX53" s="556"/>
      <c r="RLY53" s="556"/>
      <c r="RLZ53" s="556"/>
      <c r="RMA53" s="556"/>
      <c r="RMB53" s="556"/>
      <c r="RMC53" s="556"/>
      <c r="RMD53" s="556"/>
      <c r="RME53" s="556"/>
      <c r="RMF53" s="556"/>
      <c r="RMG53" s="556"/>
      <c r="RMH53" s="556"/>
      <c r="RMI53" s="556"/>
      <c r="RMJ53" s="556"/>
      <c r="RMK53" s="556"/>
      <c r="RML53" s="556"/>
      <c r="RMM53" s="556"/>
      <c r="RMN53" s="556"/>
      <c r="RMO53" s="556"/>
      <c r="RMP53" s="556"/>
      <c r="RMQ53" s="556"/>
      <c r="RMR53" s="556"/>
      <c r="RMS53" s="556"/>
      <c r="RMT53" s="556"/>
      <c r="RMU53" s="556"/>
      <c r="RMV53" s="556"/>
      <c r="RMW53" s="556"/>
      <c r="RMX53" s="556"/>
      <c r="RMY53" s="556"/>
      <c r="RMZ53" s="556"/>
      <c r="RNA53" s="556"/>
      <c r="RNB53" s="556"/>
      <c r="RNC53" s="556"/>
      <c r="RND53" s="556"/>
      <c r="RNE53" s="556"/>
      <c r="RNF53" s="556"/>
      <c r="RNG53" s="556"/>
      <c r="RNH53" s="556"/>
      <c r="RNI53" s="556"/>
      <c r="RNJ53" s="556"/>
      <c r="RNK53" s="556"/>
      <c r="RNL53" s="556"/>
      <c r="RNM53" s="556"/>
      <c r="RNN53" s="556"/>
      <c r="RNO53" s="556"/>
      <c r="RNP53" s="556"/>
      <c r="RNQ53" s="556"/>
      <c r="RNR53" s="556"/>
      <c r="RNS53" s="556"/>
      <c r="RNT53" s="556"/>
      <c r="RNU53" s="556"/>
      <c r="RNV53" s="556"/>
      <c r="RNW53" s="556"/>
      <c r="RNX53" s="556"/>
      <c r="RNY53" s="556"/>
      <c r="RNZ53" s="556"/>
      <c r="ROA53" s="556"/>
      <c r="ROB53" s="556"/>
      <c r="ROC53" s="556"/>
      <c r="ROD53" s="556"/>
      <c r="ROE53" s="556"/>
      <c r="ROF53" s="556"/>
      <c r="ROG53" s="556"/>
      <c r="ROH53" s="556"/>
      <c r="ROI53" s="556"/>
      <c r="ROJ53" s="556"/>
      <c r="ROK53" s="556"/>
      <c r="ROL53" s="556"/>
      <c r="ROM53" s="556"/>
      <c r="RON53" s="556"/>
      <c r="ROO53" s="556"/>
      <c r="ROP53" s="556"/>
      <c r="ROQ53" s="556"/>
      <c r="ROR53" s="556"/>
      <c r="ROS53" s="556"/>
      <c r="ROT53" s="556"/>
      <c r="ROU53" s="556"/>
      <c r="ROV53" s="556"/>
      <c r="ROW53" s="556"/>
      <c r="ROX53" s="556"/>
      <c r="ROY53" s="556"/>
      <c r="ROZ53" s="556"/>
      <c r="RPA53" s="556"/>
      <c r="RPB53" s="556"/>
      <c r="RPC53" s="556"/>
      <c r="RPD53" s="556"/>
      <c r="RPE53" s="556"/>
      <c r="RPF53" s="556"/>
      <c r="RPG53" s="556"/>
      <c r="RPH53" s="556"/>
      <c r="RPI53" s="556"/>
      <c r="RPJ53" s="556"/>
      <c r="RPK53" s="556"/>
      <c r="RPL53" s="556"/>
      <c r="RPM53" s="556"/>
      <c r="RPN53" s="556"/>
      <c r="RPO53" s="556"/>
      <c r="RPP53" s="556"/>
      <c r="RPQ53" s="556"/>
      <c r="RPR53" s="556"/>
      <c r="RPS53" s="556"/>
      <c r="RPT53" s="556"/>
      <c r="RPU53" s="556"/>
      <c r="RPV53" s="556"/>
      <c r="RPW53" s="556"/>
      <c r="RPX53" s="556"/>
      <c r="RPY53" s="556"/>
      <c r="RPZ53" s="556"/>
      <c r="RQA53" s="556"/>
      <c r="RQB53" s="556"/>
      <c r="RQC53" s="556"/>
      <c r="RQD53" s="556"/>
      <c r="RQE53" s="556"/>
      <c r="RQF53" s="556"/>
      <c r="RQG53" s="556"/>
      <c r="RQH53" s="556"/>
      <c r="RQI53" s="556"/>
      <c r="RQJ53" s="556"/>
      <c r="RQK53" s="556"/>
      <c r="RQL53" s="556"/>
      <c r="RQM53" s="556"/>
      <c r="RQN53" s="556"/>
      <c r="RQO53" s="556"/>
      <c r="RQP53" s="556"/>
      <c r="RQQ53" s="556"/>
      <c r="RQR53" s="556"/>
      <c r="RQS53" s="556"/>
      <c r="RQT53" s="556"/>
      <c r="RQU53" s="556"/>
      <c r="RQV53" s="556"/>
      <c r="RQW53" s="556"/>
      <c r="RQX53" s="556"/>
      <c r="RQY53" s="556"/>
      <c r="RQZ53" s="556"/>
      <c r="RRA53" s="556"/>
      <c r="RRB53" s="556"/>
      <c r="RRC53" s="556"/>
      <c r="RRD53" s="556"/>
      <c r="RRE53" s="556"/>
      <c r="RRF53" s="556"/>
      <c r="RRG53" s="556"/>
      <c r="RRH53" s="556"/>
      <c r="RRI53" s="556"/>
      <c r="RRJ53" s="556"/>
      <c r="RRK53" s="556"/>
      <c r="RRL53" s="556"/>
      <c r="RRM53" s="556"/>
      <c r="RRN53" s="556"/>
      <c r="RRO53" s="556"/>
      <c r="RRP53" s="556"/>
      <c r="RRQ53" s="556"/>
      <c r="RRR53" s="556"/>
      <c r="RRS53" s="556"/>
      <c r="RRT53" s="556"/>
      <c r="RRU53" s="556"/>
      <c r="RRV53" s="556"/>
      <c r="RRW53" s="556"/>
      <c r="RRX53" s="556"/>
      <c r="RRY53" s="556"/>
      <c r="RRZ53" s="556"/>
      <c r="RSA53" s="556"/>
      <c r="RSB53" s="556"/>
      <c r="RSC53" s="556"/>
      <c r="RSD53" s="556"/>
      <c r="RSE53" s="556"/>
      <c r="RSF53" s="556"/>
      <c r="RSG53" s="556"/>
      <c r="RSH53" s="556"/>
      <c r="RSI53" s="556"/>
      <c r="RSJ53" s="556"/>
      <c r="RSK53" s="556"/>
      <c r="RSL53" s="556"/>
      <c r="RSM53" s="556"/>
      <c r="RSN53" s="556"/>
      <c r="RSO53" s="556"/>
      <c r="RSP53" s="556"/>
      <c r="RSQ53" s="556"/>
      <c r="RSR53" s="556"/>
      <c r="RSS53" s="556"/>
      <c r="RST53" s="556"/>
      <c r="RSU53" s="556"/>
      <c r="RSV53" s="556"/>
      <c r="RSW53" s="556"/>
      <c r="RSX53" s="556"/>
      <c r="RSY53" s="556"/>
      <c r="RSZ53" s="556"/>
      <c r="RTA53" s="556"/>
      <c r="RTB53" s="556"/>
      <c r="RTC53" s="556"/>
      <c r="RTD53" s="556"/>
      <c r="RTE53" s="556"/>
      <c r="RTF53" s="556"/>
      <c r="RTG53" s="556"/>
      <c r="RTH53" s="556"/>
      <c r="RTI53" s="556"/>
      <c r="RTJ53" s="556"/>
      <c r="RTK53" s="556"/>
      <c r="RTL53" s="556"/>
      <c r="RTM53" s="556"/>
      <c r="RTN53" s="556"/>
      <c r="RTO53" s="556"/>
      <c r="RTP53" s="556"/>
      <c r="RTQ53" s="556"/>
      <c r="RTR53" s="556"/>
      <c r="RTS53" s="556"/>
      <c r="RTT53" s="556"/>
      <c r="RTU53" s="556"/>
      <c r="RTV53" s="556"/>
      <c r="RTW53" s="556"/>
      <c r="RTX53" s="556"/>
      <c r="RTY53" s="556"/>
      <c r="RTZ53" s="556"/>
      <c r="RUA53" s="556"/>
      <c r="RUB53" s="556"/>
      <c r="RUC53" s="556"/>
      <c r="RUD53" s="556"/>
      <c r="RUE53" s="556"/>
      <c r="RUF53" s="556"/>
      <c r="RUG53" s="556"/>
      <c r="RUH53" s="556"/>
      <c r="RUI53" s="556"/>
      <c r="RUJ53" s="556"/>
      <c r="RUK53" s="556"/>
      <c r="RUL53" s="556"/>
      <c r="RUM53" s="556"/>
      <c r="RUN53" s="556"/>
      <c r="RUO53" s="556"/>
      <c r="RUP53" s="556"/>
      <c r="RUQ53" s="556"/>
      <c r="RUR53" s="556"/>
      <c r="RUS53" s="556"/>
      <c r="RUT53" s="556"/>
      <c r="RUU53" s="556"/>
      <c r="RUV53" s="556"/>
      <c r="RUW53" s="556"/>
      <c r="RUX53" s="556"/>
      <c r="RUY53" s="556"/>
      <c r="RUZ53" s="556"/>
      <c r="RVA53" s="556"/>
      <c r="RVB53" s="556"/>
      <c r="RVC53" s="556"/>
      <c r="RVD53" s="556"/>
      <c r="RVE53" s="556"/>
      <c r="RVF53" s="556"/>
      <c r="RVG53" s="556"/>
      <c r="RVH53" s="556"/>
      <c r="RVI53" s="556"/>
      <c r="RVJ53" s="556"/>
      <c r="RVK53" s="556"/>
      <c r="RVL53" s="556"/>
      <c r="RVM53" s="556"/>
      <c r="RVN53" s="556"/>
      <c r="RVO53" s="556"/>
      <c r="RVP53" s="556"/>
      <c r="RVQ53" s="556"/>
      <c r="RVR53" s="556"/>
      <c r="RVS53" s="556"/>
      <c r="RVT53" s="556"/>
      <c r="RVU53" s="556"/>
      <c r="RVV53" s="556"/>
      <c r="RVW53" s="556"/>
      <c r="RVX53" s="556"/>
      <c r="RVY53" s="556"/>
      <c r="RVZ53" s="556"/>
      <c r="RWA53" s="556"/>
      <c r="RWB53" s="556"/>
      <c r="RWC53" s="556"/>
      <c r="RWD53" s="556"/>
      <c r="RWE53" s="556"/>
      <c r="RWF53" s="556"/>
      <c r="RWG53" s="556"/>
      <c r="RWH53" s="556"/>
      <c r="RWI53" s="556"/>
      <c r="RWJ53" s="556"/>
      <c r="RWK53" s="556"/>
      <c r="RWL53" s="556"/>
      <c r="RWM53" s="556"/>
      <c r="RWN53" s="556"/>
      <c r="RWO53" s="556"/>
      <c r="RWP53" s="556"/>
      <c r="RWQ53" s="556"/>
      <c r="RWR53" s="556"/>
      <c r="RWS53" s="556"/>
      <c r="RWT53" s="556"/>
      <c r="RWU53" s="556"/>
      <c r="RWV53" s="556"/>
      <c r="RWW53" s="556"/>
      <c r="RWX53" s="556"/>
      <c r="RWY53" s="556"/>
      <c r="RWZ53" s="556"/>
      <c r="RXA53" s="556"/>
      <c r="RXB53" s="556"/>
      <c r="RXC53" s="556"/>
      <c r="RXD53" s="556"/>
      <c r="RXE53" s="556"/>
      <c r="RXF53" s="556"/>
      <c r="RXG53" s="556"/>
      <c r="RXH53" s="556"/>
      <c r="RXI53" s="556"/>
      <c r="RXJ53" s="556"/>
      <c r="RXK53" s="556"/>
      <c r="RXL53" s="556"/>
      <c r="RXM53" s="556"/>
      <c r="RXN53" s="556"/>
      <c r="RXO53" s="556"/>
      <c r="RXP53" s="556"/>
      <c r="RXQ53" s="556"/>
      <c r="RXR53" s="556"/>
      <c r="RXS53" s="556"/>
      <c r="RXT53" s="556"/>
      <c r="RXU53" s="556"/>
      <c r="RXV53" s="556"/>
      <c r="RXW53" s="556"/>
      <c r="RXX53" s="556"/>
      <c r="RXY53" s="556"/>
      <c r="RXZ53" s="556"/>
      <c r="RYA53" s="556"/>
      <c r="RYB53" s="556"/>
      <c r="RYC53" s="556"/>
      <c r="RYD53" s="556"/>
      <c r="RYE53" s="556"/>
      <c r="RYF53" s="556"/>
      <c r="RYG53" s="556"/>
      <c r="RYH53" s="556"/>
      <c r="RYI53" s="556"/>
      <c r="RYJ53" s="556"/>
      <c r="RYK53" s="556"/>
      <c r="RYL53" s="556"/>
      <c r="RYM53" s="556"/>
      <c r="RYN53" s="556"/>
      <c r="RYO53" s="556"/>
      <c r="RYP53" s="556"/>
      <c r="RYQ53" s="556"/>
      <c r="RYR53" s="556"/>
      <c r="RYS53" s="556"/>
      <c r="RYT53" s="556"/>
      <c r="RYU53" s="556"/>
      <c r="RYV53" s="556"/>
      <c r="RYW53" s="556"/>
      <c r="RYX53" s="556"/>
      <c r="RYY53" s="556"/>
      <c r="RYZ53" s="556"/>
      <c r="RZA53" s="556"/>
      <c r="RZB53" s="556"/>
      <c r="RZC53" s="556"/>
      <c r="RZD53" s="556"/>
      <c r="RZE53" s="556"/>
      <c r="RZF53" s="556"/>
      <c r="RZG53" s="556"/>
      <c r="RZH53" s="556"/>
      <c r="RZI53" s="556"/>
      <c r="RZJ53" s="556"/>
      <c r="RZK53" s="556"/>
      <c r="RZL53" s="556"/>
      <c r="RZM53" s="556"/>
      <c r="RZN53" s="556"/>
      <c r="RZO53" s="556"/>
      <c r="RZP53" s="556"/>
      <c r="RZQ53" s="556"/>
      <c r="RZR53" s="556"/>
      <c r="RZS53" s="556"/>
      <c r="RZT53" s="556"/>
      <c r="RZU53" s="556"/>
      <c r="RZV53" s="556"/>
      <c r="RZW53" s="556"/>
      <c r="RZX53" s="556"/>
      <c r="RZY53" s="556"/>
      <c r="RZZ53" s="556"/>
      <c r="SAA53" s="556"/>
      <c r="SAB53" s="556"/>
      <c r="SAC53" s="556"/>
      <c r="SAD53" s="556"/>
      <c r="SAE53" s="556"/>
      <c r="SAF53" s="556"/>
      <c r="SAG53" s="556"/>
      <c r="SAH53" s="556"/>
      <c r="SAI53" s="556"/>
      <c r="SAJ53" s="556"/>
      <c r="SAK53" s="556"/>
      <c r="SAL53" s="556"/>
      <c r="SAM53" s="556"/>
      <c r="SAN53" s="556"/>
      <c r="SAO53" s="556"/>
      <c r="SAP53" s="556"/>
      <c r="SAQ53" s="556"/>
      <c r="SAR53" s="556"/>
      <c r="SAS53" s="556"/>
      <c r="SAT53" s="556"/>
      <c r="SAU53" s="556"/>
      <c r="SAV53" s="556"/>
      <c r="SAW53" s="556"/>
      <c r="SAX53" s="556"/>
      <c r="SAY53" s="556"/>
      <c r="SAZ53" s="556"/>
      <c r="SBA53" s="556"/>
      <c r="SBB53" s="556"/>
      <c r="SBC53" s="556"/>
      <c r="SBD53" s="556"/>
      <c r="SBE53" s="556"/>
      <c r="SBF53" s="556"/>
      <c r="SBG53" s="556"/>
      <c r="SBH53" s="556"/>
      <c r="SBI53" s="556"/>
      <c r="SBJ53" s="556"/>
      <c r="SBK53" s="556"/>
      <c r="SBL53" s="556"/>
      <c r="SBM53" s="556"/>
      <c r="SBN53" s="556"/>
      <c r="SBO53" s="556"/>
      <c r="SBP53" s="556"/>
      <c r="SBQ53" s="556"/>
      <c r="SBR53" s="556"/>
      <c r="SBS53" s="556"/>
      <c r="SBT53" s="556"/>
      <c r="SBU53" s="556"/>
      <c r="SBV53" s="556"/>
      <c r="SBW53" s="556"/>
      <c r="SBX53" s="556"/>
      <c r="SBY53" s="556"/>
      <c r="SBZ53" s="556"/>
      <c r="SCA53" s="556"/>
      <c r="SCB53" s="556"/>
      <c r="SCC53" s="556"/>
      <c r="SCD53" s="556"/>
      <c r="SCE53" s="556"/>
      <c r="SCF53" s="556"/>
      <c r="SCG53" s="556"/>
      <c r="SCH53" s="556"/>
      <c r="SCI53" s="556"/>
      <c r="SCJ53" s="556"/>
      <c r="SCK53" s="556"/>
      <c r="SCL53" s="556"/>
      <c r="SCM53" s="556"/>
      <c r="SCN53" s="556"/>
      <c r="SCO53" s="556"/>
      <c r="SCP53" s="556"/>
      <c r="SCQ53" s="556"/>
      <c r="SCR53" s="556"/>
      <c r="SCS53" s="556"/>
      <c r="SCT53" s="556"/>
      <c r="SCU53" s="556"/>
      <c r="SCV53" s="556"/>
      <c r="SCW53" s="556"/>
      <c r="SCX53" s="556"/>
      <c r="SCY53" s="556"/>
      <c r="SCZ53" s="556"/>
      <c r="SDA53" s="556"/>
      <c r="SDB53" s="556"/>
      <c r="SDC53" s="556"/>
      <c r="SDD53" s="556"/>
      <c r="SDE53" s="556"/>
      <c r="SDF53" s="556"/>
      <c r="SDG53" s="556"/>
      <c r="SDH53" s="556"/>
      <c r="SDI53" s="556"/>
      <c r="SDJ53" s="556"/>
      <c r="SDK53" s="556"/>
      <c r="SDL53" s="556"/>
      <c r="SDM53" s="556"/>
      <c r="SDN53" s="556"/>
      <c r="SDO53" s="556"/>
      <c r="SDP53" s="556"/>
      <c r="SDQ53" s="556"/>
      <c r="SDR53" s="556"/>
      <c r="SDS53" s="556"/>
      <c r="SDT53" s="556"/>
      <c r="SDU53" s="556"/>
      <c r="SDV53" s="556"/>
      <c r="SDW53" s="556"/>
      <c r="SDX53" s="556"/>
      <c r="SDY53" s="556"/>
      <c r="SDZ53" s="556"/>
      <c r="SEA53" s="556"/>
      <c r="SEB53" s="556"/>
      <c r="SEC53" s="556"/>
      <c r="SED53" s="556"/>
      <c r="SEE53" s="556"/>
      <c r="SEF53" s="556"/>
      <c r="SEG53" s="556"/>
      <c r="SEH53" s="556"/>
      <c r="SEI53" s="556"/>
      <c r="SEJ53" s="556"/>
      <c r="SEK53" s="556"/>
      <c r="SEL53" s="556"/>
      <c r="SEM53" s="556"/>
      <c r="SEN53" s="556"/>
      <c r="SEO53" s="556"/>
      <c r="SEP53" s="556"/>
      <c r="SEQ53" s="556"/>
      <c r="SER53" s="556"/>
      <c r="SES53" s="556"/>
      <c r="SET53" s="556"/>
      <c r="SEU53" s="556"/>
      <c r="SEV53" s="556"/>
      <c r="SEW53" s="556"/>
      <c r="SEX53" s="556"/>
      <c r="SEY53" s="556"/>
      <c r="SEZ53" s="556"/>
      <c r="SFA53" s="556"/>
      <c r="SFB53" s="556"/>
      <c r="SFC53" s="556"/>
      <c r="SFD53" s="556"/>
      <c r="SFE53" s="556"/>
      <c r="SFF53" s="556"/>
      <c r="SFG53" s="556"/>
      <c r="SFH53" s="556"/>
      <c r="SFI53" s="556"/>
      <c r="SFJ53" s="556"/>
      <c r="SFK53" s="556"/>
      <c r="SFL53" s="556"/>
      <c r="SFM53" s="556"/>
      <c r="SFN53" s="556"/>
      <c r="SFO53" s="556"/>
      <c r="SFP53" s="556"/>
      <c r="SFQ53" s="556"/>
      <c r="SFR53" s="556"/>
      <c r="SFS53" s="556"/>
      <c r="SFT53" s="556"/>
      <c r="SFU53" s="556"/>
      <c r="SFV53" s="556"/>
      <c r="SFW53" s="556"/>
      <c r="SFX53" s="556"/>
      <c r="SFY53" s="556"/>
      <c r="SFZ53" s="556"/>
      <c r="SGA53" s="556"/>
      <c r="SGB53" s="556"/>
      <c r="SGC53" s="556"/>
      <c r="SGD53" s="556"/>
      <c r="SGE53" s="556"/>
      <c r="SGF53" s="556"/>
      <c r="SGG53" s="556"/>
      <c r="SGH53" s="556"/>
      <c r="SGI53" s="556"/>
      <c r="SGJ53" s="556"/>
      <c r="SGK53" s="556"/>
      <c r="SGL53" s="556"/>
      <c r="SGM53" s="556"/>
      <c r="SGN53" s="556"/>
      <c r="SGO53" s="556"/>
      <c r="SGP53" s="556"/>
      <c r="SGQ53" s="556"/>
      <c r="SGR53" s="556"/>
      <c r="SGS53" s="556"/>
      <c r="SGT53" s="556"/>
      <c r="SGU53" s="556"/>
      <c r="SGV53" s="556"/>
      <c r="SGW53" s="556"/>
      <c r="SGX53" s="556"/>
      <c r="SGY53" s="556"/>
      <c r="SGZ53" s="556"/>
      <c r="SHA53" s="556"/>
      <c r="SHB53" s="556"/>
      <c r="SHC53" s="556"/>
      <c r="SHD53" s="556"/>
      <c r="SHE53" s="556"/>
      <c r="SHF53" s="556"/>
      <c r="SHG53" s="556"/>
      <c r="SHH53" s="556"/>
      <c r="SHI53" s="556"/>
      <c r="SHJ53" s="556"/>
      <c r="SHK53" s="556"/>
      <c r="SHL53" s="556"/>
      <c r="SHM53" s="556"/>
      <c r="SHN53" s="556"/>
      <c r="SHO53" s="556"/>
      <c r="SHP53" s="556"/>
      <c r="SHQ53" s="556"/>
      <c r="SHR53" s="556"/>
      <c r="SHS53" s="556"/>
      <c r="SHT53" s="556"/>
      <c r="SHU53" s="556"/>
      <c r="SHV53" s="556"/>
      <c r="SHW53" s="556"/>
      <c r="SHX53" s="556"/>
      <c r="SHY53" s="556"/>
      <c r="SHZ53" s="556"/>
      <c r="SIA53" s="556"/>
      <c r="SIB53" s="556"/>
      <c r="SIC53" s="556"/>
      <c r="SID53" s="556"/>
      <c r="SIE53" s="556"/>
      <c r="SIF53" s="556"/>
      <c r="SIG53" s="556"/>
      <c r="SIH53" s="556"/>
      <c r="SII53" s="556"/>
      <c r="SIJ53" s="556"/>
      <c r="SIK53" s="556"/>
      <c r="SIL53" s="556"/>
      <c r="SIM53" s="556"/>
      <c r="SIN53" s="556"/>
      <c r="SIO53" s="556"/>
      <c r="SIP53" s="556"/>
      <c r="SIQ53" s="556"/>
      <c r="SIR53" s="556"/>
      <c r="SIS53" s="556"/>
      <c r="SIT53" s="556"/>
      <c r="SIU53" s="556"/>
      <c r="SIV53" s="556"/>
      <c r="SIW53" s="556"/>
      <c r="SIX53" s="556"/>
      <c r="SIY53" s="556"/>
      <c r="SIZ53" s="556"/>
      <c r="SJA53" s="556"/>
      <c r="SJB53" s="556"/>
      <c r="SJC53" s="556"/>
      <c r="SJD53" s="556"/>
      <c r="SJE53" s="556"/>
      <c r="SJF53" s="556"/>
      <c r="SJG53" s="556"/>
      <c r="SJH53" s="556"/>
      <c r="SJI53" s="556"/>
      <c r="SJJ53" s="556"/>
      <c r="SJK53" s="556"/>
      <c r="SJL53" s="556"/>
      <c r="SJM53" s="556"/>
      <c r="SJN53" s="556"/>
      <c r="SJO53" s="556"/>
      <c r="SJP53" s="556"/>
      <c r="SJQ53" s="556"/>
      <c r="SJR53" s="556"/>
      <c r="SJS53" s="556"/>
      <c r="SJT53" s="556"/>
      <c r="SJU53" s="556"/>
      <c r="SJV53" s="556"/>
      <c r="SJW53" s="556"/>
      <c r="SJX53" s="556"/>
      <c r="SJY53" s="556"/>
      <c r="SJZ53" s="556"/>
      <c r="SKA53" s="556"/>
      <c r="SKB53" s="556"/>
      <c r="SKC53" s="556"/>
      <c r="SKD53" s="556"/>
      <c r="SKE53" s="556"/>
      <c r="SKF53" s="556"/>
      <c r="SKG53" s="556"/>
      <c r="SKH53" s="556"/>
      <c r="SKI53" s="556"/>
      <c r="SKJ53" s="556"/>
      <c r="SKK53" s="556"/>
      <c r="SKL53" s="556"/>
      <c r="SKM53" s="556"/>
      <c r="SKN53" s="556"/>
      <c r="SKO53" s="556"/>
      <c r="SKP53" s="556"/>
      <c r="SKQ53" s="556"/>
      <c r="SKR53" s="556"/>
      <c r="SKS53" s="556"/>
      <c r="SKT53" s="556"/>
      <c r="SKU53" s="556"/>
      <c r="SKV53" s="556"/>
      <c r="SKW53" s="556"/>
      <c r="SKX53" s="556"/>
      <c r="SKY53" s="556"/>
      <c r="SKZ53" s="556"/>
      <c r="SLA53" s="556"/>
      <c r="SLB53" s="556"/>
      <c r="SLC53" s="556"/>
      <c r="SLD53" s="556"/>
      <c r="SLE53" s="556"/>
      <c r="SLF53" s="556"/>
      <c r="SLG53" s="556"/>
      <c r="SLH53" s="556"/>
      <c r="SLI53" s="556"/>
      <c r="SLJ53" s="556"/>
      <c r="SLK53" s="556"/>
      <c r="SLL53" s="556"/>
      <c r="SLM53" s="556"/>
      <c r="SLN53" s="556"/>
      <c r="SLO53" s="556"/>
      <c r="SLP53" s="556"/>
      <c r="SLQ53" s="556"/>
      <c r="SLR53" s="556"/>
      <c r="SLS53" s="556"/>
      <c r="SLT53" s="556"/>
      <c r="SLU53" s="556"/>
      <c r="SLV53" s="556"/>
      <c r="SLW53" s="556"/>
      <c r="SLX53" s="556"/>
      <c r="SLY53" s="556"/>
      <c r="SLZ53" s="556"/>
      <c r="SMA53" s="556"/>
      <c r="SMB53" s="556"/>
      <c r="SMC53" s="556"/>
      <c r="SMD53" s="556"/>
      <c r="SME53" s="556"/>
      <c r="SMF53" s="556"/>
      <c r="SMG53" s="556"/>
      <c r="SMH53" s="556"/>
      <c r="SMI53" s="556"/>
      <c r="SMJ53" s="556"/>
      <c r="SMK53" s="556"/>
      <c r="SML53" s="556"/>
      <c r="SMM53" s="556"/>
      <c r="SMN53" s="556"/>
      <c r="SMO53" s="556"/>
      <c r="SMP53" s="556"/>
      <c r="SMQ53" s="556"/>
      <c r="SMR53" s="556"/>
      <c r="SMS53" s="556"/>
      <c r="SMT53" s="556"/>
      <c r="SMU53" s="556"/>
      <c r="SMV53" s="556"/>
      <c r="SMW53" s="556"/>
      <c r="SMX53" s="556"/>
      <c r="SMY53" s="556"/>
      <c r="SMZ53" s="556"/>
      <c r="SNA53" s="556"/>
      <c r="SNB53" s="556"/>
      <c r="SNC53" s="556"/>
      <c r="SND53" s="556"/>
      <c r="SNE53" s="556"/>
      <c r="SNF53" s="556"/>
      <c r="SNG53" s="556"/>
      <c r="SNH53" s="556"/>
      <c r="SNI53" s="556"/>
      <c r="SNJ53" s="556"/>
      <c r="SNK53" s="556"/>
      <c r="SNL53" s="556"/>
      <c r="SNM53" s="556"/>
      <c r="SNN53" s="556"/>
      <c r="SNO53" s="556"/>
      <c r="SNP53" s="556"/>
      <c r="SNQ53" s="556"/>
      <c r="SNR53" s="556"/>
      <c r="SNS53" s="556"/>
      <c r="SNT53" s="556"/>
      <c r="SNU53" s="556"/>
      <c r="SNV53" s="556"/>
      <c r="SNW53" s="556"/>
      <c r="SNX53" s="556"/>
      <c r="SNY53" s="556"/>
      <c r="SNZ53" s="556"/>
      <c r="SOA53" s="556"/>
      <c r="SOB53" s="556"/>
      <c r="SOC53" s="556"/>
      <c r="SOD53" s="556"/>
      <c r="SOE53" s="556"/>
      <c r="SOF53" s="556"/>
      <c r="SOG53" s="556"/>
      <c r="SOH53" s="556"/>
      <c r="SOI53" s="556"/>
      <c r="SOJ53" s="556"/>
      <c r="SOK53" s="556"/>
      <c r="SOL53" s="556"/>
      <c r="SOM53" s="556"/>
      <c r="SON53" s="556"/>
      <c r="SOO53" s="556"/>
      <c r="SOP53" s="556"/>
      <c r="SOQ53" s="556"/>
      <c r="SOR53" s="556"/>
      <c r="SOS53" s="556"/>
      <c r="SOT53" s="556"/>
      <c r="SOU53" s="556"/>
      <c r="SOV53" s="556"/>
      <c r="SOW53" s="556"/>
      <c r="SOX53" s="556"/>
      <c r="SOY53" s="556"/>
      <c r="SOZ53" s="556"/>
      <c r="SPA53" s="556"/>
      <c r="SPB53" s="556"/>
      <c r="SPC53" s="556"/>
      <c r="SPD53" s="556"/>
      <c r="SPE53" s="556"/>
      <c r="SPF53" s="556"/>
      <c r="SPG53" s="556"/>
      <c r="SPH53" s="556"/>
      <c r="SPI53" s="556"/>
      <c r="SPJ53" s="556"/>
      <c r="SPK53" s="556"/>
      <c r="SPL53" s="556"/>
      <c r="SPM53" s="556"/>
      <c r="SPN53" s="556"/>
      <c r="SPO53" s="556"/>
      <c r="SPP53" s="556"/>
      <c r="SPQ53" s="556"/>
      <c r="SPR53" s="556"/>
      <c r="SPS53" s="556"/>
      <c r="SPT53" s="556"/>
      <c r="SPU53" s="556"/>
      <c r="SPV53" s="556"/>
      <c r="SPW53" s="556"/>
      <c r="SPX53" s="556"/>
      <c r="SPY53" s="556"/>
      <c r="SPZ53" s="556"/>
      <c r="SQA53" s="556"/>
      <c r="SQB53" s="556"/>
      <c r="SQC53" s="556"/>
      <c r="SQD53" s="556"/>
      <c r="SQE53" s="556"/>
      <c r="SQF53" s="556"/>
      <c r="SQG53" s="556"/>
      <c r="SQH53" s="556"/>
      <c r="SQI53" s="556"/>
      <c r="SQJ53" s="556"/>
      <c r="SQK53" s="556"/>
      <c r="SQL53" s="556"/>
      <c r="SQM53" s="556"/>
      <c r="SQN53" s="556"/>
      <c r="SQO53" s="556"/>
      <c r="SQP53" s="556"/>
      <c r="SQQ53" s="556"/>
      <c r="SQR53" s="556"/>
      <c r="SQS53" s="556"/>
      <c r="SQT53" s="556"/>
      <c r="SQU53" s="556"/>
      <c r="SQV53" s="556"/>
      <c r="SQW53" s="556"/>
      <c r="SQX53" s="556"/>
      <c r="SQY53" s="556"/>
      <c r="SQZ53" s="556"/>
      <c r="SRA53" s="556"/>
      <c r="SRB53" s="556"/>
      <c r="SRC53" s="556"/>
      <c r="SRD53" s="556"/>
      <c r="SRE53" s="556"/>
      <c r="SRF53" s="556"/>
      <c r="SRG53" s="556"/>
      <c r="SRH53" s="556"/>
      <c r="SRI53" s="556"/>
      <c r="SRJ53" s="556"/>
      <c r="SRK53" s="556"/>
      <c r="SRL53" s="556"/>
      <c r="SRM53" s="556"/>
      <c r="SRN53" s="556"/>
      <c r="SRO53" s="556"/>
      <c r="SRP53" s="556"/>
      <c r="SRQ53" s="556"/>
      <c r="SRR53" s="556"/>
      <c r="SRS53" s="556"/>
      <c r="SRT53" s="556"/>
      <c r="SRU53" s="556"/>
      <c r="SRV53" s="556"/>
      <c r="SRW53" s="556"/>
      <c r="SRX53" s="556"/>
      <c r="SRY53" s="556"/>
      <c r="SRZ53" s="556"/>
      <c r="SSA53" s="556"/>
      <c r="SSB53" s="556"/>
      <c r="SSC53" s="556"/>
      <c r="SSD53" s="556"/>
      <c r="SSE53" s="556"/>
      <c r="SSF53" s="556"/>
      <c r="SSG53" s="556"/>
      <c r="SSH53" s="556"/>
      <c r="SSI53" s="556"/>
      <c r="SSJ53" s="556"/>
      <c r="SSK53" s="556"/>
      <c r="SSL53" s="556"/>
      <c r="SSM53" s="556"/>
      <c r="SSN53" s="556"/>
      <c r="SSO53" s="556"/>
      <c r="SSP53" s="556"/>
      <c r="SSQ53" s="556"/>
      <c r="SSR53" s="556"/>
      <c r="SSS53" s="556"/>
      <c r="SST53" s="556"/>
      <c r="SSU53" s="556"/>
      <c r="SSV53" s="556"/>
      <c r="SSW53" s="556"/>
      <c r="SSX53" s="556"/>
      <c r="SSY53" s="556"/>
      <c r="SSZ53" s="556"/>
      <c r="STA53" s="556"/>
      <c r="STB53" s="556"/>
      <c r="STC53" s="556"/>
      <c r="STD53" s="556"/>
      <c r="STE53" s="556"/>
      <c r="STF53" s="556"/>
      <c r="STG53" s="556"/>
      <c r="STH53" s="556"/>
      <c r="STI53" s="556"/>
      <c r="STJ53" s="556"/>
      <c r="STK53" s="556"/>
      <c r="STL53" s="556"/>
      <c r="STM53" s="556"/>
      <c r="STN53" s="556"/>
      <c r="STO53" s="556"/>
      <c r="STP53" s="556"/>
      <c r="STQ53" s="556"/>
      <c r="STR53" s="556"/>
      <c r="STS53" s="556"/>
      <c r="STT53" s="556"/>
      <c r="STU53" s="556"/>
      <c r="STV53" s="556"/>
      <c r="STW53" s="556"/>
      <c r="STX53" s="556"/>
      <c r="STY53" s="556"/>
      <c r="STZ53" s="556"/>
      <c r="SUA53" s="556"/>
      <c r="SUB53" s="556"/>
      <c r="SUC53" s="556"/>
      <c r="SUD53" s="556"/>
      <c r="SUE53" s="556"/>
      <c r="SUF53" s="556"/>
      <c r="SUG53" s="556"/>
      <c r="SUH53" s="556"/>
      <c r="SUI53" s="556"/>
      <c r="SUJ53" s="556"/>
      <c r="SUK53" s="556"/>
      <c r="SUL53" s="556"/>
      <c r="SUM53" s="556"/>
      <c r="SUN53" s="556"/>
      <c r="SUO53" s="556"/>
      <c r="SUP53" s="556"/>
      <c r="SUQ53" s="556"/>
      <c r="SUR53" s="556"/>
      <c r="SUS53" s="556"/>
      <c r="SUT53" s="556"/>
      <c r="SUU53" s="556"/>
      <c r="SUV53" s="556"/>
      <c r="SUW53" s="556"/>
      <c r="SUX53" s="556"/>
      <c r="SUY53" s="556"/>
      <c r="SUZ53" s="556"/>
      <c r="SVA53" s="556"/>
      <c r="SVB53" s="556"/>
      <c r="SVC53" s="556"/>
      <c r="SVD53" s="556"/>
      <c r="SVE53" s="556"/>
      <c r="SVF53" s="556"/>
      <c r="SVG53" s="556"/>
      <c r="SVH53" s="556"/>
      <c r="SVI53" s="556"/>
      <c r="SVJ53" s="556"/>
      <c r="SVK53" s="556"/>
      <c r="SVL53" s="556"/>
      <c r="SVM53" s="556"/>
      <c r="SVN53" s="556"/>
      <c r="SVO53" s="556"/>
      <c r="SVP53" s="556"/>
      <c r="SVQ53" s="556"/>
      <c r="SVR53" s="556"/>
      <c r="SVS53" s="556"/>
      <c r="SVT53" s="556"/>
      <c r="SVU53" s="556"/>
      <c r="SVV53" s="556"/>
      <c r="SVW53" s="556"/>
      <c r="SVX53" s="556"/>
      <c r="SVY53" s="556"/>
      <c r="SVZ53" s="556"/>
      <c r="SWA53" s="556"/>
      <c r="SWB53" s="556"/>
      <c r="SWC53" s="556"/>
      <c r="SWD53" s="556"/>
      <c r="SWE53" s="556"/>
      <c r="SWF53" s="556"/>
      <c r="SWG53" s="556"/>
      <c r="SWH53" s="556"/>
      <c r="SWI53" s="556"/>
      <c r="SWJ53" s="556"/>
      <c r="SWK53" s="556"/>
      <c r="SWL53" s="556"/>
      <c r="SWM53" s="556"/>
      <c r="SWN53" s="556"/>
      <c r="SWO53" s="556"/>
      <c r="SWP53" s="556"/>
      <c r="SWQ53" s="556"/>
      <c r="SWR53" s="556"/>
      <c r="SWS53" s="556"/>
      <c r="SWT53" s="556"/>
      <c r="SWU53" s="556"/>
      <c r="SWV53" s="556"/>
      <c r="SWW53" s="556"/>
      <c r="SWX53" s="556"/>
      <c r="SWY53" s="556"/>
      <c r="SWZ53" s="556"/>
      <c r="SXA53" s="556"/>
      <c r="SXB53" s="556"/>
      <c r="SXC53" s="556"/>
      <c r="SXD53" s="556"/>
      <c r="SXE53" s="556"/>
      <c r="SXF53" s="556"/>
      <c r="SXG53" s="556"/>
      <c r="SXH53" s="556"/>
      <c r="SXI53" s="556"/>
      <c r="SXJ53" s="556"/>
      <c r="SXK53" s="556"/>
      <c r="SXL53" s="556"/>
      <c r="SXM53" s="556"/>
      <c r="SXN53" s="556"/>
      <c r="SXO53" s="556"/>
      <c r="SXP53" s="556"/>
      <c r="SXQ53" s="556"/>
      <c r="SXR53" s="556"/>
      <c r="SXS53" s="556"/>
      <c r="SXT53" s="556"/>
      <c r="SXU53" s="556"/>
      <c r="SXV53" s="556"/>
      <c r="SXW53" s="556"/>
      <c r="SXX53" s="556"/>
      <c r="SXY53" s="556"/>
      <c r="SXZ53" s="556"/>
      <c r="SYA53" s="556"/>
      <c r="SYB53" s="556"/>
      <c r="SYC53" s="556"/>
      <c r="SYD53" s="556"/>
      <c r="SYE53" s="556"/>
      <c r="SYF53" s="556"/>
      <c r="SYG53" s="556"/>
      <c r="SYH53" s="556"/>
      <c r="SYI53" s="556"/>
      <c r="SYJ53" s="556"/>
      <c r="SYK53" s="556"/>
      <c r="SYL53" s="556"/>
      <c r="SYM53" s="556"/>
      <c r="SYN53" s="556"/>
      <c r="SYO53" s="556"/>
      <c r="SYP53" s="556"/>
      <c r="SYQ53" s="556"/>
      <c r="SYR53" s="556"/>
      <c r="SYS53" s="556"/>
      <c r="SYT53" s="556"/>
      <c r="SYU53" s="556"/>
      <c r="SYV53" s="556"/>
      <c r="SYW53" s="556"/>
      <c r="SYX53" s="556"/>
      <c r="SYY53" s="556"/>
      <c r="SYZ53" s="556"/>
      <c r="SZA53" s="556"/>
      <c r="SZB53" s="556"/>
      <c r="SZC53" s="556"/>
      <c r="SZD53" s="556"/>
      <c r="SZE53" s="556"/>
      <c r="SZF53" s="556"/>
      <c r="SZG53" s="556"/>
      <c r="SZH53" s="556"/>
      <c r="SZI53" s="556"/>
      <c r="SZJ53" s="556"/>
      <c r="SZK53" s="556"/>
      <c r="SZL53" s="556"/>
      <c r="SZM53" s="556"/>
      <c r="SZN53" s="556"/>
      <c r="SZO53" s="556"/>
      <c r="SZP53" s="556"/>
      <c r="SZQ53" s="556"/>
      <c r="SZR53" s="556"/>
      <c r="SZS53" s="556"/>
      <c r="SZT53" s="556"/>
      <c r="SZU53" s="556"/>
      <c r="SZV53" s="556"/>
      <c r="SZW53" s="556"/>
      <c r="SZX53" s="556"/>
      <c r="SZY53" s="556"/>
      <c r="SZZ53" s="556"/>
      <c r="TAA53" s="556"/>
      <c r="TAB53" s="556"/>
      <c r="TAC53" s="556"/>
      <c r="TAD53" s="556"/>
      <c r="TAE53" s="556"/>
      <c r="TAF53" s="556"/>
      <c r="TAG53" s="556"/>
      <c r="TAH53" s="556"/>
      <c r="TAI53" s="556"/>
      <c r="TAJ53" s="556"/>
      <c r="TAK53" s="556"/>
      <c r="TAL53" s="556"/>
      <c r="TAM53" s="556"/>
      <c r="TAN53" s="556"/>
      <c r="TAO53" s="556"/>
      <c r="TAP53" s="556"/>
      <c r="TAQ53" s="556"/>
      <c r="TAR53" s="556"/>
      <c r="TAS53" s="556"/>
      <c r="TAT53" s="556"/>
      <c r="TAU53" s="556"/>
      <c r="TAV53" s="556"/>
      <c r="TAW53" s="556"/>
      <c r="TAX53" s="556"/>
      <c r="TAY53" s="556"/>
      <c r="TAZ53" s="556"/>
      <c r="TBA53" s="556"/>
      <c r="TBB53" s="556"/>
      <c r="TBC53" s="556"/>
      <c r="TBD53" s="556"/>
      <c r="TBE53" s="556"/>
      <c r="TBF53" s="556"/>
      <c r="TBG53" s="556"/>
      <c r="TBH53" s="556"/>
      <c r="TBI53" s="556"/>
      <c r="TBJ53" s="556"/>
      <c r="TBK53" s="556"/>
      <c r="TBL53" s="556"/>
      <c r="TBM53" s="556"/>
      <c r="TBN53" s="556"/>
      <c r="TBO53" s="556"/>
      <c r="TBP53" s="556"/>
      <c r="TBQ53" s="556"/>
      <c r="TBR53" s="556"/>
      <c r="TBS53" s="556"/>
      <c r="TBT53" s="556"/>
      <c r="TBU53" s="556"/>
      <c r="TBV53" s="556"/>
      <c r="TBW53" s="556"/>
      <c r="TBX53" s="556"/>
      <c r="TBY53" s="556"/>
      <c r="TBZ53" s="556"/>
      <c r="TCA53" s="556"/>
      <c r="TCB53" s="556"/>
      <c r="TCC53" s="556"/>
      <c r="TCD53" s="556"/>
      <c r="TCE53" s="556"/>
      <c r="TCF53" s="556"/>
      <c r="TCG53" s="556"/>
      <c r="TCH53" s="556"/>
      <c r="TCI53" s="556"/>
      <c r="TCJ53" s="556"/>
      <c r="TCK53" s="556"/>
      <c r="TCL53" s="556"/>
      <c r="TCM53" s="556"/>
      <c r="TCN53" s="556"/>
      <c r="TCO53" s="556"/>
      <c r="TCP53" s="556"/>
      <c r="TCQ53" s="556"/>
      <c r="TCR53" s="556"/>
      <c r="TCS53" s="556"/>
      <c r="TCT53" s="556"/>
      <c r="TCU53" s="556"/>
      <c r="TCV53" s="556"/>
      <c r="TCW53" s="556"/>
      <c r="TCX53" s="556"/>
      <c r="TCY53" s="556"/>
      <c r="TCZ53" s="556"/>
      <c r="TDA53" s="556"/>
      <c r="TDB53" s="556"/>
      <c r="TDC53" s="556"/>
      <c r="TDD53" s="556"/>
      <c r="TDE53" s="556"/>
      <c r="TDF53" s="556"/>
      <c r="TDG53" s="556"/>
      <c r="TDH53" s="556"/>
      <c r="TDI53" s="556"/>
      <c r="TDJ53" s="556"/>
      <c r="TDK53" s="556"/>
      <c r="TDL53" s="556"/>
      <c r="TDM53" s="556"/>
      <c r="TDN53" s="556"/>
      <c r="TDO53" s="556"/>
      <c r="TDP53" s="556"/>
      <c r="TDQ53" s="556"/>
      <c r="TDR53" s="556"/>
      <c r="TDS53" s="556"/>
      <c r="TDT53" s="556"/>
      <c r="TDU53" s="556"/>
      <c r="TDV53" s="556"/>
      <c r="TDW53" s="556"/>
      <c r="TDX53" s="556"/>
      <c r="TDY53" s="556"/>
      <c r="TDZ53" s="556"/>
      <c r="TEA53" s="556"/>
      <c r="TEB53" s="556"/>
      <c r="TEC53" s="556"/>
      <c r="TED53" s="556"/>
      <c r="TEE53" s="556"/>
      <c r="TEF53" s="556"/>
      <c r="TEG53" s="556"/>
      <c r="TEH53" s="556"/>
      <c r="TEI53" s="556"/>
      <c r="TEJ53" s="556"/>
      <c r="TEK53" s="556"/>
      <c r="TEL53" s="556"/>
      <c r="TEM53" s="556"/>
      <c r="TEN53" s="556"/>
      <c r="TEO53" s="556"/>
      <c r="TEP53" s="556"/>
      <c r="TEQ53" s="556"/>
      <c r="TER53" s="556"/>
      <c r="TES53" s="556"/>
      <c r="TET53" s="556"/>
      <c r="TEU53" s="556"/>
      <c r="TEV53" s="556"/>
      <c r="TEW53" s="556"/>
      <c r="TEX53" s="556"/>
      <c r="TEY53" s="556"/>
      <c r="TEZ53" s="556"/>
      <c r="TFA53" s="556"/>
      <c r="TFB53" s="556"/>
      <c r="TFC53" s="556"/>
      <c r="TFD53" s="556"/>
      <c r="TFE53" s="556"/>
      <c r="TFF53" s="556"/>
      <c r="TFG53" s="556"/>
      <c r="TFH53" s="556"/>
      <c r="TFI53" s="556"/>
      <c r="TFJ53" s="556"/>
      <c r="TFK53" s="556"/>
      <c r="TFL53" s="556"/>
      <c r="TFM53" s="556"/>
      <c r="TFN53" s="556"/>
      <c r="TFO53" s="556"/>
      <c r="TFP53" s="556"/>
      <c r="TFQ53" s="556"/>
      <c r="TFR53" s="556"/>
      <c r="TFS53" s="556"/>
      <c r="TFT53" s="556"/>
      <c r="TFU53" s="556"/>
      <c r="TFV53" s="556"/>
      <c r="TFW53" s="556"/>
      <c r="TFX53" s="556"/>
      <c r="TFY53" s="556"/>
      <c r="TFZ53" s="556"/>
      <c r="TGA53" s="556"/>
      <c r="TGB53" s="556"/>
      <c r="TGC53" s="556"/>
      <c r="TGD53" s="556"/>
      <c r="TGE53" s="556"/>
      <c r="TGF53" s="556"/>
      <c r="TGG53" s="556"/>
      <c r="TGH53" s="556"/>
      <c r="TGI53" s="556"/>
      <c r="TGJ53" s="556"/>
      <c r="TGK53" s="556"/>
      <c r="TGL53" s="556"/>
      <c r="TGM53" s="556"/>
      <c r="TGN53" s="556"/>
      <c r="TGO53" s="556"/>
      <c r="TGP53" s="556"/>
      <c r="TGQ53" s="556"/>
      <c r="TGR53" s="556"/>
      <c r="TGS53" s="556"/>
      <c r="TGT53" s="556"/>
      <c r="TGU53" s="556"/>
      <c r="TGV53" s="556"/>
      <c r="TGW53" s="556"/>
      <c r="TGX53" s="556"/>
      <c r="TGY53" s="556"/>
      <c r="TGZ53" s="556"/>
      <c r="THA53" s="556"/>
      <c r="THB53" s="556"/>
      <c r="THC53" s="556"/>
      <c r="THD53" s="556"/>
      <c r="THE53" s="556"/>
      <c r="THF53" s="556"/>
      <c r="THG53" s="556"/>
      <c r="THH53" s="556"/>
      <c r="THI53" s="556"/>
      <c r="THJ53" s="556"/>
      <c r="THK53" s="556"/>
      <c r="THL53" s="556"/>
      <c r="THM53" s="556"/>
      <c r="THN53" s="556"/>
      <c r="THO53" s="556"/>
      <c r="THP53" s="556"/>
      <c r="THQ53" s="556"/>
      <c r="THR53" s="556"/>
      <c r="THS53" s="556"/>
      <c r="THT53" s="556"/>
      <c r="THU53" s="556"/>
      <c r="THV53" s="556"/>
      <c r="THW53" s="556"/>
      <c r="THX53" s="556"/>
      <c r="THY53" s="556"/>
      <c r="THZ53" s="556"/>
      <c r="TIA53" s="556"/>
      <c r="TIB53" s="556"/>
      <c r="TIC53" s="556"/>
      <c r="TID53" s="556"/>
      <c r="TIE53" s="556"/>
      <c r="TIF53" s="556"/>
      <c r="TIG53" s="556"/>
      <c r="TIH53" s="556"/>
      <c r="TII53" s="556"/>
      <c r="TIJ53" s="556"/>
      <c r="TIK53" s="556"/>
      <c r="TIL53" s="556"/>
      <c r="TIM53" s="556"/>
      <c r="TIN53" s="556"/>
      <c r="TIO53" s="556"/>
      <c r="TIP53" s="556"/>
      <c r="TIQ53" s="556"/>
      <c r="TIR53" s="556"/>
      <c r="TIS53" s="556"/>
      <c r="TIT53" s="556"/>
      <c r="TIU53" s="556"/>
      <c r="TIV53" s="556"/>
      <c r="TIW53" s="556"/>
      <c r="TIX53" s="556"/>
      <c r="TIY53" s="556"/>
      <c r="TIZ53" s="556"/>
      <c r="TJA53" s="556"/>
      <c r="TJB53" s="556"/>
      <c r="TJC53" s="556"/>
      <c r="TJD53" s="556"/>
      <c r="TJE53" s="556"/>
      <c r="TJF53" s="556"/>
      <c r="TJG53" s="556"/>
      <c r="TJH53" s="556"/>
      <c r="TJI53" s="556"/>
      <c r="TJJ53" s="556"/>
      <c r="TJK53" s="556"/>
      <c r="TJL53" s="556"/>
      <c r="TJM53" s="556"/>
      <c r="TJN53" s="556"/>
      <c r="TJO53" s="556"/>
      <c r="TJP53" s="556"/>
      <c r="TJQ53" s="556"/>
      <c r="TJR53" s="556"/>
      <c r="TJS53" s="556"/>
      <c r="TJT53" s="556"/>
      <c r="TJU53" s="556"/>
      <c r="TJV53" s="556"/>
      <c r="TJW53" s="556"/>
      <c r="TJX53" s="556"/>
      <c r="TJY53" s="556"/>
      <c r="TJZ53" s="556"/>
      <c r="TKA53" s="556"/>
      <c r="TKB53" s="556"/>
      <c r="TKC53" s="556"/>
      <c r="TKD53" s="556"/>
      <c r="TKE53" s="556"/>
      <c r="TKF53" s="556"/>
      <c r="TKG53" s="556"/>
      <c r="TKH53" s="556"/>
      <c r="TKI53" s="556"/>
      <c r="TKJ53" s="556"/>
      <c r="TKK53" s="556"/>
      <c r="TKL53" s="556"/>
      <c r="TKM53" s="556"/>
      <c r="TKN53" s="556"/>
      <c r="TKO53" s="556"/>
      <c r="TKP53" s="556"/>
      <c r="TKQ53" s="556"/>
      <c r="TKR53" s="556"/>
      <c r="TKS53" s="556"/>
      <c r="TKT53" s="556"/>
      <c r="TKU53" s="556"/>
      <c r="TKV53" s="556"/>
      <c r="TKW53" s="556"/>
      <c r="TKX53" s="556"/>
      <c r="TKY53" s="556"/>
      <c r="TKZ53" s="556"/>
      <c r="TLA53" s="556"/>
      <c r="TLB53" s="556"/>
      <c r="TLC53" s="556"/>
      <c r="TLD53" s="556"/>
      <c r="TLE53" s="556"/>
      <c r="TLF53" s="556"/>
      <c r="TLG53" s="556"/>
      <c r="TLH53" s="556"/>
      <c r="TLI53" s="556"/>
      <c r="TLJ53" s="556"/>
      <c r="TLK53" s="556"/>
      <c r="TLL53" s="556"/>
      <c r="TLM53" s="556"/>
      <c r="TLN53" s="556"/>
      <c r="TLO53" s="556"/>
      <c r="TLP53" s="556"/>
      <c r="TLQ53" s="556"/>
      <c r="TLR53" s="556"/>
      <c r="TLS53" s="556"/>
      <c r="TLT53" s="556"/>
      <c r="TLU53" s="556"/>
      <c r="TLV53" s="556"/>
      <c r="TLW53" s="556"/>
      <c r="TLX53" s="556"/>
      <c r="TLY53" s="556"/>
      <c r="TLZ53" s="556"/>
      <c r="TMA53" s="556"/>
      <c r="TMB53" s="556"/>
      <c r="TMC53" s="556"/>
      <c r="TMD53" s="556"/>
      <c r="TME53" s="556"/>
      <c r="TMF53" s="556"/>
      <c r="TMG53" s="556"/>
      <c r="TMH53" s="556"/>
      <c r="TMI53" s="556"/>
      <c r="TMJ53" s="556"/>
      <c r="TMK53" s="556"/>
      <c r="TML53" s="556"/>
      <c r="TMM53" s="556"/>
      <c r="TMN53" s="556"/>
      <c r="TMO53" s="556"/>
      <c r="TMP53" s="556"/>
      <c r="TMQ53" s="556"/>
      <c r="TMR53" s="556"/>
      <c r="TMS53" s="556"/>
      <c r="TMT53" s="556"/>
      <c r="TMU53" s="556"/>
      <c r="TMV53" s="556"/>
      <c r="TMW53" s="556"/>
      <c r="TMX53" s="556"/>
      <c r="TMY53" s="556"/>
      <c r="TMZ53" s="556"/>
      <c r="TNA53" s="556"/>
      <c r="TNB53" s="556"/>
      <c r="TNC53" s="556"/>
      <c r="TND53" s="556"/>
      <c r="TNE53" s="556"/>
      <c r="TNF53" s="556"/>
      <c r="TNG53" s="556"/>
      <c r="TNH53" s="556"/>
      <c r="TNI53" s="556"/>
      <c r="TNJ53" s="556"/>
      <c r="TNK53" s="556"/>
      <c r="TNL53" s="556"/>
      <c r="TNM53" s="556"/>
      <c r="TNN53" s="556"/>
      <c r="TNO53" s="556"/>
      <c r="TNP53" s="556"/>
      <c r="TNQ53" s="556"/>
      <c r="TNR53" s="556"/>
      <c r="TNS53" s="556"/>
      <c r="TNT53" s="556"/>
      <c r="TNU53" s="556"/>
      <c r="TNV53" s="556"/>
      <c r="TNW53" s="556"/>
      <c r="TNX53" s="556"/>
      <c r="TNY53" s="556"/>
      <c r="TNZ53" s="556"/>
      <c r="TOA53" s="556"/>
      <c r="TOB53" s="556"/>
      <c r="TOC53" s="556"/>
      <c r="TOD53" s="556"/>
      <c r="TOE53" s="556"/>
      <c r="TOF53" s="556"/>
      <c r="TOG53" s="556"/>
      <c r="TOH53" s="556"/>
      <c r="TOI53" s="556"/>
      <c r="TOJ53" s="556"/>
      <c r="TOK53" s="556"/>
      <c r="TOL53" s="556"/>
      <c r="TOM53" s="556"/>
      <c r="TON53" s="556"/>
      <c r="TOO53" s="556"/>
      <c r="TOP53" s="556"/>
      <c r="TOQ53" s="556"/>
      <c r="TOR53" s="556"/>
      <c r="TOS53" s="556"/>
      <c r="TOT53" s="556"/>
      <c r="TOU53" s="556"/>
      <c r="TOV53" s="556"/>
      <c r="TOW53" s="556"/>
      <c r="TOX53" s="556"/>
      <c r="TOY53" s="556"/>
      <c r="TOZ53" s="556"/>
      <c r="TPA53" s="556"/>
      <c r="TPB53" s="556"/>
      <c r="TPC53" s="556"/>
      <c r="TPD53" s="556"/>
      <c r="TPE53" s="556"/>
      <c r="TPF53" s="556"/>
      <c r="TPG53" s="556"/>
      <c r="TPH53" s="556"/>
      <c r="TPI53" s="556"/>
      <c r="TPJ53" s="556"/>
      <c r="TPK53" s="556"/>
      <c r="TPL53" s="556"/>
      <c r="TPM53" s="556"/>
      <c r="TPN53" s="556"/>
      <c r="TPO53" s="556"/>
      <c r="TPP53" s="556"/>
      <c r="TPQ53" s="556"/>
      <c r="TPR53" s="556"/>
      <c r="TPS53" s="556"/>
      <c r="TPT53" s="556"/>
      <c r="TPU53" s="556"/>
      <c r="TPV53" s="556"/>
      <c r="TPW53" s="556"/>
      <c r="TPX53" s="556"/>
      <c r="TPY53" s="556"/>
      <c r="TPZ53" s="556"/>
      <c r="TQA53" s="556"/>
      <c r="TQB53" s="556"/>
      <c r="TQC53" s="556"/>
      <c r="TQD53" s="556"/>
      <c r="TQE53" s="556"/>
      <c r="TQF53" s="556"/>
      <c r="TQG53" s="556"/>
      <c r="TQH53" s="556"/>
      <c r="TQI53" s="556"/>
      <c r="TQJ53" s="556"/>
      <c r="TQK53" s="556"/>
      <c r="TQL53" s="556"/>
      <c r="TQM53" s="556"/>
      <c r="TQN53" s="556"/>
      <c r="TQO53" s="556"/>
      <c r="TQP53" s="556"/>
      <c r="TQQ53" s="556"/>
      <c r="TQR53" s="556"/>
      <c r="TQS53" s="556"/>
      <c r="TQT53" s="556"/>
      <c r="TQU53" s="556"/>
      <c r="TQV53" s="556"/>
      <c r="TQW53" s="556"/>
      <c r="TQX53" s="556"/>
      <c r="TQY53" s="556"/>
      <c r="TQZ53" s="556"/>
      <c r="TRA53" s="556"/>
      <c r="TRB53" s="556"/>
      <c r="TRC53" s="556"/>
      <c r="TRD53" s="556"/>
      <c r="TRE53" s="556"/>
      <c r="TRF53" s="556"/>
      <c r="TRG53" s="556"/>
      <c r="TRH53" s="556"/>
      <c r="TRI53" s="556"/>
      <c r="TRJ53" s="556"/>
      <c r="TRK53" s="556"/>
      <c r="TRL53" s="556"/>
      <c r="TRM53" s="556"/>
      <c r="TRN53" s="556"/>
      <c r="TRO53" s="556"/>
      <c r="TRP53" s="556"/>
      <c r="TRQ53" s="556"/>
      <c r="TRR53" s="556"/>
      <c r="TRS53" s="556"/>
      <c r="TRT53" s="556"/>
      <c r="TRU53" s="556"/>
      <c r="TRV53" s="556"/>
      <c r="TRW53" s="556"/>
      <c r="TRX53" s="556"/>
      <c r="TRY53" s="556"/>
      <c r="TRZ53" s="556"/>
      <c r="TSA53" s="556"/>
      <c r="TSB53" s="556"/>
      <c r="TSC53" s="556"/>
      <c r="TSD53" s="556"/>
      <c r="TSE53" s="556"/>
      <c r="TSF53" s="556"/>
      <c r="TSG53" s="556"/>
      <c r="TSH53" s="556"/>
      <c r="TSI53" s="556"/>
      <c r="TSJ53" s="556"/>
      <c r="TSK53" s="556"/>
      <c r="TSL53" s="556"/>
      <c r="TSM53" s="556"/>
      <c r="TSN53" s="556"/>
      <c r="TSO53" s="556"/>
      <c r="TSP53" s="556"/>
      <c r="TSQ53" s="556"/>
      <c r="TSR53" s="556"/>
      <c r="TSS53" s="556"/>
      <c r="TST53" s="556"/>
      <c r="TSU53" s="556"/>
      <c r="TSV53" s="556"/>
      <c r="TSW53" s="556"/>
      <c r="TSX53" s="556"/>
      <c r="TSY53" s="556"/>
      <c r="TSZ53" s="556"/>
      <c r="TTA53" s="556"/>
      <c r="TTB53" s="556"/>
      <c r="TTC53" s="556"/>
      <c r="TTD53" s="556"/>
      <c r="TTE53" s="556"/>
      <c r="TTF53" s="556"/>
      <c r="TTG53" s="556"/>
      <c r="TTH53" s="556"/>
      <c r="TTI53" s="556"/>
      <c r="TTJ53" s="556"/>
      <c r="TTK53" s="556"/>
      <c r="TTL53" s="556"/>
      <c r="TTM53" s="556"/>
      <c r="TTN53" s="556"/>
      <c r="TTO53" s="556"/>
      <c r="TTP53" s="556"/>
      <c r="TTQ53" s="556"/>
      <c r="TTR53" s="556"/>
      <c r="TTS53" s="556"/>
      <c r="TTT53" s="556"/>
      <c r="TTU53" s="556"/>
      <c r="TTV53" s="556"/>
      <c r="TTW53" s="556"/>
      <c r="TTX53" s="556"/>
      <c r="TTY53" s="556"/>
      <c r="TTZ53" s="556"/>
      <c r="TUA53" s="556"/>
      <c r="TUB53" s="556"/>
      <c r="TUC53" s="556"/>
      <c r="TUD53" s="556"/>
      <c r="TUE53" s="556"/>
      <c r="TUF53" s="556"/>
      <c r="TUG53" s="556"/>
      <c r="TUH53" s="556"/>
      <c r="TUI53" s="556"/>
      <c r="TUJ53" s="556"/>
      <c r="TUK53" s="556"/>
      <c r="TUL53" s="556"/>
      <c r="TUM53" s="556"/>
      <c r="TUN53" s="556"/>
      <c r="TUO53" s="556"/>
      <c r="TUP53" s="556"/>
      <c r="TUQ53" s="556"/>
      <c r="TUR53" s="556"/>
      <c r="TUS53" s="556"/>
      <c r="TUT53" s="556"/>
      <c r="TUU53" s="556"/>
      <c r="TUV53" s="556"/>
      <c r="TUW53" s="556"/>
      <c r="TUX53" s="556"/>
      <c r="TUY53" s="556"/>
      <c r="TUZ53" s="556"/>
      <c r="TVA53" s="556"/>
      <c r="TVB53" s="556"/>
      <c r="TVC53" s="556"/>
      <c r="TVD53" s="556"/>
      <c r="TVE53" s="556"/>
      <c r="TVF53" s="556"/>
      <c r="TVG53" s="556"/>
      <c r="TVH53" s="556"/>
      <c r="TVI53" s="556"/>
      <c r="TVJ53" s="556"/>
      <c r="TVK53" s="556"/>
      <c r="TVL53" s="556"/>
      <c r="TVM53" s="556"/>
      <c r="TVN53" s="556"/>
      <c r="TVO53" s="556"/>
      <c r="TVP53" s="556"/>
      <c r="TVQ53" s="556"/>
      <c r="TVR53" s="556"/>
      <c r="TVS53" s="556"/>
      <c r="TVT53" s="556"/>
      <c r="TVU53" s="556"/>
      <c r="TVV53" s="556"/>
      <c r="TVW53" s="556"/>
      <c r="TVX53" s="556"/>
      <c r="TVY53" s="556"/>
      <c r="TVZ53" s="556"/>
      <c r="TWA53" s="556"/>
      <c r="TWB53" s="556"/>
      <c r="TWC53" s="556"/>
      <c r="TWD53" s="556"/>
      <c r="TWE53" s="556"/>
      <c r="TWF53" s="556"/>
      <c r="TWG53" s="556"/>
      <c r="TWH53" s="556"/>
      <c r="TWI53" s="556"/>
      <c r="TWJ53" s="556"/>
      <c r="TWK53" s="556"/>
      <c r="TWL53" s="556"/>
      <c r="TWM53" s="556"/>
      <c r="TWN53" s="556"/>
      <c r="TWO53" s="556"/>
      <c r="TWP53" s="556"/>
      <c r="TWQ53" s="556"/>
      <c r="TWR53" s="556"/>
      <c r="TWS53" s="556"/>
      <c r="TWT53" s="556"/>
      <c r="TWU53" s="556"/>
      <c r="TWV53" s="556"/>
      <c r="TWW53" s="556"/>
      <c r="TWX53" s="556"/>
      <c r="TWY53" s="556"/>
      <c r="TWZ53" s="556"/>
      <c r="TXA53" s="556"/>
      <c r="TXB53" s="556"/>
      <c r="TXC53" s="556"/>
      <c r="TXD53" s="556"/>
      <c r="TXE53" s="556"/>
      <c r="TXF53" s="556"/>
      <c r="TXG53" s="556"/>
      <c r="TXH53" s="556"/>
      <c r="TXI53" s="556"/>
      <c r="TXJ53" s="556"/>
      <c r="TXK53" s="556"/>
      <c r="TXL53" s="556"/>
      <c r="TXM53" s="556"/>
      <c r="TXN53" s="556"/>
      <c r="TXO53" s="556"/>
      <c r="TXP53" s="556"/>
      <c r="TXQ53" s="556"/>
      <c r="TXR53" s="556"/>
      <c r="TXS53" s="556"/>
      <c r="TXT53" s="556"/>
      <c r="TXU53" s="556"/>
      <c r="TXV53" s="556"/>
      <c r="TXW53" s="556"/>
      <c r="TXX53" s="556"/>
      <c r="TXY53" s="556"/>
      <c r="TXZ53" s="556"/>
      <c r="TYA53" s="556"/>
      <c r="TYB53" s="556"/>
      <c r="TYC53" s="556"/>
      <c r="TYD53" s="556"/>
      <c r="TYE53" s="556"/>
      <c r="TYF53" s="556"/>
      <c r="TYG53" s="556"/>
      <c r="TYH53" s="556"/>
      <c r="TYI53" s="556"/>
      <c r="TYJ53" s="556"/>
      <c r="TYK53" s="556"/>
      <c r="TYL53" s="556"/>
      <c r="TYM53" s="556"/>
      <c r="TYN53" s="556"/>
      <c r="TYO53" s="556"/>
      <c r="TYP53" s="556"/>
      <c r="TYQ53" s="556"/>
      <c r="TYR53" s="556"/>
      <c r="TYS53" s="556"/>
      <c r="TYT53" s="556"/>
      <c r="TYU53" s="556"/>
      <c r="TYV53" s="556"/>
      <c r="TYW53" s="556"/>
      <c r="TYX53" s="556"/>
      <c r="TYY53" s="556"/>
      <c r="TYZ53" s="556"/>
      <c r="TZA53" s="556"/>
      <c r="TZB53" s="556"/>
      <c r="TZC53" s="556"/>
      <c r="TZD53" s="556"/>
      <c r="TZE53" s="556"/>
      <c r="TZF53" s="556"/>
      <c r="TZG53" s="556"/>
      <c r="TZH53" s="556"/>
      <c r="TZI53" s="556"/>
      <c r="TZJ53" s="556"/>
      <c r="TZK53" s="556"/>
      <c r="TZL53" s="556"/>
      <c r="TZM53" s="556"/>
      <c r="TZN53" s="556"/>
      <c r="TZO53" s="556"/>
      <c r="TZP53" s="556"/>
      <c r="TZQ53" s="556"/>
      <c r="TZR53" s="556"/>
      <c r="TZS53" s="556"/>
      <c r="TZT53" s="556"/>
      <c r="TZU53" s="556"/>
      <c r="TZV53" s="556"/>
      <c r="TZW53" s="556"/>
      <c r="TZX53" s="556"/>
      <c r="TZY53" s="556"/>
      <c r="TZZ53" s="556"/>
      <c r="UAA53" s="556"/>
      <c r="UAB53" s="556"/>
      <c r="UAC53" s="556"/>
      <c r="UAD53" s="556"/>
      <c r="UAE53" s="556"/>
      <c r="UAF53" s="556"/>
      <c r="UAG53" s="556"/>
      <c r="UAH53" s="556"/>
      <c r="UAI53" s="556"/>
      <c r="UAJ53" s="556"/>
      <c r="UAK53" s="556"/>
      <c r="UAL53" s="556"/>
      <c r="UAM53" s="556"/>
      <c r="UAN53" s="556"/>
      <c r="UAO53" s="556"/>
      <c r="UAP53" s="556"/>
      <c r="UAQ53" s="556"/>
      <c r="UAR53" s="556"/>
      <c r="UAS53" s="556"/>
      <c r="UAT53" s="556"/>
      <c r="UAU53" s="556"/>
      <c r="UAV53" s="556"/>
      <c r="UAW53" s="556"/>
      <c r="UAX53" s="556"/>
      <c r="UAY53" s="556"/>
      <c r="UAZ53" s="556"/>
      <c r="UBA53" s="556"/>
      <c r="UBB53" s="556"/>
      <c r="UBC53" s="556"/>
      <c r="UBD53" s="556"/>
      <c r="UBE53" s="556"/>
      <c r="UBF53" s="556"/>
      <c r="UBG53" s="556"/>
      <c r="UBH53" s="556"/>
      <c r="UBI53" s="556"/>
      <c r="UBJ53" s="556"/>
      <c r="UBK53" s="556"/>
      <c r="UBL53" s="556"/>
      <c r="UBM53" s="556"/>
      <c r="UBN53" s="556"/>
      <c r="UBO53" s="556"/>
      <c r="UBP53" s="556"/>
      <c r="UBQ53" s="556"/>
      <c r="UBR53" s="556"/>
      <c r="UBS53" s="556"/>
      <c r="UBT53" s="556"/>
      <c r="UBU53" s="556"/>
      <c r="UBV53" s="556"/>
      <c r="UBW53" s="556"/>
      <c r="UBX53" s="556"/>
      <c r="UBY53" s="556"/>
      <c r="UBZ53" s="556"/>
      <c r="UCA53" s="556"/>
      <c r="UCB53" s="556"/>
      <c r="UCC53" s="556"/>
      <c r="UCD53" s="556"/>
      <c r="UCE53" s="556"/>
      <c r="UCF53" s="556"/>
      <c r="UCG53" s="556"/>
      <c r="UCH53" s="556"/>
      <c r="UCI53" s="556"/>
      <c r="UCJ53" s="556"/>
      <c r="UCK53" s="556"/>
      <c r="UCL53" s="556"/>
      <c r="UCM53" s="556"/>
      <c r="UCN53" s="556"/>
      <c r="UCO53" s="556"/>
      <c r="UCP53" s="556"/>
      <c r="UCQ53" s="556"/>
      <c r="UCR53" s="556"/>
      <c r="UCS53" s="556"/>
      <c r="UCT53" s="556"/>
      <c r="UCU53" s="556"/>
      <c r="UCV53" s="556"/>
      <c r="UCW53" s="556"/>
      <c r="UCX53" s="556"/>
      <c r="UCY53" s="556"/>
      <c r="UCZ53" s="556"/>
      <c r="UDA53" s="556"/>
      <c r="UDB53" s="556"/>
      <c r="UDC53" s="556"/>
      <c r="UDD53" s="556"/>
      <c r="UDE53" s="556"/>
      <c r="UDF53" s="556"/>
      <c r="UDG53" s="556"/>
      <c r="UDH53" s="556"/>
      <c r="UDI53" s="556"/>
      <c r="UDJ53" s="556"/>
      <c r="UDK53" s="556"/>
      <c r="UDL53" s="556"/>
      <c r="UDM53" s="556"/>
      <c r="UDN53" s="556"/>
      <c r="UDO53" s="556"/>
      <c r="UDP53" s="556"/>
      <c r="UDQ53" s="556"/>
      <c r="UDR53" s="556"/>
      <c r="UDS53" s="556"/>
      <c r="UDT53" s="556"/>
      <c r="UDU53" s="556"/>
      <c r="UDV53" s="556"/>
      <c r="UDW53" s="556"/>
      <c r="UDX53" s="556"/>
      <c r="UDY53" s="556"/>
      <c r="UDZ53" s="556"/>
      <c r="UEA53" s="556"/>
      <c r="UEB53" s="556"/>
      <c r="UEC53" s="556"/>
      <c r="UED53" s="556"/>
      <c r="UEE53" s="556"/>
      <c r="UEF53" s="556"/>
      <c r="UEG53" s="556"/>
      <c r="UEH53" s="556"/>
      <c r="UEI53" s="556"/>
      <c r="UEJ53" s="556"/>
      <c r="UEK53" s="556"/>
      <c r="UEL53" s="556"/>
      <c r="UEM53" s="556"/>
      <c r="UEN53" s="556"/>
      <c r="UEO53" s="556"/>
      <c r="UEP53" s="556"/>
      <c r="UEQ53" s="556"/>
      <c r="UER53" s="556"/>
      <c r="UES53" s="556"/>
      <c r="UET53" s="556"/>
      <c r="UEU53" s="556"/>
      <c r="UEV53" s="556"/>
      <c r="UEW53" s="556"/>
      <c r="UEX53" s="556"/>
      <c r="UEY53" s="556"/>
      <c r="UEZ53" s="556"/>
      <c r="UFA53" s="556"/>
      <c r="UFB53" s="556"/>
      <c r="UFC53" s="556"/>
      <c r="UFD53" s="556"/>
      <c r="UFE53" s="556"/>
      <c r="UFF53" s="556"/>
      <c r="UFG53" s="556"/>
      <c r="UFH53" s="556"/>
      <c r="UFI53" s="556"/>
      <c r="UFJ53" s="556"/>
      <c r="UFK53" s="556"/>
      <c r="UFL53" s="556"/>
      <c r="UFM53" s="556"/>
      <c r="UFN53" s="556"/>
      <c r="UFO53" s="556"/>
      <c r="UFP53" s="556"/>
      <c r="UFQ53" s="556"/>
      <c r="UFR53" s="556"/>
      <c r="UFS53" s="556"/>
      <c r="UFT53" s="556"/>
      <c r="UFU53" s="556"/>
      <c r="UFV53" s="556"/>
      <c r="UFW53" s="556"/>
      <c r="UFX53" s="556"/>
      <c r="UFY53" s="556"/>
      <c r="UFZ53" s="556"/>
      <c r="UGA53" s="556"/>
      <c r="UGB53" s="556"/>
      <c r="UGC53" s="556"/>
      <c r="UGD53" s="556"/>
      <c r="UGE53" s="556"/>
      <c r="UGF53" s="556"/>
      <c r="UGG53" s="556"/>
      <c r="UGH53" s="556"/>
      <c r="UGI53" s="556"/>
      <c r="UGJ53" s="556"/>
      <c r="UGK53" s="556"/>
      <c r="UGL53" s="556"/>
      <c r="UGM53" s="556"/>
      <c r="UGN53" s="556"/>
      <c r="UGO53" s="556"/>
      <c r="UGP53" s="556"/>
      <c r="UGQ53" s="556"/>
      <c r="UGR53" s="556"/>
      <c r="UGS53" s="556"/>
      <c r="UGT53" s="556"/>
      <c r="UGU53" s="556"/>
      <c r="UGV53" s="556"/>
      <c r="UGW53" s="556"/>
      <c r="UGX53" s="556"/>
      <c r="UGY53" s="556"/>
      <c r="UGZ53" s="556"/>
      <c r="UHA53" s="556"/>
      <c r="UHB53" s="556"/>
      <c r="UHC53" s="556"/>
      <c r="UHD53" s="556"/>
      <c r="UHE53" s="556"/>
      <c r="UHF53" s="556"/>
      <c r="UHG53" s="556"/>
      <c r="UHH53" s="556"/>
      <c r="UHI53" s="556"/>
      <c r="UHJ53" s="556"/>
      <c r="UHK53" s="556"/>
      <c r="UHL53" s="556"/>
      <c r="UHM53" s="556"/>
      <c r="UHN53" s="556"/>
      <c r="UHO53" s="556"/>
      <c r="UHP53" s="556"/>
      <c r="UHQ53" s="556"/>
      <c r="UHR53" s="556"/>
      <c r="UHS53" s="556"/>
      <c r="UHT53" s="556"/>
      <c r="UHU53" s="556"/>
      <c r="UHV53" s="556"/>
      <c r="UHW53" s="556"/>
      <c r="UHX53" s="556"/>
      <c r="UHY53" s="556"/>
      <c r="UHZ53" s="556"/>
      <c r="UIA53" s="556"/>
      <c r="UIB53" s="556"/>
      <c r="UIC53" s="556"/>
      <c r="UID53" s="556"/>
      <c r="UIE53" s="556"/>
      <c r="UIF53" s="556"/>
      <c r="UIG53" s="556"/>
      <c r="UIH53" s="556"/>
      <c r="UII53" s="556"/>
      <c r="UIJ53" s="556"/>
      <c r="UIK53" s="556"/>
      <c r="UIL53" s="556"/>
      <c r="UIM53" s="556"/>
      <c r="UIN53" s="556"/>
      <c r="UIO53" s="556"/>
      <c r="UIP53" s="556"/>
      <c r="UIQ53" s="556"/>
      <c r="UIR53" s="556"/>
      <c r="UIS53" s="556"/>
      <c r="UIT53" s="556"/>
      <c r="UIU53" s="556"/>
      <c r="UIV53" s="556"/>
      <c r="UIW53" s="556"/>
      <c r="UIX53" s="556"/>
      <c r="UIY53" s="556"/>
      <c r="UIZ53" s="556"/>
      <c r="UJA53" s="556"/>
      <c r="UJB53" s="556"/>
      <c r="UJC53" s="556"/>
      <c r="UJD53" s="556"/>
      <c r="UJE53" s="556"/>
      <c r="UJF53" s="556"/>
      <c r="UJG53" s="556"/>
      <c r="UJH53" s="556"/>
      <c r="UJI53" s="556"/>
      <c r="UJJ53" s="556"/>
      <c r="UJK53" s="556"/>
      <c r="UJL53" s="556"/>
      <c r="UJM53" s="556"/>
      <c r="UJN53" s="556"/>
      <c r="UJO53" s="556"/>
      <c r="UJP53" s="556"/>
      <c r="UJQ53" s="556"/>
      <c r="UJR53" s="556"/>
      <c r="UJS53" s="556"/>
      <c r="UJT53" s="556"/>
      <c r="UJU53" s="556"/>
      <c r="UJV53" s="556"/>
      <c r="UJW53" s="556"/>
      <c r="UJX53" s="556"/>
      <c r="UJY53" s="556"/>
      <c r="UJZ53" s="556"/>
      <c r="UKA53" s="556"/>
      <c r="UKB53" s="556"/>
      <c r="UKC53" s="556"/>
      <c r="UKD53" s="556"/>
      <c r="UKE53" s="556"/>
      <c r="UKF53" s="556"/>
      <c r="UKG53" s="556"/>
      <c r="UKH53" s="556"/>
      <c r="UKI53" s="556"/>
      <c r="UKJ53" s="556"/>
      <c r="UKK53" s="556"/>
      <c r="UKL53" s="556"/>
      <c r="UKM53" s="556"/>
      <c r="UKN53" s="556"/>
      <c r="UKO53" s="556"/>
      <c r="UKP53" s="556"/>
      <c r="UKQ53" s="556"/>
      <c r="UKR53" s="556"/>
      <c r="UKS53" s="556"/>
      <c r="UKT53" s="556"/>
      <c r="UKU53" s="556"/>
      <c r="UKV53" s="556"/>
      <c r="UKW53" s="556"/>
      <c r="UKX53" s="556"/>
      <c r="UKY53" s="556"/>
      <c r="UKZ53" s="556"/>
      <c r="ULA53" s="556"/>
      <c r="ULB53" s="556"/>
      <c r="ULC53" s="556"/>
      <c r="ULD53" s="556"/>
      <c r="ULE53" s="556"/>
      <c r="ULF53" s="556"/>
      <c r="ULG53" s="556"/>
      <c r="ULH53" s="556"/>
      <c r="ULI53" s="556"/>
      <c r="ULJ53" s="556"/>
      <c r="ULK53" s="556"/>
      <c r="ULL53" s="556"/>
      <c r="ULM53" s="556"/>
      <c r="ULN53" s="556"/>
      <c r="ULO53" s="556"/>
      <c r="ULP53" s="556"/>
      <c r="ULQ53" s="556"/>
      <c r="ULR53" s="556"/>
      <c r="ULS53" s="556"/>
      <c r="ULT53" s="556"/>
      <c r="ULU53" s="556"/>
      <c r="ULV53" s="556"/>
      <c r="ULW53" s="556"/>
      <c r="ULX53" s="556"/>
      <c r="ULY53" s="556"/>
      <c r="ULZ53" s="556"/>
      <c r="UMA53" s="556"/>
      <c r="UMB53" s="556"/>
      <c r="UMC53" s="556"/>
      <c r="UMD53" s="556"/>
      <c r="UME53" s="556"/>
      <c r="UMF53" s="556"/>
      <c r="UMG53" s="556"/>
      <c r="UMH53" s="556"/>
      <c r="UMI53" s="556"/>
      <c r="UMJ53" s="556"/>
      <c r="UMK53" s="556"/>
      <c r="UML53" s="556"/>
      <c r="UMM53" s="556"/>
      <c r="UMN53" s="556"/>
      <c r="UMO53" s="556"/>
      <c r="UMP53" s="556"/>
      <c r="UMQ53" s="556"/>
      <c r="UMR53" s="556"/>
      <c r="UMS53" s="556"/>
      <c r="UMT53" s="556"/>
      <c r="UMU53" s="556"/>
      <c r="UMV53" s="556"/>
      <c r="UMW53" s="556"/>
      <c r="UMX53" s="556"/>
      <c r="UMY53" s="556"/>
      <c r="UMZ53" s="556"/>
      <c r="UNA53" s="556"/>
      <c r="UNB53" s="556"/>
      <c r="UNC53" s="556"/>
      <c r="UND53" s="556"/>
      <c r="UNE53" s="556"/>
      <c r="UNF53" s="556"/>
      <c r="UNG53" s="556"/>
      <c r="UNH53" s="556"/>
      <c r="UNI53" s="556"/>
      <c r="UNJ53" s="556"/>
      <c r="UNK53" s="556"/>
      <c r="UNL53" s="556"/>
      <c r="UNM53" s="556"/>
      <c r="UNN53" s="556"/>
      <c r="UNO53" s="556"/>
      <c r="UNP53" s="556"/>
      <c r="UNQ53" s="556"/>
      <c r="UNR53" s="556"/>
      <c r="UNS53" s="556"/>
      <c r="UNT53" s="556"/>
      <c r="UNU53" s="556"/>
      <c r="UNV53" s="556"/>
      <c r="UNW53" s="556"/>
      <c r="UNX53" s="556"/>
      <c r="UNY53" s="556"/>
      <c r="UNZ53" s="556"/>
      <c r="UOA53" s="556"/>
      <c r="UOB53" s="556"/>
      <c r="UOC53" s="556"/>
      <c r="UOD53" s="556"/>
      <c r="UOE53" s="556"/>
      <c r="UOF53" s="556"/>
      <c r="UOG53" s="556"/>
      <c r="UOH53" s="556"/>
      <c r="UOI53" s="556"/>
      <c r="UOJ53" s="556"/>
      <c r="UOK53" s="556"/>
      <c r="UOL53" s="556"/>
      <c r="UOM53" s="556"/>
      <c r="UON53" s="556"/>
      <c r="UOO53" s="556"/>
      <c r="UOP53" s="556"/>
      <c r="UOQ53" s="556"/>
      <c r="UOR53" s="556"/>
      <c r="UOS53" s="556"/>
      <c r="UOT53" s="556"/>
      <c r="UOU53" s="556"/>
      <c r="UOV53" s="556"/>
      <c r="UOW53" s="556"/>
      <c r="UOX53" s="556"/>
      <c r="UOY53" s="556"/>
      <c r="UOZ53" s="556"/>
      <c r="UPA53" s="556"/>
      <c r="UPB53" s="556"/>
      <c r="UPC53" s="556"/>
      <c r="UPD53" s="556"/>
      <c r="UPE53" s="556"/>
      <c r="UPF53" s="556"/>
      <c r="UPG53" s="556"/>
      <c r="UPH53" s="556"/>
      <c r="UPI53" s="556"/>
      <c r="UPJ53" s="556"/>
      <c r="UPK53" s="556"/>
      <c r="UPL53" s="556"/>
      <c r="UPM53" s="556"/>
      <c r="UPN53" s="556"/>
      <c r="UPO53" s="556"/>
      <c r="UPP53" s="556"/>
      <c r="UPQ53" s="556"/>
      <c r="UPR53" s="556"/>
      <c r="UPS53" s="556"/>
      <c r="UPT53" s="556"/>
      <c r="UPU53" s="556"/>
      <c r="UPV53" s="556"/>
      <c r="UPW53" s="556"/>
      <c r="UPX53" s="556"/>
      <c r="UPY53" s="556"/>
      <c r="UPZ53" s="556"/>
      <c r="UQA53" s="556"/>
      <c r="UQB53" s="556"/>
      <c r="UQC53" s="556"/>
      <c r="UQD53" s="556"/>
      <c r="UQE53" s="556"/>
      <c r="UQF53" s="556"/>
      <c r="UQG53" s="556"/>
      <c r="UQH53" s="556"/>
      <c r="UQI53" s="556"/>
      <c r="UQJ53" s="556"/>
      <c r="UQK53" s="556"/>
      <c r="UQL53" s="556"/>
      <c r="UQM53" s="556"/>
      <c r="UQN53" s="556"/>
      <c r="UQO53" s="556"/>
      <c r="UQP53" s="556"/>
      <c r="UQQ53" s="556"/>
      <c r="UQR53" s="556"/>
      <c r="UQS53" s="556"/>
      <c r="UQT53" s="556"/>
      <c r="UQU53" s="556"/>
      <c r="UQV53" s="556"/>
      <c r="UQW53" s="556"/>
      <c r="UQX53" s="556"/>
      <c r="UQY53" s="556"/>
      <c r="UQZ53" s="556"/>
      <c r="URA53" s="556"/>
      <c r="URB53" s="556"/>
      <c r="URC53" s="556"/>
      <c r="URD53" s="556"/>
      <c r="URE53" s="556"/>
      <c r="URF53" s="556"/>
      <c r="URG53" s="556"/>
      <c r="URH53" s="556"/>
      <c r="URI53" s="556"/>
      <c r="URJ53" s="556"/>
      <c r="URK53" s="556"/>
      <c r="URL53" s="556"/>
      <c r="URM53" s="556"/>
      <c r="URN53" s="556"/>
      <c r="URO53" s="556"/>
      <c r="URP53" s="556"/>
      <c r="URQ53" s="556"/>
      <c r="URR53" s="556"/>
      <c r="URS53" s="556"/>
      <c r="URT53" s="556"/>
      <c r="URU53" s="556"/>
      <c r="URV53" s="556"/>
      <c r="URW53" s="556"/>
      <c r="URX53" s="556"/>
      <c r="URY53" s="556"/>
      <c r="URZ53" s="556"/>
      <c r="USA53" s="556"/>
      <c r="USB53" s="556"/>
      <c r="USC53" s="556"/>
      <c r="USD53" s="556"/>
      <c r="USE53" s="556"/>
      <c r="USF53" s="556"/>
      <c r="USG53" s="556"/>
      <c r="USH53" s="556"/>
      <c r="USI53" s="556"/>
      <c r="USJ53" s="556"/>
      <c r="USK53" s="556"/>
      <c r="USL53" s="556"/>
      <c r="USM53" s="556"/>
      <c r="USN53" s="556"/>
      <c r="USO53" s="556"/>
      <c r="USP53" s="556"/>
      <c r="USQ53" s="556"/>
      <c r="USR53" s="556"/>
      <c r="USS53" s="556"/>
      <c r="UST53" s="556"/>
      <c r="USU53" s="556"/>
      <c r="USV53" s="556"/>
      <c r="USW53" s="556"/>
      <c r="USX53" s="556"/>
      <c r="USY53" s="556"/>
      <c r="USZ53" s="556"/>
      <c r="UTA53" s="556"/>
      <c r="UTB53" s="556"/>
      <c r="UTC53" s="556"/>
      <c r="UTD53" s="556"/>
      <c r="UTE53" s="556"/>
      <c r="UTF53" s="556"/>
      <c r="UTG53" s="556"/>
      <c r="UTH53" s="556"/>
      <c r="UTI53" s="556"/>
      <c r="UTJ53" s="556"/>
      <c r="UTK53" s="556"/>
      <c r="UTL53" s="556"/>
      <c r="UTM53" s="556"/>
      <c r="UTN53" s="556"/>
      <c r="UTO53" s="556"/>
      <c r="UTP53" s="556"/>
      <c r="UTQ53" s="556"/>
      <c r="UTR53" s="556"/>
      <c r="UTS53" s="556"/>
      <c r="UTT53" s="556"/>
      <c r="UTU53" s="556"/>
      <c r="UTV53" s="556"/>
      <c r="UTW53" s="556"/>
      <c r="UTX53" s="556"/>
      <c r="UTY53" s="556"/>
      <c r="UTZ53" s="556"/>
      <c r="UUA53" s="556"/>
      <c r="UUB53" s="556"/>
      <c r="UUC53" s="556"/>
      <c r="UUD53" s="556"/>
      <c r="UUE53" s="556"/>
      <c r="UUF53" s="556"/>
      <c r="UUG53" s="556"/>
      <c r="UUH53" s="556"/>
      <c r="UUI53" s="556"/>
      <c r="UUJ53" s="556"/>
      <c r="UUK53" s="556"/>
      <c r="UUL53" s="556"/>
      <c r="UUM53" s="556"/>
      <c r="UUN53" s="556"/>
      <c r="UUO53" s="556"/>
      <c r="UUP53" s="556"/>
      <c r="UUQ53" s="556"/>
      <c r="UUR53" s="556"/>
      <c r="UUS53" s="556"/>
      <c r="UUT53" s="556"/>
      <c r="UUU53" s="556"/>
      <c r="UUV53" s="556"/>
      <c r="UUW53" s="556"/>
      <c r="UUX53" s="556"/>
      <c r="UUY53" s="556"/>
      <c r="UUZ53" s="556"/>
      <c r="UVA53" s="556"/>
      <c r="UVB53" s="556"/>
      <c r="UVC53" s="556"/>
      <c r="UVD53" s="556"/>
      <c r="UVE53" s="556"/>
      <c r="UVF53" s="556"/>
      <c r="UVG53" s="556"/>
      <c r="UVH53" s="556"/>
      <c r="UVI53" s="556"/>
      <c r="UVJ53" s="556"/>
      <c r="UVK53" s="556"/>
      <c r="UVL53" s="556"/>
      <c r="UVM53" s="556"/>
      <c r="UVN53" s="556"/>
      <c r="UVO53" s="556"/>
      <c r="UVP53" s="556"/>
      <c r="UVQ53" s="556"/>
      <c r="UVR53" s="556"/>
      <c r="UVS53" s="556"/>
      <c r="UVT53" s="556"/>
      <c r="UVU53" s="556"/>
      <c r="UVV53" s="556"/>
      <c r="UVW53" s="556"/>
      <c r="UVX53" s="556"/>
      <c r="UVY53" s="556"/>
      <c r="UVZ53" s="556"/>
      <c r="UWA53" s="556"/>
      <c r="UWB53" s="556"/>
      <c r="UWC53" s="556"/>
      <c r="UWD53" s="556"/>
      <c r="UWE53" s="556"/>
      <c r="UWF53" s="556"/>
      <c r="UWG53" s="556"/>
      <c r="UWH53" s="556"/>
      <c r="UWI53" s="556"/>
      <c r="UWJ53" s="556"/>
      <c r="UWK53" s="556"/>
      <c r="UWL53" s="556"/>
      <c r="UWM53" s="556"/>
      <c r="UWN53" s="556"/>
      <c r="UWO53" s="556"/>
      <c r="UWP53" s="556"/>
      <c r="UWQ53" s="556"/>
      <c r="UWR53" s="556"/>
      <c r="UWS53" s="556"/>
      <c r="UWT53" s="556"/>
      <c r="UWU53" s="556"/>
      <c r="UWV53" s="556"/>
      <c r="UWW53" s="556"/>
      <c r="UWX53" s="556"/>
      <c r="UWY53" s="556"/>
      <c r="UWZ53" s="556"/>
      <c r="UXA53" s="556"/>
      <c r="UXB53" s="556"/>
      <c r="UXC53" s="556"/>
      <c r="UXD53" s="556"/>
      <c r="UXE53" s="556"/>
      <c r="UXF53" s="556"/>
      <c r="UXG53" s="556"/>
      <c r="UXH53" s="556"/>
      <c r="UXI53" s="556"/>
      <c r="UXJ53" s="556"/>
      <c r="UXK53" s="556"/>
      <c r="UXL53" s="556"/>
      <c r="UXM53" s="556"/>
      <c r="UXN53" s="556"/>
      <c r="UXO53" s="556"/>
      <c r="UXP53" s="556"/>
      <c r="UXQ53" s="556"/>
      <c r="UXR53" s="556"/>
      <c r="UXS53" s="556"/>
      <c r="UXT53" s="556"/>
      <c r="UXU53" s="556"/>
      <c r="UXV53" s="556"/>
      <c r="UXW53" s="556"/>
      <c r="UXX53" s="556"/>
      <c r="UXY53" s="556"/>
      <c r="UXZ53" s="556"/>
      <c r="UYA53" s="556"/>
      <c r="UYB53" s="556"/>
      <c r="UYC53" s="556"/>
      <c r="UYD53" s="556"/>
      <c r="UYE53" s="556"/>
      <c r="UYF53" s="556"/>
      <c r="UYG53" s="556"/>
      <c r="UYH53" s="556"/>
      <c r="UYI53" s="556"/>
      <c r="UYJ53" s="556"/>
      <c r="UYK53" s="556"/>
      <c r="UYL53" s="556"/>
      <c r="UYM53" s="556"/>
      <c r="UYN53" s="556"/>
      <c r="UYO53" s="556"/>
      <c r="UYP53" s="556"/>
      <c r="UYQ53" s="556"/>
      <c r="UYR53" s="556"/>
      <c r="UYS53" s="556"/>
      <c r="UYT53" s="556"/>
      <c r="UYU53" s="556"/>
      <c r="UYV53" s="556"/>
      <c r="UYW53" s="556"/>
      <c r="UYX53" s="556"/>
      <c r="UYY53" s="556"/>
      <c r="UYZ53" s="556"/>
      <c r="UZA53" s="556"/>
      <c r="UZB53" s="556"/>
      <c r="UZC53" s="556"/>
      <c r="UZD53" s="556"/>
      <c r="UZE53" s="556"/>
      <c r="UZF53" s="556"/>
      <c r="UZG53" s="556"/>
      <c r="UZH53" s="556"/>
      <c r="UZI53" s="556"/>
      <c r="UZJ53" s="556"/>
      <c r="UZK53" s="556"/>
      <c r="UZL53" s="556"/>
      <c r="UZM53" s="556"/>
      <c r="UZN53" s="556"/>
      <c r="UZO53" s="556"/>
      <c r="UZP53" s="556"/>
      <c r="UZQ53" s="556"/>
      <c r="UZR53" s="556"/>
      <c r="UZS53" s="556"/>
      <c r="UZT53" s="556"/>
      <c r="UZU53" s="556"/>
      <c r="UZV53" s="556"/>
      <c r="UZW53" s="556"/>
      <c r="UZX53" s="556"/>
      <c r="UZY53" s="556"/>
      <c r="UZZ53" s="556"/>
      <c r="VAA53" s="556"/>
      <c r="VAB53" s="556"/>
      <c r="VAC53" s="556"/>
      <c r="VAD53" s="556"/>
      <c r="VAE53" s="556"/>
      <c r="VAF53" s="556"/>
      <c r="VAG53" s="556"/>
      <c r="VAH53" s="556"/>
      <c r="VAI53" s="556"/>
      <c r="VAJ53" s="556"/>
      <c r="VAK53" s="556"/>
      <c r="VAL53" s="556"/>
      <c r="VAM53" s="556"/>
      <c r="VAN53" s="556"/>
      <c r="VAO53" s="556"/>
      <c r="VAP53" s="556"/>
      <c r="VAQ53" s="556"/>
      <c r="VAR53" s="556"/>
      <c r="VAS53" s="556"/>
      <c r="VAT53" s="556"/>
      <c r="VAU53" s="556"/>
      <c r="VAV53" s="556"/>
      <c r="VAW53" s="556"/>
      <c r="VAX53" s="556"/>
      <c r="VAY53" s="556"/>
      <c r="VAZ53" s="556"/>
      <c r="VBA53" s="556"/>
      <c r="VBB53" s="556"/>
      <c r="VBC53" s="556"/>
      <c r="VBD53" s="556"/>
      <c r="VBE53" s="556"/>
      <c r="VBF53" s="556"/>
      <c r="VBG53" s="556"/>
      <c r="VBH53" s="556"/>
      <c r="VBI53" s="556"/>
      <c r="VBJ53" s="556"/>
      <c r="VBK53" s="556"/>
      <c r="VBL53" s="556"/>
      <c r="VBM53" s="556"/>
      <c r="VBN53" s="556"/>
      <c r="VBO53" s="556"/>
      <c r="VBP53" s="556"/>
      <c r="VBQ53" s="556"/>
      <c r="VBR53" s="556"/>
      <c r="VBS53" s="556"/>
      <c r="VBT53" s="556"/>
      <c r="VBU53" s="556"/>
      <c r="VBV53" s="556"/>
      <c r="VBW53" s="556"/>
      <c r="VBX53" s="556"/>
      <c r="VBY53" s="556"/>
      <c r="VBZ53" s="556"/>
      <c r="VCA53" s="556"/>
      <c r="VCB53" s="556"/>
      <c r="VCC53" s="556"/>
      <c r="VCD53" s="556"/>
      <c r="VCE53" s="556"/>
      <c r="VCF53" s="556"/>
      <c r="VCG53" s="556"/>
      <c r="VCH53" s="556"/>
      <c r="VCI53" s="556"/>
      <c r="VCJ53" s="556"/>
      <c r="VCK53" s="556"/>
      <c r="VCL53" s="556"/>
      <c r="VCM53" s="556"/>
      <c r="VCN53" s="556"/>
      <c r="VCO53" s="556"/>
      <c r="VCP53" s="556"/>
      <c r="VCQ53" s="556"/>
      <c r="VCR53" s="556"/>
      <c r="VCS53" s="556"/>
      <c r="VCT53" s="556"/>
      <c r="VCU53" s="556"/>
      <c r="VCV53" s="556"/>
      <c r="VCW53" s="556"/>
      <c r="VCX53" s="556"/>
      <c r="VCY53" s="556"/>
      <c r="VCZ53" s="556"/>
      <c r="VDA53" s="556"/>
      <c r="VDB53" s="556"/>
      <c r="VDC53" s="556"/>
      <c r="VDD53" s="556"/>
      <c r="VDE53" s="556"/>
      <c r="VDF53" s="556"/>
      <c r="VDG53" s="556"/>
      <c r="VDH53" s="556"/>
      <c r="VDI53" s="556"/>
      <c r="VDJ53" s="556"/>
      <c r="VDK53" s="556"/>
      <c r="VDL53" s="556"/>
      <c r="VDM53" s="556"/>
      <c r="VDN53" s="556"/>
      <c r="VDO53" s="556"/>
      <c r="VDP53" s="556"/>
      <c r="VDQ53" s="556"/>
      <c r="VDR53" s="556"/>
      <c r="VDS53" s="556"/>
      <c r="VDT53" s="556"/>
      <c r="VDU53" s="556"/>
      <c r="VDV53" s="556"/>
      <c r="VDW53" s="556"/>
      <c r="VDX53" s="556"/>
      <c r="VDY53" s="556"/>
      <c r="VDZ53" s="556"/>
      <c r="VEA53" s="556"/>
      <c r="VEB53" s="556"/>
      <c r="VEC53" s="556"/>
      <c r="VED53" s="556"/>
      <c r="VEE53" s="556"/>
      <c r="VEF53" s="556"/>
      <c r="VEG53" s="556"/>
      <c r="VEH53" s="556"/>
      <c r="VEI53" s="556"/>
      <c r="VEJ53" s="556"/>
      <c r="VEK53" s="556"/>
      <c r="VEL53" s="556"/>
      <c r="VEM53" s="556"/>
      <c r="VEN53" s="556"/>
      <c r="VEO53" s="556"/>
      <c r="VEP53" s="556"/>
      <c r="VEQ53" s="556"/>
      <c r="VER53" s="556"/>
      <c r="VES53" s="556"/>
      <c r="VET53" s="556"/>
      <c r="VEU53" s="556"/>
      <c r="VEV53" s="556"/>
      <c r="VEW53" s="556"/>
      <c r="VEX53" s="556"/>
      <c r="VEY53" s="556"/>
      <c r="VEZ53" s="556"/>
      <c r="VFA53" s="556"/>
      <c r="VFB53" s="556"/>
      <c r="VFC53" s="556"/>
      <c r="VFD53" s="556"/>
      <c r="VFE53" s="556"/>
      <c r="VFF53" s="556"/>
      <c r="VFG53" s="556"/>
      <c r="VFH53" s="556"/>
      <c r="VFI53" s="556"/>
      <c r="VFJ53" s="556"/>
      <c r="VFK53" s="556"/>
      <c r="VFL53" s="556"/>
      <c r="VFM53" s="556"/>
      <c r="VFN53" s="556"/>
      <c r="VFO53" s="556"/>
      <c r="VFP53" s="556"/>
      <c r="VFQ53" s="556"/>
      <c r="VFR53" s="556"/>
      <c r="VFS53" s="556"/>
      <c r="VFT53" s="556"/>
      <c r="VFU53" s="556"/>
      <c r="VFV53" s="556"/>
      <c r="VFW53" s="556"/>
      <c r="VFX53" s="556"/>
      <c r="VFY53" s="556"/>
      <c r="VFZ53" s="556"/>
      <c r="VGA53" s="556"/>
      <c r="VGB53" s="556"/>
      <c r="VGC53" s="556"/>
      <c r="VGD53" s="556"/>
      <c r="VGE53" s="556"/>
      <c r="VGF53" s="556"/>
      <c r="VGG53" s="556"/>
      <c r="VGH53" s="556"/>
      <c r="VGI53" s="556"/>
      <c r="VGJ53" s="556"/>
      <c r="VGK53" s="556"/>
      <c r="VGL53" s="556"/>
      <c r="VGM53" s="556"/>
      <c r="VGN53" s="556"/>
      <c r="VGO53" s="556"/>
      <c r="VGP53" s="556"/>
      <c r="VGQ53" s="556"/>
      <c r="VGR53" s="556"/>
      <c r="VGS53" s="556"/>
      <c r="VGT53" s="556"/>
      <c r="VGU53" s="556"/>
      <c r="VGV53" s="556"/>
      <c r="VGW53" s="556"/>
      <c r="VGX53" s="556"/>
      <c r="VGY53" s="556"/>
      <c r="VGZ53" s="556"/>
      <c r="VHA53" s="556"/>
      <c r="VHB53" s="556"/>
      <c r="VHC53" s="556"/>
      <c r="VHD53" s="556"/>
      <c r="VHE53" s="556"/>
      <c r="VHF53" s="556"/>
      <c r="VHG53" s="556"/>
      <c r="VHH53" s="556"/>
      <c r="VHI53" s="556"/>
      <c r="VHJ53" s="556"/>
      <c r="VHK53" s="556"/>
      <c r="VHL53" s="556"/>
      <c r="VHM53" s="556"/>
      <c r="VHN53" s="556"/>
      <c r="VHO53" s="556"/>
      <c r="VHP53" s="556"/>
      <c r="VHQ53" s="556"/>
      <c r="VHR53" s="556"/>
      <c r="VHS53" s="556"/>
      <c r="VHT53" s="556"/>
      <c r="VHU53" s="556"/>
      <c r="VHV53" s="556"/>
      <c r="VHW53" s="556"/>
      <c r="VHX53" s="556"/>
      <c r="VHY53" s="556"/>
      <c r="VHZ53" s="556"/>
      <c r="VIA53" s="556"/>
      <c r="VIB53" s="556"/>
      <c r="VIC53" s="556"/>
      <c r="VID53" s="556"/>
      <c r="VIE53" s="556"/>
      <c r="VIF53" s="556"/>
      <c r="VIG53" s="556"/>
      <c r="VIH53" s="556"/>
      <c r="VII53" s="556"/>
      <c r="VIJ53" s="556"/>
      <c r="VIK53" s="556"/>
      <c r="VIL53" s="556"/>
      <c r="VIM53" s="556"/>
      <c r="VIN53" s="556"/>
      <c r="VIO53" s="556"/>
      <c r="VIP53" s="556"/>
      <c r="VIQ53" s="556"/>
      <c r="VIR53" s="556"/>
      <c r="VIS53" s="556"/>
      <c r="VIT53" s="556"/>
      <c r="VIU53" s="556"/>
      <c r="VIV53" s="556"/>
      <c r="VIW53" s="556"/>
      <c r="VIX53" s="556"/>
      <c r="VIY53" s="556"/>
      <c r="VIZ53" s="556"/>
      <c r="VJA53" s="556"/>
      <c r="VJB53" s="556"/>
      <c r="VJC53" s="556"/>
      <c r="VJD53" s="556"/>
      <c r="VJE53" s="556"/>
      <c r="VJF53" s="556"/>
      <c r="VJG53" s="556"/>
      <c r="VJH53" s="556"/>
      <c r="VJI53" s="556"/>
      <c r="VJJ53" s="556"/>
      <c r="VJK53" s="556"/>
      <c r="VJL53" s="556"/>
      <c r="VJM53" s="556"/>
      <c r="VJN53" s="556"/>
      <c r="VJO53" s="556"/>
      <c r="VJP53" s="556"/>
      <c r="VJQ53" s="556"/>
      <c r="VJR53" s="556"/>
      <c r="VJS53" s="556"/>
      <c r="VJT53" s="556"/>
      <c r="VJU53" s="556"/>
      <c r="VJV53" s="556"/>
      <c r="VJW53" s="556"/>
      <c r="VJX53" s="556"/>
      <c r="VJY53" s="556"/>
      <c r="VJZ53" s="556"/>
      <c r="VKA53" s="556"/>
      <c r="VKB53" s="556"/>
      <c r="VKC53" s="556"/>
      <c r="VKD53" s="556"/>
      <c r="VKE53" s="556"/>
      <c r="VKF53" s="556"/>
      <c r="VKG53" s="556"/>
      <c r="VKH53" s="556"/>
      <c r="VKI53" s="556"/>
      <c r="VKJ53" s="556"/>
      <c r="VKK53" s="556"/>
      <c r="VKL53" s="556"/>
      <c r="VKM53" s="556"/>
      <c r="VKN53" s="556"/>
      <c r="VKO53" s="556"/>
      <c r="VKP53" s="556"/>
      <c r="VKQ53" s="556"/>
      <c r="VKR53" s="556"/>
      <c r="VKS53" s="556"/>
      <c r="VKT53" s="556"/>
      <c r="VKU53" s="556"/>
      <c r="VKV53" s="556"/>
      <c r="VKW53" s="556"/>
      <c r="VKX53" s="556"/>
      <c r="VKY53" s="556"/>
      <c r="VKZ53" s="556"/>
      <c r="VLA53" s="556"/>
      <c r="VLB53" s="556"/>
      <c r="VLC53" s="556"/>
      <c r="VLD53" s="556"/>
      <c r="VLE53" s="556"/>
      <c r="VLF53" s="556"/>
      <c r="VLG53" s="556"/>
      <c r="VLH53" s="556"/>
      <c r="VLI53" s="556"/>
      <c r="VLJ53" s="556"/>
      <c r="VLK53" s="556"/>
      <c r="VLL53" s="556"/>
      <c r="VLM53" s="556"/>
      <c r="VLN53" s="556"/>
      <c r="VLO53" s="556"/>
      <c r="VLP53" s="556"/>
      <c r="VLQ53" s="556"/>
      <c r="VLR53" s="556"/>
      <c r="VLS53" s="556"/>
      <c r="VLT53" s="556"/>
      <c r="VLU53" s="556"/>
      <c r="VLV53" s="556"/>
      <c r="VLW53" s="556"/>
      <c r="VLX53" s="556"/>
      <c r="VLY53" s="556"/>
      <c r="VLZ53" s="556"/>
      <c r="VMA53" s="556"/>
      <c r="VMB53" s="556"/>
      <c r="VMC53" s="556"/>
      <c r="VMD53" s="556"/>
      <c r="VME53" s="556"/>
      <c r="VMF53" s="556"/>
      <c r="VMG53" s="556"/>
      <c r="VMH53" s="556"/>
      <c r="VMI53" s="556"/>
      <c r="VMJ53" s="556"/>
      <c r="VMK53" s="556"/>
      <c r="VML53" s="556"/>
      <c r="VMM53" s="556"/>
      <c r="VMN53" s="556"/>
      <c r="VMO53" s="556"/>
      <c r="VMP53" s="556"/>
      <c r="VMQ53" s="556"/>
      <c r="VMR53" s="556"/>
      <c r="VMS53" s="556"/>
      <c r="VMT53" s="556"/>
      <c r="VMU53" s="556"/>
      <c r="VMV53" s="556"/>
      <c r="VMW53" s="556"/>
      <c r="VMX53" s="556"/>
      <c r="VMY53" s="556"/>
      <c r="VMZ53" s="556"/>
      <c r="VNA53" s="556"/>
      <c r="VNB53" s="556"/>
      <c r="VNC53" s="556"/>
      <c r="VND53" s="556"/>
      <c r="VNE53" s="556"/>
      <c r="VNF53" s="556"/>
      <c r="VNG53" s="556"/>
      <c r="VNH53" s="556"/>
      <c r="VNI53" s="556"/>
      <c r="VNJ53" s="556"/>
      <c r="VNK53" s="556"/>
      <c r="VNL53" s="556"/>
      <c r="VNM53" s="556"/>
      <c r="VNN53" s="556"/>
      <c r="VNO53" s="556"/>
      <c r="VNP53" s="556"/>
      <c r="VNQ53" s="556"/>
      <c r="VNR53" s="556"/>
      <c r="VNS53" s="556"/>
      <c r="VNT53" s="556"/>
      <c r="VNU53" s="556"/>
      <c r="VNV53" s="556"/>
      <c r="VNW53" s="556"/>
      <c r="VNX53" s="556"/>
      <c r="VNY53" s="556"/>
      <c r="VNZ53" s="556"/>
      <c r="VOA53" s="556"/>
      <c r="VOB53" s="556"/>
      <c r="VOC53" s="556"/>
      <c r="VOD53" s="556"/>
      <c r="VOE53" s="556"/>
      <c r="VOF53" s="556"/>
      <c r="VOG53" s="556"/>
      <c r="VOH53" s="556"/>
      <c r="VOI53" s="556"/>
      <c r="VOJ53" s="556"/>
      <c r="VOK53" s="556"/>
      <c r="VOL53" s="556"/>
      <c r="VOM53" s="556"/>
      <c r="VON53" s="556"/>
      <c r="VOO53" s="556"/>
      <c r="VOP53" s="556"/>
      <c r="VOQ53" s="556"/>
      <c r="VOR53" s="556"/>
      <c r="VOS53" s="556"/>
      <c r="VOT53" s="556"/>
      <c r="VOU53" s="556"/>
      <c r="VOV53" s="556"/>
      <c r="VOW53" s="556"/>
      <c r="VOX53" s="556"/>
      <c r="VOY53" s="556"/>
      <c r="VOZ53" s="556"/>
      <c r="VPA53" s="556"/>
      <c r="VPB53" s="556"/>
      <c r="VPC53" s="556"/>
      <c r="VPD53" s="556"/>
      <c r="VPE53" s="556"/>
      <c r="VPF53" s="556"/>
      <c r="VPG53" s="556"/>
      <c r="VPH53" s="556"/>
      <c r="VPI53" s="556"/>
      <c r="VPJ53" s="556"/>
      <c r="VPK53" s="556"/>
      <c r="VPL53" s="556"/>
      <c r="VPM53" s="556"/>
      <c r="VPN53" s="556"/>
      <c r="VPO53" s="556"/>
      <c r="VPP53" s="556"/>
      <c r="VPQ53" s="556"/>
      <c r="VPR53" s="556"/>
      <c r="VPS53" s="556"/>
      <c r="VPT53" s="556"/>
      <c r="VPU53" s="556"/>
      <c r="VPV53" s="556"/>
      <c r="VPW53" s="556"/>
      <c r="VPX53" s="556"/>
      <c r="VPY53" s="556"/>
      <c r="VPZ53" s="556"/>
      <c r="VQA53" s="556"/>
      <c r="VQB53" s="556"/>
      <c r="VQC53" s="556"/>
      <c r="VQD53" s="556"/>
      <c r="VQE53" s="556"/>
      <c r="VQF53" s="556"/>
      <c r="VQG53" s="556"/>
      <c r="VQH53" s="556"/>
      <c r="VQI53" s="556"/>
      <c r="VQJ53" s="556"/>
      <c r="VQK53" s="556"/>
      <c r="VQL53" s="556"/>
      <c r="VQM53" s="556"/>
      <c r="VQN53" s="556"/>
      <c r="VQO53" s="556"/>
      <c r="VQP53" s="556"/>
      <c r="VQQ53" s="556"/>
      <c r="VQR53" s="556"/>
      <c r="VQS53" s="556"/>
      <c r="VQT53" s="556"/>
      <c r="VQU53" s="556"/>
      <c r="VQV53" s="556"/>
      <c r="VQW53" s="556"/>
      <c r="VQX53" s="556"/>
      <c r="VQY53" s="556"/>
      <c r="VQZ53" s="556"/>
      <c r="VRA53" s="556"/>
      <c r="VRB53" s="556"/>
      <c r="VRC53" s="556"/>
      <c r="VRD53" s="556"/>
      <c r="VRE53" s="556"/>
      <c r="VRF53" s="556"/>
      <c r="VRG53" s="556"/>
      <c r="VRH53" s="556"/>
      <c r="VRI53" s="556"/>
      <c r="VRJ53" s="556"/>
      <c r="VRK53" s="556"/>
      <c r="VRL53" s="556"/>
      <c r="VRM53" s="556"/>
      <c r="VRN53" s="556"/>
      <c r="VRO53" s="556"/>
      <c r="VRP53" s="556"/>
      <c r="VRQ53" s="556"/>
      <c r="VRR53" s="556"/>
      <c r="VRS53" s="556"/>
      <c r="VRT53" s="556"/>
      <c r="VRU53" s="556"/>
      <c r="VRV53" s="556"/>
      <c r="VRW53" s="556"/>
      <c r="VRX53" s="556"/>
      <c r="VRY53" s="556"/>
      <c r="VRZ53" s="556"/>
      <c r="VSA53" s="556"/>
      <c r="VSB53" s="556"/>
      <c r="VSC53" s="556"/>
      <c r="VSD53" s="556"/>
      <c r="VSE53" s="556"/>
      <c r="VSF53" s="556"/>
      <c r="VSG53" s="556"/>
      <c r="VSH53" s="556"/>
      <c r="VSI53" s="556"/>
      <c r="VSJ53" s="556"/>
      <c r="VSK53" s="556"/>
      <c r="VSL53" s="556"/>
      <c r="VSM53" s="556"/>
      <c r="VSN53" s="556"/>
      <c r="VSO53" s="556"/>
      <c r="VSP53" s="556"/>
      <c r="VSQ53" s="556"/>
      <c r="VSR53" s="556"/>
      <c r="VSS53" s="556"/>
      <c r="VST53" s="556"/>
      <c r="VSU53" s="556"/>
      <c r="VSV53" s="556"/>
      <c r="VSW53" s="556"/>
      <c r="VSX53" s="556"/>
      <c r="VSY53" s="556"/>
      <c r="VSZ53" s="556"/>
      <c r="VTA53" s="556"/>
      <c r="VTB53" s="556"/>
      <c r="VTC53" s="556"/>
      <c r="VTD53" s="556"/>
      <c r="VTE53" s="556"/>
      <c r="VTF53" s="556"/>
      <c r="VTG53" s="556"/>
      <c r="VTH53" s="556"/>
      <c r="VTI53" s="556"/>
      <c r="VTJ53" s="556"/>
      <c r="VTK53" s="556"/>
      <c r="VTL53" s="556"/>
      <c r="VTM53" s="556"/>
      <c r="VTN53" s="556"/>
      <c r="VTO53" s="556"/>
      <c r="VTP53" s="556"/>
      <c r="VTQ53" s="556"/>
      <c r="VTR53" s="556"/>
      <c r="VTS53" s="556"/>
      <c r="VTT53" s="556"/>
      <c r="VTU53" s="556"/>
      <c r="VTV53" s="556"/>
      <c r="VTW53" s="556"/>
      <c r="VTX53" s="556"/>
      <c r="VTY53" s="556"/>
      <c r="VTZ53" s="556"/>
      <c r="VUA53" s="556"/>
      <c r="VUB53" s="556"/>
      <c r="VUC53" s="556"/>
      <c r="VUD53" s="556"/>
      <c r="VUE53" s="556"/>
      <c r="VUF53" s="556"/>
      <c r="VUG53" s="556"/>
      <c r="VUH53" s="556"/>
      <c r="VUI53" s="556"/>
      <c r="VUJ53" s="556"/>
      <c r="VUK53" s="556"/>
      <c r="VUL53" s="556"/>
      <c r="VUM53" s="556"/>
      <c r="VUN53" s="556"/>
      <c r="VUO53" s="556"/>
      <c r="VUP53" s="556"/>
      <c r="VUQ53" s="556"/>
      <c r="VUR53" s="556"/>
      <c r="VUS53" s="556"/>
      <c r="VUT53" s="556"/>
      <c r="VUU53" s="556"/>
      <c r="VUV53" s="556"/>
      <c r="VUW53" s="556"/>
      <c r="VUX53" s="556"/>
      <c r="VUY53" s="556"/>
      <c r="VUZ53" s="556"/>
      <c r="VVA53" s="556"/>
      <c r="VVB53" s="556"/>
      <c r="VVC53" s="556"/>
      <c r="VVD53" s="556"/>
      <c r="VVE53" s="556"/>
      <c r="VVF53" s="556"/>
      <c r="VVG53" s="556"/>
      <c r="VVH53" s="556"/>
      <c r="VVI53" s="556"/>
      <c r="VVJ53" s="556"/>
      <c r="VVK53" s="556"/>
      <c r="VVL53" s="556"/>
      <c r="VVM53" s="556"/>
      <c r="VVN53" s="556"/>
      <c r="VVO53" s="556"/>
      <c r="VVP53" s="556"/>
      <c r="VVQ53" s="556"/>
      <c r="VVR53" s="556"/>
      <c r="VVS53" s="556"/>
      <c r="VVT53" s="556"/>
      <c r="VVU53" s="556"/>
      <c r="VVV53" s="556"/>
      <c r="VVW53" s="556"/>
      <c r="VVX53" s="556"/>
      <c r="VVY53" s="556"/>
      <c r="VVZ53" s="556"/>
      <c r="VWA53" s="556"/>
      <c r="VWB53" s="556"/>
      <c r="VWC53" s="556"/>
      <c r="VWD53" s="556"/>
      <c r="VWE53" s="556"/>
      <c r="VWF53" s="556"/>
      <c r="VWG53" s="556"/>
      <c r="VWH53" s="556"/>
      <c r="VWI53" s="556"/>
      <c r="VWJ53" s="556"/>
      <c r="VWK53" s="556"/>
      <c r="VWL53" s="556"/>
      <c r="VWM53" s="556"/>
      <c r="VWN53" s="556"/>
      <c r="VWO53" s="556"/>
      <c r="VWP53" s="556"/>
      <c r="VWQ53" s="556"/>
      <c r="VWR53" s="556"/>
      <c r="VWS53" s="556"/>
      <c r="VWT53" s="556"/>
      <c r="VWU53" s="556"/>
      <c r="VWV53" s="556"/>
      <c r="VWW53" s="556"/>
      <c r="VWX53" s="556"/>
      <c r="VWY53" s="556"/>
      <c r="VWZ53" s="556"/>
      <c r="VXA53" s="556"/>
      <c r="VXB53" s="556"/>
      <c r="VXC53" s="556"/>
      <c r="VXD53" s="556"/>
      <c r="VXE53" s="556"/>
      <c r="VXF53" s="556"/>
      <c r="VXG53" s="556"/>
      <c r="VXH53" s="556"/>
      <c r="VXI53" s="556"/>
      <c r="VXJ53" s="556"/>
      <c r="VXK53" s="556"/>
      <c r="VXL53" s="556"/>
      <c r="VXM53" s="556"/>
      <c r="VXN53" s="556"/>
      <c r="VXO53" s="556"/>
      <c r="VXP53" s="556"/>
      <c r="VXQ53" s="556"/>
      <c r="VXR53" s="556"/>
      <c r="VXS53" s="556"/>
      <c r="VXT53" s="556"/>
      <c r="VXU53" s="556"/>
      <c r="VXV53" s="556"/>
      <c r="VXW53" s="556"/>
      <c r="VXX53" s="556"/>
      <c r="VXY53" s="556"/>
      <c r="VXZ53" s="556"/>
      <c r="VYA53" s="556"/>
      <c r="VYB53" s="556"/>
      <c r="VYC53" s="556"/>
      <c r="VYD53" s="556"/>
      <c r="VYE53" s="556"/>
      <c r="VYF53" s="556"/>
      <c r="VYG53" s="556"/>
      <c r="VYH53" s="556"/>
      <c r="VYI53" s="556"/>
      <c r="VYJ53" s="556"/>
      <c r="VYK53" s="556"/>
      <c r="VYL53" s="556"/>
      <c r="VYM53" s="556"/>
      <c r="VYN53" s="556"/>
      <c r="VYO53" s="556"/>
      <c r="VYP53" s="556"/>
      <c r="VYQ53" s="556"/>
      <c r="VYR53" s="556"/>
      <c r="VYS53" s="556"/>
      <c r="VYT53" s="556"/>
      <c r="VYU53" s="556"/>
      <c r="VYV53" s="556"/>
      <c r="VYW53" s="556"/>
      <c r="VYX53" s="556"/>
      <c r="VYY53" s="556"/>
      <c r="VYZ53" s="556"/>
      <c r="VZA53" s="556"/>
      <c r="VZB53" s="556"/>
      <c r="VZC53" s="556"/>
      <c r="VZD53" s="556"/>
      <c r="VZE53" s="556"/>
      <c r="VZF53" s="556"/>
      <c r="VZG53" s="556"/>
      <c r="VZH53" s="556"/>
      <c r="VZI53" s="556"/>
      <c r="VZJ53" s="556"/>
      <c r="VZK53" s="556"/>
      <c r="VZL53" s="556"/>
      <c r="VZM53" s="556"/>
      <c r="VZN53" s="556"/>
      <c r="VZO53" s="556"/>
      <c r="VZP53" s="556"/>
      <c r="VZQ53" s="556"/>
      <c r="VZR53" s="556"/>
      <c r="VZS53" s="556"/>
      <c r="VZT53" s="556"/>
      <c r="VZU53" s="556"/>
      <c r="VZV53" s="556"/>
      <c r="VZW53" s="556"/>
      <c r="VZX53" s="556"/>
      <c r="VZY53" s="556"/>
      <c r="VZZ53" s="556"/>
      <c r="WAA53" s="556"/>
      <c r="WAB53" s="556"/>
      <c r="WAC53" s="556"/>
      <c r="WAD53" s="556"/>
      <c r="WAE53" s="556"/>
      <c r="WAF53" s="556"/>
      <c r="WAG53" s="556"/>
      <c r="WAH53" s="556"/>
      <c r="WAI53" s="556"/>
      <c r="WAJ53" s="556"/>
      <c r="WAK53" s="556"/>
      <c r="WAL53" s="556"/>
      <c r="WAM53" s="556"/>
      <c r="WAN53" s="556"/>
      <c r="WAO53" s="556"/>
      <c r="WAP53" s="556"/>
      <c r="WAQ53" s="556"/>
      <c r="WAR53" s="556"/>
      <c r="WAS53" s="556"/>
      <c r="WAT53" s="556"/>
      <c r="WAU53" s="556"/>
      <c r="WAV53" s="556"/>
      <c r="WAW53" s="556"/>
      <c r="WAX53" s="556"/>
      <c r="WAY53" s="556"/>
      <c r="WAZ53" s="556"/>
      <c r="WBA53" s="556"/>
      <c r="WBB53" s="556"/>
      <c r="WBC53" s="556"/>
      <c r="WBD53" s="556"/>
      <c r="WBE53" s="556"/>
      <c r="WBF53" s="556"/>
      <c r="WBG53" s="556"/>
      <c r="WBH53" s="556"/>
      <c r="WBI53" s="556"/>
      <c r="WBJ53" s="556"/>
      <c r="WBK53" s="556"/>
      <c r="WBL53" s="556"/>
      <c r="WBM53" s="556"/>
      <c r="WBN53" s="556"/>
      <c r="WBO53" s="556"/>
      <c r="WBP53" s="556"/>
      <c r="WBQ53" s="556"/>
      <c r="WBR53" s="556"/>
      <c r="WBS53" s="556"/>
      <c r="WBT53" s="556"/>
      <c r="WBU53" s="556"/>
      <c r="WBV53" s="556"/>
      <c r="WBW53" s="556"/>
      <c r="WBX53" s="556"/>
      <c r="WBY53" s="556"/>
      <c r="WBZ53" s="556"/>
      <c r="WCA53" s="556"/>
      <c r="WCB53" s="556"/>
      <c r="WCC53" s="556"/>
      <c r="WCD53" s="556"/>
      <c r="WCE53" s="556"/>
      <c r="WCF53" s="556"/>
      <c r="WCG53" s="556"/>
      <c r="WCH53" s="556"/>
      <c r="WCI53" s="556"/>
      <c r="WCJ53" s="556"/>
      <c r="WCK53" s="556"/>
      <c r="WCL53" s="556"/>
      <c r="WCM53" s="556"/>
      <c r="WCN53" s="556"/>
      <c r="WCO53" s="556"/>
      <c r="WCP53" s="556"/>
      <c r="WCQ53" s="556"/>
      <c r="WCR53" s="556"/>
      <c r="WCS53" s="556"/>
      <c r="WCT53" s="556"/>
      <c r="WCU53" s="556"/>
      <c r="WCV53" s="556"/>
      <c r="WCW53" s="556"/>
      <c r="WCX53" s="556"/>
      <c r="WCY53" s="556"/>
      <c r="WCZ53" s="556"/>
      <c r="WDA53" s="556"/>
      <c r="WDB53" s="556"/>
      <c r="WDC53" s="556"/>
      <c r="WDD53" s="556"/>
      <c r="WDE53" s="556"/>
      <c r="WDF53" s="556"/>
      <c r="WDG53" s="556"/>
      <c r="WDH53" s="556"/>
      <c r="WDI53" s="556"/>
      <c r="WDJ53" s="556"/>
      <c r="WDK53" s="556"/>
      <c r="WDL53" s="556"/>
      <c r="WDM53" s="556"/>
      <c r="WDN53" s="556"/>
      <c r="WDO53" s="556"/>
      <c r="WDP53" s="556"/>
      <c r="WDQ53" s="556"/>
      <c r="WDR53" s="556"/>
      <c r="WDS53" s="556"/>
      <c r="WDT53" s="556"/>
      <c r="WDU53" s="556"/>
      <c r="WDV53" s="556"/>
      <c r="WDW53" s="556"/>
      <c r="WDX53" s="556"/>
      <c r="WDY53" s="556"/>
      <c r="WDZ53" s="556"/>
      <c r="WEA53" s="556"/>
      <c r="WEB53" s="556"/>
      <c r="WEC53" s="556"/>
      <c r="WED53" s="556"/>
      <c r="WEE53" s="556"/>
      <c r="WEF53" s="556"/>
      <c r="WEG53" s="556"/>
      <c r="WEH53" s="556"/>
      <c r="WEI53" s="556"/>
      <c r="WEJ53" s="556"/>
      <c r="WEK53" s="556"/>
      <c r="WEL53" s="556"/>
      <c r="WEM53" s="556"/>
      <c r="WEN53" s="556"/>
      <c r="WEO53" s="556"/>
      <c r="WEP53" s="556"/>
      <c r="WEQ53" s="556"/>
      <c r="WER53" s="556"/>
      <c r="WES53" s="556"/>
      <c r="WET53" s="556"/>
      <c r="WEU53" s="556"/>
      <c r="WEV53" s="556"/>
      <c r="WEW53" s="556"/>
      <c r="WEX53" s="556"/>
      <c r="WEY53" s="556"/>
      <c r="WEZ53" s="556"/>
      <c r="WFA53" s="556"/>
      <c r="WFB53" s="556"/>
      <c r="WFC53" s="556"/>
      <c r="WFD53" s="556"/>
      <c r="WFE53" s="556"/>
      <c r="WFF53" s="556"/>
      <c r="WFG53" s="556"/>
      <c r="WFH53" s="556"/>
      <c r="WFI53" s="556"/>
      <c r="WFJ53" s="556"/>
      <c r="WFK53" s="556"/>
      <c r="WFL53" s="556"/>
      <c r="WFM53" s="556"/>
      <c r="WFN53" s="556"/>
      <c r="WFO53" s="556"/>
      <c r="WFP53" s="556"/>
      <c r="WFQ53" s="556"/>
      <c r="WFR53" s="556"/>
      <c r="WFS53" s="556"/>
      <c r="WFT53" s="556"/>
      <c r="WFU53" s="556"/>
      <c r="WFV53" s="556"/>
      <c r="WFW53" s="556"/>
      <c r="WFX53" s="556"/>
      <c r="WFY53" s="556"/>
      <c r="WFZ53" s="556"/>
      <c r="WGA53" s="556"/>
      <c r="WGB53" s="556"/>
      <c r="WGC53" s="556"/>
      <c r="WGD53" s="556"/>
      <c r="WGE53" s="556"/>
      <c r="WGF53" s="556"/>
      <c r="WGG53" s="556"/>
      <c r="WGH53" s="556"/>
      <c r="WGI53" s="556"/>
      <c r="WGJ53" s="556"/>
      <c r="WGK53" s="556"/>
      <c r="WGL53" s="556"/>
      <c r="WGM53" s="556"/>
      <c r="WGN53" s="556"/>
      <c r="WGO53" s="556"/>
      <c r="WGP53" s="556"/>
      <c r="WGQ53" s="556"/>
      <c r="WGR53" s="556"/>
      <c r="WGS53" s="556"/>
      <c r="WGT53" s="556"/>
      <c r="WGU53" s="556"/>
      <c r="WGV53" s="556"/>
      <c r="WGW53" s="556"/>
      <c r="WGX53" s="556"/>
      <c r="WGY53" s="556"/>
      <c r="WGZ53" s="556"/>
      <c r="WHA53" s="556"/>
      <c r="WHB53" s="556"/>
      <c r="WHC53" s="556"/>
      <c r="WHD53" s="556"/>
      <c r="WHE53" s="556"/>
      <c r="WHF53" s="556"/>
      <c r="WHG53" s="556"/>
      <c r="WHH53" s="556"/>
      <c r="WHI53" s="556"/>
      <c r="WHJ53" s="556"/>
      <c r="WHK53" s="556"/>
      <c r="WHL53" s="556"/>
      <c r="WHM53" s="556"/>
      <c r="WHN53" s="556"/>
      <c r="WHO53" s="556"/>
      <c r="WHP53" s="556"/>
      <c r="WHQ53" s="556"/>
      <c r="WHR53" s="556"/>
      <c r="WHS53" s="556"/>
      <c r="WHT53" s="556"/>
      <c r="WHU53" s="556"/>
      <c r="WHV53" s="556"/>
      <c r="WHW53" s="556"/>
      <c r="WHX53" s="556"/>
      <c r="WHY53" s="556"/>
      <c r="WHZ53" s="556"/>
      <c r="WIA53" s="556"/>
      <c r="WIB53" s="556"/>
      <c r="WIC53" s="556"/>
      <c r="WID53" s="556"/>
      <c r="WIE53" s="556"/>
      <c r="WIF53" s="556"/>
      <c r="WIG53" s="556"/>
      <c r="WIH53" s="556"/>
      <c r="WII53" s="556"/>
      <c r="WIJ53" s="556"/>
      <c r="WIK53" s="556"/>
      <c r="WIL53" s="556"/>
      <c r="WIM53" s="556"/>
      <c r="WIN53" s="556"/>
      <c r="WIO53" s="556"/>
      <c r="WIP53" s="556"/>
      <c r="WIQ53" s="556"/>
      <c r="WIR53" s="556"/>
      <c r="WIS53" s="556"/>
      <c r="WIT53" s="556"/>
      <c r="WIU53" s="556"/>
      <c r="WIV53" s="556"/>
      <c r="WIW53" s="556"/>
      <c r="WIX53" s="556"/>
      <c r="WIY53" s="556"/>
      <c r="WIZ53" s="556"/>
      <c r="WJA53" s="556"/>
      <c r="WJB53" s="556"/>
      <c r="WJC53" s="556"/>
      <c r="WJD53" s="556"/>
      <c r="WJE53" s="556"/>
      <c r="WJF53" s="556"/>
      <c r="WJG53" s="556"/>
      <c r="WJH53" s="556"/>
      <c r="WJI53" s="556"/>
      <c r="WJJ53" s="556"/>
      <c r="WJK53" s="556"/>
      <c r="WJL53" s="556"/>
      <c r="WJM53" s="556"/>
      <c r="WJN53" s="556"/>
      <c r="WJO53" s="556"/>
      <c r="WJP53" s="556"/>
      <c r="WJQ53" s="556"/>
      <c r="WJR53" s="556"/>
      <c r="WJS53" s="556"/>
      <c r="WJT53" s="556"/>
      <c r="WJU53" s="556"/>
      <c r="WJV53" s="556"/>
      <c r="WJW53" s="556"/>
      <c r="WJX53" s="556"/>
      <c r="WJY53" s="556"/>
      <c r="WJZ53" s="556"/>
      <c r="WKA53" s="556"/>
      <c r="WKB53" s="556"/>
      <c r="WKC53" s="556"/>
      <c r="WKD53" s="556"/>
      <c r="WKE53" s="556"/>
      <c r="WKF53" s="556"/>
      <c r="WKG53" s="556"/>
      <c r="WKH53" s="556"/>
      <c r="WKI53" s="556"/>
      <c r="WKJ53" s="556"/>
      <c r="WKK53" s="556"/>
      <c r="WKL53" s="556"/>
      <c r="WKM53" s="556"/>
      <c r="WKN53" s="556"/>
      <c r="WKO53" s="556"/>
      <c r="WKP53" s="556"/>
      <c r="WKQ53" s="556"/>
      <c r="WKR53" s="556"/>
      <c r="WKS53" s="556"/>
      <c r="WKT53" s="556"/>
      <c r="WKU53" s="556"/>
      <c r="WKV53" s="556"/>
      <c r="WKW53" s="556"/>
      <c r="WKX53" s="556"/>
      <c r="WKY53" s="556"/>
      <c r="WKZ53" s="556"/>
      <c r="WLA53" s="556"/>
      <c r="WLB53" s="556"/>
      <c r="WLC53" s="556"/>
      <c r="WLD53" s="556"/>
      <c r="WLE53" s="556"/>
      <c r="WLF53" s="556"/>
      <c r="WLG53" s="556"/>
      <c r="WLH53" s="556"/>
      <c r="WLI53" s="556"/>
      <c r="WLJ53" s="556"/>
      <c r="WLK53" s="556"/>
      <c r="WLL53" s="556"/>
      <c r="WLM53" s="556"/>
      <c r="WLN53" s="556"/>
      <c r="WLO53" s="556"/>
      <c r="WLP53" s="556"/>
      <c r="WLQ53" s="556"/>
      <c r="WLR53" s="556"/>
      <c r="WLS53" s="556"/>
      <c r="WLT53" s="556"/>
      <c r="WLU53" s="556"/>
      <c r="WLV53" s="556"/>
      <c r="WLW53" s="556"/>
      <c r="WLX53" s="556"/>
      <c r="WLY53" s="556"/>
      <c r="WLZ53" s="556"/>
      <c r="WMA53" s="556"/>
      <c r="WMB53" s="556"/>
      <c r="WMC53" s="556"/>
      <c r="WMD53" s="556"/>
      <c r="WME53" s="556"/>
      <c r="WMF53" s="556"/>
      <c r="WMG53" s="556"/>
      <c r="WMH53" s="556"/>
      <c r="WMI53" s="556"/>
      <c r="WMJ53" s="556"/>
      <c r="WMK53" s="556"/>
      <c r="WML53" s="556"/>
      <c r="WMM53" s="556"/>
      <c r="WMN53" s="556"/>
      <c r="WMO53" s="556"/>
      <c r="WMP53" s="556"/>
      <c r="WMQ53" s="556"/>
      <c r="WMR53" s="556"/>
      <c r="WMS53" s="556"/>
      <c r="WMT53" s="556"/>
      <c r="WMU53" s="556"/>
      <c r="WMV53" s="556"/>
      <c r="WMW53" s="556"/>
      <c r="WMX53" s="556"/>
      <c r="WMY53" s="556"/>
      <c r="WMZ53" s="556"/>
      <c r="WNA53" s="556"/>
      <c r="WNB53" s="556"/>
      <c r="WNC53" s="556"/>
      <c r="WND53" s="556"/>
      <c r="WNE53" s="556"/>
      <c r="WNF53" s="556"/>
      <c r="WNG53" s="556"/>
      <c r="WNH53" s="556"/>
      <c r="WNI53" s="556"/>
      <c r="WNJ53" s="556"/>
      <c r="WNK53" s="556"/>
      <c r="WNL53" s="556"/>
      <c r="WNM53" s="556"/>
      <c r="WNN53" s="556"/>
      <c r="WNO53" s="556"/>
      <c r="WNP53" s="556"/>
      <c r="WNQ53" s="556"/>
      <c r="WNR53" s="556"/>
      <c r="WNS53" s="556"/>
      <c r="WNT53" s="556"/>
      <c r="WNU53" s="556"/>
      <c r="WNV53" s="556"/>
      <c r="WNW53" s="556"/>
      <c r="WNX53" s="556"/>
      <c r="WNY53" s="556"/>
      <c r="WNZ53" s="556"/>
      <c r="WOA53" s="556"/>
      <c r="WOB53" s="556"/>
      <c r="WOC53" s="556"/>
      <c r="WOD53" s="556"/>
      <c r="WOE53" s="556"/>
      <c r="WOF53" s="556"/>
      <c r="WOG53" s="556"/>
      <c r="WOH53" s="556"/>
      <c r="WOI53" s="556"/>
      <c r="WOJ53" s="556"/>
      <c r="WOK53" s="556"/>
      <c r="WOL53" s="556"/>
      <c r="WOM53" s="556"/>
      <c r="WON53" s="556"/>
      <c r="WOO53" s="556"/>
      <c r="WOP53" s="556"/>
      <c r="WOQ53" s="556"/>
      <c r="WOR53" s="556"/>
      <c r="WOS53" s="556"/>
      <c r="WOT53" s="556"/>
      <c r="WOU53" s="556"/>
      <c r="WOV53" s="556"/>
      <c r="WOW53" s="556"/>
      <c r="WOX53" s="556"/>
      <c r="WOY53" s="556"/>
      <c r="WOZ53" s="556"/>
      <c r="WPA53" s="556"/>
      <c r="WPB53" s="556"/>
      <c r="WPC53" s="556"/>
      <c r="WPD53" s="556"/>
      <c r="WPE53" s="556"/>
      <c r="WPF53" s="556"/>
      <c r="WPG53" s="556"/>
      <c r="WPH53" s="556"/>
      <c r="WPI53" s="556"/>
      <c r="WPJ53" s="556"/>
      <c r="WPK53" s="556"/>
      <c r="WPL53" s="556"/>
      <c r="WPM53" s="556"/>
      <c r="WPN53" s="556"/>
      <c r="WPO53" s="556"/>
      <c r="WPP53" s="556"/>
      <c r="WPQ53" s="556"/>
      <c r="WPR53" s="556"/>
      <c r="WPS53" s="556"/>
      <c r="WPT53" s="556"/>
      <c r="WPU53" s="556"/>
      <c r="WPV53" s="556"/>
      <c r="WPW53" s="556"/>
      <c r="WPX53" s="556"/>
      <c r="WPY53" s="556"/>
      <c r="WPZ53" s="556"/>
      <c r="WQA53" s="556"/>
      <c r="WQB53" s="556"/>
      <c r="WQC53" s="556"/>
      <c r="WQD53" s="556"/>
      <c r="WQE53" s="556"/>
      <c r="WQF53" s="556"/>
      <c r="WQG53" s="556"/>
      <c r="WQH53" s="556"/>
      <c r="WQI53" s="556"/>
      <c r="WQJ53" s="556"/>
      <c r="WQK53" s="556"/>
      <c r="WQL53" s="556"/>
      <c r="WQM53" s="556"/>
      <c r="WQN53" s="556"/>
      <c r="WQO53" s="556"/>
      <c r="WQP53" s="556"/>
      <c r="WQQ53" s="556"/>
      <c r="WQR53" s="556"/>
      <c r="WQS53" s="556"/>
      <c r="WQT53" s="556"/>
      <c r="WQU53" s="556"/>
      <c r="WQV53" s="556"/>
      <c r="WQW53" s="556"/>
      <c r="WQX53" s="556"/>
      <c r="WQY53" s="556"/>
      <c r="WQZ53" s="556"/>
      <c r="WRA53" s="556"/>
      <c r="WRB53" s="556"/>
      <c r="WRC53" s="556"/>
      <c r="WRD53" s="556"/>
      <c r="WRE53" s="556"/>
      <c r="WRF53" s="556"/>
      <c r="WRG53" s="556"/>
      <c r="WRH53" s="556"/>
      <c r="WRI53" s="556"/>
      <c r="WRJ53" s="556"/>
      <c r="WRK53" s="556"/>
      <c r="WRL53" s="556"/>
      <c r="WRM53" s="556"/>
      <c r="WRN53" s="556"/>
      <c r="WRO53" s="556"/>
      <c r="WRP53" s="556"/>
      <c r="WRQ53" s="556"/>
      <c r="WRR53" s="556"/>
      <c r="WRS53" s="556"/>
      <c r="WRT53" s="556"/>
      <c r="WRU53" s="556"/>
      <c r="WRV53" s="556"/>
      <c r="WRW53" s="556"/>
      <c r="WRX53" s="556"/>
      <c r="WRY53" s="556"/>
      <c r="WRZ53" s="556"/>
      <c r="WSA53" s="556"/>
      <c r="WSB53" s="556"/>
      <c r="WSC53" s="556"/>
      <c r="WSD53" s="556"/>
      <c r="WSE53" s="556"/>
      <c r="WSF53" s="556"/>
      <c r="WSG53" s="556"/>
      <c r="WSH53" s="556"/>
      <c r="WSI53" s="556"/>
      <c r="WSJ53" s="556"/>
      <c r="WSK53" s="556"/>
      <c r="WSL53" s="556"/>
      <c r="WSM53" s="556"/>
      <c r="WSN53" s="556"/>
      <c r="WSO53" s="556"/>
      <c r="WSP53" s="556"/>
      <c r="WSQ53" s="556"/>
      <c r="WSR53" s="556"/>
      <c r="WSS53" s="556"/>
      <c r="WST53" s="556"/>
      <c r="WSU53" s="556"/>
      <c r="WSV53" s="556"/>
      <c r="WSW53" s="556"/>
      <c r="WSX53" s="556"/>
      <c r="WSY53" s="556"/>
      <c r="WSZ53" s="556"/>
      <c r="WTA53" s="556"/>
      <c r="WTB53" s="556"/>
      <c r="WTC53" s="556"/>
      <c r="WTD53" s="556"/>
      <c r="WTE53" s="556"/>
      <c r="WTF53" s="556"/>
      <c r="WTG53" s="556"/>
      <c r="WTH53" s="556"/>
      <c r="WTI53" s="556"/>
      <c r="WTJ53" s="556"/>
      <c r="WTK53" s="556"/>
      <c r="WTL53" s="556"/>
      <c r="WTM53" s="556"/>
      <c r="WTN53" s="556"/>
      <c r="WTO53" s="556"/>
      <c r="WTP53" s="556"/>
      <c r="WTQ53" s="556"/>
      <c r="WTR53" s="556"/>
      <c r="WTS53" s="556"/>
      <c r="WTT53" s="556"/>
      <c r="WTU53" s="556"/>
      <c r="WTV53" s="556"/>
      <c r="WTW53" s="556"/>
      <c r="WTX53" s="556"/>
      <c r="WTY53" s="556"/>
      <c r="WTZ53" s="556"/>
      <c r="WUA53" s="556"/>
      <c r="WUB53" s="556"/>
      <c r="WUC53" s="556"/>
      <c r="WUD53" s="556"/>
      <c r="WUE53" s="556"/>
      <c r="WUF53" s="556"/>
      <c r="WUG53" s="556"/>
      <c r="WUH53" s="556"/>
      <c r="WUI53" s="556"/>
      <c r="WUJ53" s="556"/>
      <c r="WUK53" s="556"/>
      <c r="WUL53" s="556"/>
      <c r="WUM53" s="556"/>
      <c r="WUN53" s="556"/>
      <c r="WUO53" s="556"/>
      <c r="WUP53" s="556"/>
      <c r="WUQ53" s="556"/>
      <c r="WUR53" s="556"/>
      <c r="WUS53" s="556"/>
      <c r="WUT53" s="556"/>
      <c r="WUU53" s="556"/>
      <c r="WUV53" s="556"/>
      <c r="WUW53" s="556"/>
      <c r="WUX53" s="556"/>
      <c r="WUY53" s="556"/>
      <c r="WUZ53" s="556"/>
      <c r="WVA53" s="556"/>
      <c r="WVB53" s="556"/>
      <c r="WVC53" s="556"/>
      <c r="WVD53" s="556"/>
      <c r="WVE53" s="556"/>
      <c r="WVF53" s="556"/>
      <c r="WVG53" s="556"/>
      <c r="WVH53" s="556"/>
      <c r="WVI53" s="556"/>
      <c r="WVJ53" s="556"/>
      <c r="WVK53" s="556"/>
      <c r="WVL53" s="556"/>
      <c r="WVM53" s="556"/>
      <c r="WVN53" s="556"/>
      <c r="WVO53" s="556"/>
      <c r="WVP53" s="556"/>
      <c r="WVQ53" s="556"/>
      <c r="WVR53" s="556"/>
      <c r="WVS53" s="556"/>
      <c r="WVT53" s="556"/>
      <c r="WVU53" s="556"/>
      <c r="WVV53" s="556"/>
      <c r="WVW53" s="556"/>
      <c r="WVX53" s="556"/>
      <c r="WVY53" s="556"/>
      <c r="WVZ53" s="556"/>
      <c r="WWA53" s="556"/>
      <c r="WWB53" s="556"/>
      <c r="WWC53" s="556"/>
      <c r="WWD53" s="556"/>
      <c r="WWE53" s="556"/>
      <c r="WWF53" s="556"/>
      <c r="WWG53" s="556"/>
      <c r="WWH53" s="556"/>
      <c r="WWI53" s="556"/>
      <c r="WWJ53" s="556"/>
      <c r="WWK53" s="556"/>
      <c r="WWL53" s="556"/>
      <c r="WWM53" s="556"/>
      <c r="WWN53" s="556"/>
      <c r="WWO53" s="556"/>
      <c r="WWP53" s="556"/>
      <c r="WWQ53" s="556"/>
      <c r="WWR53" s="556"/>
      <c r="WWS53" s="556"/>
      <c r="WWT53" s="556"/>
      <c r="WWU53" s="556"/>
      <c r="WWV53" s="556"/>
      <c r="WWW53" s="556"/>
      <c r="WWX53" s="556"/>
      <c r="WWY53" s="556"/>
      <c r="WWZ53" s="556"/>
      <c r="WXA53" s="556"/>
      <c r="WXB53" s="556"/>
      <c r="WXC53" s="556"/>
      <c r="WXD53" s="556"/>
      <c r="WXE53" s="556"/>
      <c r="WXF53" s="556"/>
      <c r="WXG53" s="556"/>
      <c r="WXH53" s="556"/>
      <c r="WXI53" s="556"/>
      <c r="WXJ53" s="556"/>
      <c r="WXK53" s="556"/>
      <c r="WXL53" s="556"/>
      <c r="WXM53" s="556"/>
      <c r="WXN53" s="556"/>
      <c r="WXO53" s="556"/>
      <c r="WXP53" s="556"/>
      <c r="WXQ53" s="556"/>
      <c r="WXR53" s="556"/>
      <c r="WXS53" s="556"/>
      <c r="WXT53" s="556"/>
      <c r="WXU53" s="556"/>
      <c r="WXV53" s="556"/>
      <c r="WXW53" s="556"/>
      <c r="WXX53" s="556"/>
      <c r="WXY53" s="556"/>
      <c r="WXZ53" s="556"/>
      <c r="WYA53" s="556"/>
      <c r="WYB53" s="556"/>
      <c r="WYC53" s="556"/>
      <c r="WYD53" s="556"/>
      <c r="WYE53" s="556"/>
      <c r="WYF53" s="556"/>
      <c r="WYG53" s="556"/>
      <c r="WYH53" s="556"/>
      <c r="WYI53" s="556"/>
      <c r="WYJ53" s="556"/>
      <c r="WYK53" s="556"/>
      <c r="WYL53" s="556"/>
      <c r="WYM53" s="556"/>
      <c r="WYN53" s="556"/>
      <c r="WYO53" s="556"/>
      <c r="WYP53" s="556"/>
      <c r="WYQ53" s="556"/>
      <c r="WYR53" s="556"/>
      <c r="WYS53" s="556"/>
      <c r="WYT53" s="556"/>
      <c r="WYU53" s="556"/>
      <c r="WYV53" s="556"/>
      <c r="WYW53" s="556"/>
      <c r="WYX53" s="556"/>
      <c r="WYY53" s="556"/>
      <c r="WYZ53" s="556"/>
      <c r="WZA53" s="556"/>
      <c r="WZB53" s="556"/>
      <c r="WZC53" s="556"/>
      <c r="WZD53" s="556"/>
      <c r="WZE53" s="556"/>
      <c r="WZF53" s="556"/>
      <c r="WZG53" s="556"/>
      <c r="WZH53" s="556"/>
      <c r="WZI53" s="556"/>
      <c r="WZJ53" s="556"/>
      <c r="WZK53" s="556"/>
      <c r="WZL53" s="556"/>
      <c r="WZM53" s="556"/>
      <c r="WZN53" s="556"/>
      <c r="WZO53" s="556"/>
      <c r="WZP53" s="556"/>
      <c r="WZQ53" s="556"/>
      <c r="WZR53" s="556"/>
      <c r="WZS53" s="556"/>
      <c r="WZT53" s="556"/>
      <c r="WZU53" s="556"/>
      <c r="WZV53" s="556"/>
      <c r="WZW53" s="556"/>
      <c r="WZX53" s="556"/>
      <c r="WZY53" s="556"/>
      <c r="WZZ53" s="556"/>
      <c r="XAA53" s="556"/>
      <c r="XAB53" s="556"/>
      <c r="XAC53" s="556"/>
      <c r="XAD53" s="556"/>
      <c r="XAE53" s="556"/>
      <c r="XAF53" s="556"/>
      <c r="XAG53" s="556"/>
      <c r="XAH53" s="556"/>
      <c r="XAI53" s="556"/>
      <c r="XAJ53" s="556"/>
      <c r="XAK53" s="556"/>
      <c r="XAL53" s="556"/>
      <c r="XAM53" s="556"/>
      <c r="XAN53" s="556"/>
      <c r="XAO53" s="556"/>
      <c r="XAP53" s="556"/>
      <c r="XAQ53" s="556"/>
      <c r="XAR53" s="556"/>
      <c r="XAS53" s="556"/>
      <c r="XAT53" s="556"/>
      <c r="XAU53" s="556"/>
      <c r="XAV53" s="556"/>
      <c r="XAW53" s="556"/>
      <c r="XAX53" s="556"/>
      <c r="XAY53" s="556"/>
      <c r="XAZ53" s="556"/>
      <c r="XBA53" s="556"/>
      <c r="XBB53" s="556"/>
      <c r="XBC53" s="556"/>
      <c r="XBD53" s="556"/>
      <c r="XBE53" s="556"/>
      <c r="XBF53" s="556"/>
      <c r="XBG53" s="556"/>
      <c r="XBH53" s="556"/>
      <c r="XBI53" s="556"/>
      <c r="XBJ53" s="556"/>
      <c r="XBK53" s="556"/>
      <c r="XBL53" s="556"/>
      <c r="XBM53" s="556"/>
      <c r="XBN53" s="556"/>
      <c r="XBO53" s="556"/>
      <c r="XBP53" s="556"/>
      <c r="XBQ53" s="556"/>
      <c r="XBR53" s="556"/>
      <c r="XBS53" s="556"/>
      <c r="XBT53" s="556"/>
      <c r="XBU53" s="556"/>
      <c r="XBV53" s="556"/>
      <c r="XBW53" s="556"/>
      <c r="XBX53" s="556"/>
      <c r="XBY53" s="556"/>
      <c r="XBZ53" s="556"/>
      <c r="XCA53" s="556"/>
      <c r="XCB53" s="556"/>
      <c r="XCC53" s="556"/>
      <c r="XCD53" s="556"/>
      <c r="XCE53" s="556"/>
      <c r="XCF53" s="556"/>
      <c r="XCG53" s="556"/>
      <c r="XCH53" s="556"/>
      <c r="XCI53" s="556"/>
      <c r="XCJ53" s="556"/>
      <c r="XCK53" s="556"/>
      <c r="XCL53" s="556"/>
      <c r="XCM53" s="556"/>
      <c r="XCN53" s="556"/>
      <c r="XCO53" s="556"/>
      <c r="XCP53" s="556"/>
      <c r="XCQ53" s="556"/>
      <c r="XCR53" s="556"/>
      <c r="XCS53" s="556"/>
      <c r="XCT53" s="556"/>
      <c r="XCU53" s="556"/>
      <c r="XCV53" s="556"/>
      <c r="XCW53" s="556"/>
      <c r="XCX53" s="556"/>
      <c r="XCY53" s="556"/>
      <c r="XCZ53" s="556"/>
      <c r="XDA53" s="556"/>
      <c r="XDB53" s="556"/>
      <c r="XDC53" s="556"/>
      <c r="XDD53" s="556"/>
      <c r="XDE53" s="556"/>
      <c r="XDF53" s="556"/>
      <c r="XDG53" s="556"/>
      <c r="XDH53" s="556"/>
      <c r="XDI53" s="556"/>
      <c r="XDJ53" s="556"/>
      <c r="XDK53" s="556"/>
      <c r="XDL53" s="556"/>
      <c r="XDM53" s="556"/>
      <c r="XDN53" s="556"/>
      <c r="XDO53" s="556"/>
      <c r="XDP53" s="556"/>
      <c r="XDQ53" s="556"/>
      <c r="XDR53" s="556"/>
      <c r="XDS53" s="556"/>
      <c r="XDT53" s="556"/>
      <c r="XDU53" s="556"/>
      <c r="XDV53" s="556"/>
      <c r="XDW53" s="556"/>
      <c r="XDX53" s="556"/>
      <c r="XDY53" s="556"/>
      <c r="XDZ53" s="556"/>
      <c r="XEA53" s="556"/>
      <c r="XEB53" s="556"/>
      <c r="XEC53" s="556"/>
      <c r="XED53" s="556"/>
      <c r="XEE53" s="556"/>
      <c r="XEF53" s="556"/>
      <c r="XEG53" s="556"/>
      <c r="XEH53" s="556"/>
      <c r="XEI53" s="556"/>
      <c r="XEJ53" s="556"/>
      <c r="XEK53" s="556"/>
    </row>
    <row r="54" spans="1:16365" x14ac:dyDescent="0.3">
      <c r="A54" s="552"/>
      <c r="B54" s="552"/>
      <c r="C54" s="552"/>
      <c r="D54" s="552"/>
      <c r="E54" s="552"/>
      <c r="F54" s="220"/>
      <c r="G54" s="337"/>
      <c r="H54" s="308"/>
      <c r="I54" s="308"/>
      <c r="J54" s="308"/>
      <c r="K54" s="308"/>
      <c r="L54" s="308"/>
      <c r="M54" s="352"/>
      <c r="N54" s="556"/>
      <c r="O54" s="556"/>
      <c r="P54" s="556"/>
      <c r="Q54" s="556"/>
      <c r="R54" s="556"/>
      <c r="S54" s="556"/>
      <c r="T54" s="556"/>
      <c r="U54" s="556"/>
      <c r="V54" s="556"/>
      <c r="W54" s="556"/>
      <c r="X54" s="556"/>
      <c r="Y54" s="556"/>
      <c r="Z54" s="556"/>
      <c r="AA54" s="556"/>
      <c r="AB54" s="556"/>
      <c r="AC54" s="556"/>
      <c r="AD54" s="556"/>
      <c r="AE54" s="556"/>
      <c r="AF54" s="556"/>
      <c r="AG54" s="556"/>
      <c r="AH54" s="556"/>
      <c r="AI54" s="556"/>
      <c r="AJ54" s="556"/>
      <c r="AK54" s="556"/>
      <c r="AL54" s="556"/>
      <c r="AM54" s="556"/>
      <c r="AN54" s="556"/>
      <c r="AO54" s="556"/>
      <c r="AP54" s="556"/>
      <c r="AQ54" s="556"/>
      <c r="AR54" s="556"/>
      <c r="AS54" s="556"/>
      <c r="AT54" s="556"/>
      <c r="AU54" s="556"/>
      <c r="AV54" s="556"/>
      <c r="AW54" s="556"/>
      <c r="AX54" s="556"/>
      <c r="AY54" s="556"/>
      <c r="AZ54" s="556"/>
      <c r="BA54" s="556"/>
      <c r="BB54" s="556"/>
      <c r="BC54" s="556"/>
      <c r="BD54" s="556"/>
      <c r="BE54" s="556"/>
      <c r="BF54" s="556"/>
      <c r="BG54" s="556"/>
      <c r="BH54" s="556"/>
      <c r="BI54" s="556"/>
      <c r="BJ54" s="556"/>
      <c r="BK54" s="556"/>
      <c r="BL54" s="556"/>
      <c r="BM54" s="556"/>
      <c r="BN54" s="556"/>
      <c r="BO54" s="556"/>
      <c r="BP54" s="556"/>
      <c r="BQ54" s="556"/>
      <c r="BR54" s="556"/>
      <c r="BS54" s="556"/>
      <c r="BT54" s="556"/>
      <c r="BU54" s="556"/>
      <c r="BV54" s="556"/>
      <c r="BW54" s="556"/>
      <c r="BX54" s="556"/>
      <c r="BY54" s="556"/>
      <c r="BZ54" s="556"/>
      <c r="CA54" s="556"/>
      <c r="CB54" s="556"/>
      <c r="CC54" s="556"/>
      <c r="CD54" s="556"/>
      <c r="CE54" s="556"/>
      <c r="CF54" s="556"/>
      <c r="CG54" s="556"/>
      <c r="CH54" s="556"/>
      <c r="CI54" s="556"/>
      <c r="CJ54" s="556"/>
      <c r="CK54" s="556"/>
      <c r="CL54" s="556"/>
      <c r="CM54" s="556"/>
      <c r="CN54" s="556"/>
      <c r="CO54" s="556"/>
      <c r="CP54" s="556"/>
      <c r="CQ54" s="556"/>
      <c r="CR54" s="556"/>
      <c r="CS54" s="556"/>
      <c r="CT54" s="556"/>
      <c r="CU54" s="556"/>
      <c r="CV54" s="556"/>
      <c r="CW54" s="556"/>
      <c r="CX54" s="556"/>
      <c r="CY54" s="556"/>
      <c r="CZ54" s="556"/>
      <c r="DA54" s="556"/>
      <c r="DB54" s="556"/>
      <c r="DC54" s="556"/>
      <c r="DD54" s="556"/>
      <c r="DE54" s="556"/>
      <c r="DF54" s="556"/>
      <c r="DG54" s="556"/>
      <c r="DH54" s="556"/>
      <c r="DI54" s="556"/>
      <c r="DJ54" s="556"/>
      <c r="DK54" s="556"/>
      <c r="DL54" s="556"/>
      <c r="DM54" s="556"/>
      <c r="DN54" s="556"/>
      <c r="DO54" s="556"/>
      <c r="DP54" s="556"/>
      <c r="DQ54" s="556"/>
      <c r="DR54" s="556"/>
      <c r="DS54" s="556"/>
      <c r="DT54" s="556"/>
      <c r="DU54" s="556"/>
      <c r="DV54" s="556"/>
      <c r="DW54" s="556"/>
      <c r="DX54" s="556"/>
      <c r="DY54" s="556"/>
      <c r="DZ54" s="556"/>
      <c r="EA54" s="556"/>
      <c r="EB54" s="556"/>
      <c r="EC54" s="556"/>
      <c r="ED54" s="556"/>
      <c r="EE54" s="556"/>
      <c r="EF54" s="556"/>
      <c r="EG54" s="556"/>
      <c r="EH54" s="556"/>
      <c r="EI54" s="556"/>
      <c r="EJ54" s="556"/>
      <c r="EK54" s="556"/>
      <c r="EL54" s="556"/>
      <c r="EM54" s="556"/>
      <c r="EN54" s="556"/>
      <c r="EO54" s="556"/>
      <c r="EP54" s="556"/>
      <c r="EQ54" s="556"/>
      <c r="ER54" s="556"/>
      <c r="ES54" s="556"/>
      <c r="ET54" s="556"/>
      <c r="EU54" s="556"/>
      <c r="EV54" s="556"/>
      <c r="EW54" s="556"/>
      <c r="EX54" s="556"/>
      <c r="EY54" s="556"/>
      <c r="EZ54" s="556"/>
      <c r="FA54" s="556"/>
      <c r="FB54" s="556"/>
      <c r="FC54" s="556"/>
      <c r="FD54" s="556"/>
      <c r="FE54" s="556"/>
      <c r="FF54" s="556"/>
      <c r="FG54" s="556"/>
      <c r="FH54" s="556"/>
      <c r="FI54" s="556"/>
      <c r="FJ54" s="556"/>
      <c r="FK54" s="556"/>
      <c r="FL54" s="556"/>
      <c r="FM54" s="556"/>
      <c r="FN54" s="556"/>
      <c r="FO54" s="556"/>
      <c r="FP54" s="556"/>
      <c r="FQ54" s="556"/>
      <c r="FR54" s="556"/>
      <c r="FS54" s="556"/>
      <c r="FT54" s="556"/>
      <c r="FU54" s="556"/>
      <c r="FV54" s="556"/>
      <c r="FW54" s="556"/>
      <c r="FX54" s="556"/>
      <c r="FY54" s="556"/>
      <c r="FZ54" s="556"/>
      <c r="GA54" s="556"/>
      <c r="GB54" s="556"/>
      <c r="GC54" s="556"/>
      <c r="GD54" s="556"/>
      <c r="GE54" s="556"/>
      <c r="GF54" s="556"/>
      <c r="GG54" s="556"/>
      <c r="GH54" s="556"/>
      <c r="GI54" s="556"/>
      <c r="GJ54" s="556"/>
      <c r="GK54" s="556"/>
      <c r="GL54" s="556"/>
      <c r="GM54" s="556"/>
      <c r="GN54" s="556"/>
      <c r="GO54" s="556"/>
      <c r="GP54" s="556"/>
      <c r="GQ54" s="556"/>
      <c r="GR54" s="556"/>
      <c r="GS54" s="556"/>
      <c r="GT54" s="556"/>
      <c r="GU54" s="556"/>
      <c r="GV54" s="556"/>
      <c r="GW54" s="556"/>
      <c r="GX54" s="556"/>
      <c r="GY54" s="556"/>
      <c r="GZ54" s="556"/>
      <c r="HA54" s="556"/>
      <c r="HB54" s="556"/>
      <c r="HC54" s="556"/>
      <c r="HD54" s="556"/>
      <c r="HE54" s="556"/>
      <c r="HF54" s="556"/>
      <c r="HG54" s="556"/>
      <c r="HH54" s="556"/>
      <c r="HI54" s="556"/>
      <c r="HJ54" s="556"/>
      <c r="HK54" s="556"/>
      <c r="HL54" s="556"/>
      <c r="HM54" s="556"/>
      <c r="HN54" s="556"/>
      <c r="HO54" s="556"/>
      <c r="HP54" s="556"/>
      <c r="HQ54" s="556"/>
      <c r="HR54" s="556"/>
      <c r="HS54" s="556"/>
      <c r="HT54" s="556"/>
      <c r="HU54" s="556"/>
      <c r="HV54" s="556"/>
      <c r="HW54" s="556"/>
      <c r="HX54" s="556"/>
      <c r="HY54" s="556"/>
      <c r="HZ54" s="556"/>
      <c r="IA54" s="556"/>
      <c r="IB54" s="556"/>
      <c r="IC54" s="556"/>
      <c r="ID54" s="556"/>
      <c r="IE54" s="556"/>
      <c r="IF54" s="556"/>
      <c r="IG54" s="556"/>
      <c r="IH54" s="556"/>
      <c r="II54" s="556"/>
      <c r="IJ54" s="556"/>
      <c r="IK54" s="556"/>
      <c r="IL54" s="556"/>
      <c r="IM54" s="556"/>
      <c r="IN54" s="556"/>
      <c r="IO54" s="556"/>
      <c r="IP54" s="556"/>
      <c r="IQ54" s="556"/>
      <c r="IR54" s="556"/>
      <c r="IS54" s="556"/>
      <c r="IT54" s="556"/>
      <c r="IU54" s="556"/>
      <c r="IV54" s="556"/>
      <c r="IW54" s="556"/>
      <c r="IX54" s="556"/>
      <c r="IY54" s="556"/>
      <c r="IZ54" s="556"/>
      <c r="JA54" s="556"/>
      <c r="JB54" s="556"/>
      <c r="JC54" s="556"/>
      <c r="JD54" s="556"/>
      <c r="JE54" s="556"/>
      <c r="JF54" s="556"/>
      <c r="JG54" s="556"/>
      <c r="JH54" s="556"/>
      <c r="JI54" s="556"/>
      <c r="JJ54" s="556"/>
      <c r="JK54" s="556"/>
      <c r="JL54" s="556"/>
      <c r="JM54" s="556"/>
      <c r="JN54" s="556"/>
      <c r="JO54" s="556"/>
      <c r="JP54" s="556"/>
      <c r="JQ54" s="556"/>
      <c r="JR54" s="556"/>
      <c r="JS54" s="556"/>
      <c r="JT54" s="556"/>
      <c r="JU54" s="556"/>
      <c r="JV54" s="556"/>
      <c r="JW54" s="556"/>
      <c r="JX54" s="556"/>
      <c r="JY54" s="556"/>
      <c r="JZ54" s="556"/>
      <c r="KA54" s="556"/>
      <c r="KB54" s="556"/>
      <c r="KC54" s="556"/>
      <c r="KD54" s="556"/>
      <c r="KE54" s="556"/>
      <c r="KF54" s="556"/>
      <c r="KG54" s="556"/>
      <c r="KH54" s="556"/>
      <c r="KI54" s="556"/>
      <c r="KJ54" s="556"/>
      <c r="KK54" s="556"/>
      <c r="KL54" s="556"/>
      <c r="KM54" s="556"/>
      <c r="KN54" s="556"/>
      <c r="KO54" s="556"/>
      <c r="KP54" s="556"/>
      <c r="KQ54" s="556"/>
      <c r="KR54" s="556"/>
      <c r="KS54" s="556"/>
      <c r="KT54" s="556"/>
      <c r="KU54" s="556"/>
      <c r="KV54" s="556"/>
      <c r="KW54" s="556"/>
      <c r="KX54" s="556"/>
      <c r="KY54" s="556"/>
      <c r="KZ54" s="556"/>
      <c r="LA54" s="556"/>
      <c r="LB54" s="556"/>
      <c r="LC54" s="556"/>
      <c r="LD54" s="556"/>
      <c r="LE54" s="556"/>
      <c r="LF54" s="556"/>
      <c r="LG54" s="556"/>
      <c r="LH54" s="556"/>
      <c r="LI54" s="556"/>
      <c r="LJ54" s="556"/>
      <c r="LK54" s="556"/>
      <c r="LL54" s="556"/>
      <c r="LM54" s="556"/>
      <c r="LN54" s="556"/>
      <c r="LO54" s="556"/>
      <c r="LP54" s="556"/>
      <c r="LQ54" s="556"/>
      <c r="LR54" s="556"/>
      <c r="LS54" s="556"/>
      <c r="LT54" s="556"/>
      <c r="LU54" s="556"/>
      <c r="LV54" s="556"/>
      <c r="LW54" s="556"/>
      <c r="LX54" s="556"/>
      <c r="LY54" s="556"/>
      <c r="LZ54" s="556"/>
      <c r="MA54" s="556"/>
      <c r="MB54" s="556"/>
      <c r="MC54" s="556"/>
      <c r="MD54" s="556"/>
      <c r="ME54" s="556"/>
      <c r="MF54" s="556"/>
      <c r="MG54" s="556"/>
      <c r="MH54" s="556"/>
      <c r="MI54" s="556"/>
      <c r="MJ54" s="556"/>
      <c r="MK54" s="556"/>
      <c r="ML54" s="556"/>
      <c r="MM54" s="556"/>
      <c r="MN54" s="556"/>
      <c r="MO54" s="556"/>
      <c r="MP54" s="556"/>
      <c r="MQ54" s="556"/>
      <c r="MR54" s="556"/>
      <c r="MS54" s="556"/>
      <c r="MT54" s="556"/>
      <c r="MU54" s="556"/>
      <c r="MV54" s="556"/>
      <c r="MW54" s="556"/>
      <c r="MX54" s="556"/>
      <c r="MY54" s="556"/>
      <c r="MZ54" s="556"/>
      <c r="NA54" s="556"/>
      <c r="NB54" s="556"/>
      <c r="NC54" s="556"/>
      <c r="ND54" s="556"/>
      <c r="NE54" s="556"/>
      <c r="NF54" s="556"/>
      <c r="NG54" s="556"/>
      <c r="NH54" s="556"/>
      <c r="NI54" s="556"/>
      <c r="NJ54" s="556"/>
      <c r="NK54" s="556"/>
      <c r="NL54" s="556"/>
      <c r="NM54" s="556"/>
      <c r="NN54" s="556"/>
      <c r="NO54" s="556"/>
      <c r="NP54" s="556"/>
      <c r="NQ54" s="556"/>
      <c r="NR54" s="556"/>
      <c r="NS54" s="556"/>
      <c r="NT54" s="556"/>
      <c r="NU54" s="556"/>
      <c r="NV54" s="556"/>
      <c r="NW54" s="556"/>
      <c r="NX54" s="556"/>
      <c r="NY54" s="556"/>
      <c r="NZ54" s="556"/>
      <c r="OA54" s="556"/>
      <c r="OB54" s="556"/>
      <c r="OC54" s="556"/>
      <c r="OD54" s="556"/>
      <c r="OE54" s="556"/>
      <c r="OF54" s="556"/>
      <c r="OG54" s="556"/>
      <c r="OH54" s="556"/>
      <c r="OI54" s="556"/>
      <c r="OJ54" s="556"/>
      <c r="OK54" s="556"/>
      <c r="OL54" s="556"/>
      <c r="OM54" s="556"/>
      <c r="ON54" s="556"/>
      <c r="OO54" s="556"/>
      <c r="OP54" s="556"/>
      <c r="OQ54" s="556"/>
      <c r="OR54" s="556"/>
      <c r="OS54" s="556"/>
      <c r="OT54" s="556"/>
      <c r="OU54" s="556"/>
      <c r="OV54" s="556"/>
      <c r="OW54" s="556"/>
      <c r="OX54" s="556"/>
      <c r="OY54" s="556"/>
      <c r="OZ54" s="556"/>
      <c r="PA54" s="556"/>
      <c r="PB54" s="556"/>
      <c r="PC54" s="556"/>
      <c r="PD54" s="556"/>
      <c r="PE54" s="556"/>
      <c r="PF54" s="556"/>
      <c r="PG54" s="556"/>
      <c r="PH54" s="556"/>
      <c r="PI54" s="556"/>
      <c r="PJ54" s="556"/>
      <c r="PK54" s="556"/>
      <c r="PL54" s="556"/>
      <c r="PM54" s="556"/>
      <c r="PN54" s="556"/>
      <c r="PO54" s="556"/>
      <c r="PP54" s="556"/>
      <c r="PQ54" s="556"/>
      <c r="PR54" s="556"/>
      <c r="PS54" s="556"/>
      <c r="PT54" s="556"/>
      <c r="PU54" s="556"/>
      <c r="PV54" s="556"/>
      <c r="PW54" s="556"/>
      <c r="PX54" s="556"/>
      <c r="PY54" s="556"/>
      <c r="PZ54" s="556"/>
      <c r="QA54" s="556"/>
      <c r="QB54" s="556"/>
      <c r="QC54" s="556"/>
      <c r="QD54" s="556"/>
      <c r="QE54" s="556"/>
      <c r="QF54" s="556"/>
      <c r="QG54" s="556"/>
      <c r="QH54" s="556"/>
      <c r="QI54" s="556"/>
      <c r="QJ54" s="556"/>
      <c r="QK54" s="556"/>
      <c r="QL54" s="556"/>
      <c r="QM54" s="556"/>
      <c r="QN54" s="556"/>
      <c r="QO54" s="556"/>
      <c r="QP54" s="556"/>
      <c r="QQ54" s="556"/>
      <c r="QR54" s="556"/>
      <c r="QS54" s="556"/>
      <c r="QT54" s="556"/>
      <c r="QU54" s="556"/>
      <c r="QV54" s="556"/>
      <c r="QW54" s="556"/>
      <c r="QX54" s="556"/>
      <c r="QY54" s="556"/>
      <c r="QZ54" s="556"/>
      <c r="RA54" s="556"/>
      <c r="RB54" s="556"/>
      <c r="RC54" s="556"/>
      <c r="RD54" s="556"/>
      <c r="RE54" s="556"/>
      <c r="RF54" s="556"/>
      <c r="RG54" s="556"/>
      <c r="RH54" s="556"/>
      <c r="RI54" s="556"/>
      <c r="RJ54" s="556"/>
      <c r="RK54" s="556"/>
      <c r="RL54" s="556"/>
      <c r="RM54" s="556"/>
      <c r="RN54" s="556"/>
      <c r="RO54" s="556"/>
      <c r="RP54" s="556"/>
      <c r="RQ54" s="556"/>
      <c r="RR54" s="556"/>
      <c r="RS54" s="556"/>
      <c r="RT54" s="556"/>
      <c r="RU54" s="556"/>
      <c r="RV54" s="556"/>
      <c r="RW54" s="556"/>
      <c r="RX54" s="556"/>
      <c r="RY54" s="556"/>
      <c r="RZ54" s="556"/>
      <c r="SA54" s="556"/>
      <c r="SB54" s="556"/>
      <c r="SC54" s="556"/>
      <c r="SD54" s="556"/>
      <c r="SE54" s="556"/>
      <c r="SF54" s="556"/>
      <c r="SG54" s="556"/>
      <c r="SH54" s="556"/>
      <c r="SI54" s="556"/>
      <c r="SJ54" s="556"/>
      <c r="SK54" s="556"/>
      <c r="SL54" s="556"/>
      <c r="SM54" s="556"/>
      <c r="SN54" s="556"/>
      <c r="SO54" s="556"/>
      <c r="SP54" s="556"/>
      <c r="SQ54" s="556"/>
      <c r="SR54" s="556"/>
      <c r="SS54" s="556"/>
      <c r="ST54" s="556"/>
      <c r="SU54" s="556"/>
      <c r="SV54" s="556"/>
      <c r="SW54" s="556"/>
      <c r="SX54" s="556"/>
      <c r="SY54" s="556"/>
      <c r="SZ54" s="556"/>
      <c r="TA54" s="556"/>
      <c r="TB54" s="556"/>
      <c r="TC54" s="556"/>
      <c r="TD54" s="556"/>
      <c r="TE54" s="556"/>
      <c r="TF54" s="556"/>
      <c r="TG54" s="556"/>
      <c r="TH54" s="556"/>
      <c r="TI54" s="556"/>
      <c r="TJ54" s="556"/>
      <c r="TK54" s="556"/>
      <c r="TL54" s="556"/>
      <c r="TM54" s="556"/>
      <c r="TN54" s="556"/>
      <c r="TO54" s="556"/>
      <c r="TP54" s="556"/>
      <c r="TQ54" s="556"/>
      <c r="TR54" s="556"/>
      <c r="TS54" s="556"/>
      <c r="TT54" s="556"/>
      <c r="TU54" s="556"/>
      <c r="TV54" s="556"/>
      <c r="TW54" s="556"/>
      <c r="TX54" s="556"/>
      <c r="TY54" s="556"/>
      <c r="TZ54" s="556"/>
      <c r="UA54" s="556"/>
      <c r="UB54" s="556"/>
      <c r="UC54" s="556"/>
      <c r="UD54" s="556"/>
      <c r="UE54" s="556"/>
      <c r="UF54" s="556"/>
      <c r="UG54" s="556"/>
      <c r="UH54" s="556"/>
      <c r="UI54" s="556"/>
      <c r="UJ54" s="556"/>
      <c r="UK54" s="556"/>
      <c r="UL54" s="556"/>
      <c r="UM54" s="556"/>
      <c r="UN54" s="556"/>
      <c r="UO54" s="556"/>
      <c r="UP54" s="556"/>
      <c r="UQ54" s="556"/>
      <c r="UR54" s="556"/>
      <c r="US54" s="556"/>
      <c r="UT54" s="556"/>
      <c r="UU54" s="556"/>
      <c r="UV54" s="556"/>
      <c r="UW54" s="556"/>
      <c r="UX54" s="556"/>
      <c r="UY54" s="556"/>
      <c r="UZ54" s="556"/>
      <c r="VA54" s="556"/>
      <c r="VB54" s="556"/>
      <c r="VC54" s="556"/>
      <c r="VD54" s="556"/>
      <c r="VE54" s="556"/>
      <c r="VF54" s="556"/>
      <c r="VG54" s="556"/>
      <c r="VH54" s="556"/>
      <c r="VI54" s="556"/>
      <c r="VJ54" s="556"/>
      <c r="VK54" s="556"/>
      <c r="VL54" s="556"/>
      <c r="VM54" s="556"/>
      <c r="VN54" s="556"/>
      <c r="VO54" s="556"/>
      <c r="VP54" s="556"/>
      <c r="VQ54" s="556"/>
      <c r="VR54" s="556"/>
      <c r="VS54" s="556"/>
      <c r="VT54" s="556"/>
      <c r="VU54" s="556"/>
      <c r="VV54" s="556"/>
      <c r="VW54" s="556"/>
      <c r="VX54" s="556"/>
      <c r="VY54" s="556"/>
      <c r="VZ54" s="556"/>
      <c r="WA54" s="556"/>
      <c r="WB54" s="556"/>
      <c r="WC54" s="556"/>
      <c r="WD54" s="556"/>
      <c r="WE54" s="556"/>
      <c r="WF54" s="556"/>
      <c r="WG54" s="556"/>
      <c r="WH54" s="556"/>
      <c r="WI54" s="556"/>
      <c r="WJ54" s="556"/>
      <c r="WK54" s="556"/>
      <c r="WL54" s="556"/>
      <c r="WM54" s="556"/>
      <c r="WN54" s="556"/>
      <c r="WO54" s="556"/>
      <c r="WP54" s="556"/>
      <c r="WQ54" s="556"/>
      <c r="WR54" s="556"/>
      <c r="WS54" s="556"/>
      <c r="WT54" s="556"/>
      <c r="WU54" s="556"/>
      <c r="WV54" s="556"/>
      <c r="WW54" s="556"/>
      <c r="WX54" s="556"/>
      <c r="WY54" s="556"/>
      <c r="WZ54" s="556"/>
      <c r="XA54" s="556"/>
      <c r="XB54" s="556"/>
      <c r="XC54" s="556"/>
      <c r="XD54" s="556"/>
      <c r="XE54" s="556"/>
      <c r="XF54" s="556"/>
      <c r="XG54" s="556"/>
      <c r="XH54" s="556"/>
      <c r="XI54" s="556"/>
      <c r="XJ54" s="556"/>
      <c r="XK54" s="556"/>
      <c r="XL54" s="556"/>
      <c r="XM54" s="556"/>
      <c r="XN54" s="556"/>
      <c r="XO54" s="556"/>
      <c r="XP54" s="556"/>
      <c r="XQ54" s="556"/>
      <c r="XR54" s="556"/>
      <c r="XS54" s="556"/>
      <c r="XT54" s="556"/>
      <c r="XU54" s="556"/>
      <c r="XV54" s="556"/>
      <c r="XW54" s="556"/>
      <c r="XX54" s="556"/>
      <c r="XY54" s="556"/>
      <c r="XZ54" s="556"/>
      <c r="YA54" s="556"/>
      <c r="YB54" s="556"/>
      <c r="YC54" s="556"/>
      <c r="YD54" s="556"/>
      <c r="YE54" s="556"/>
      <c r="YF54" s="556"/>
      <c r="YG54" s="556"/>
      <c r="YH54" s="556"/>
      <c r="YI54" s="556"/>
      <c r="YJ54" s="556"/>
      <c r="YK54" s="556"/>
      <c r="YL54" s="556"/>
      <c r="YM54" s="556"/>
      <c r="YN54" s="556"/>
      <c r="YO54" s="556"/>
      <c r="YP54" s="556"/>
      <c r="YQ54" s="556"/>
      <c r="YR54" s="556"/>
      <c r="YS54" s="556"/>
      <c r="YT54" s="556"/>
      <c r="YU54" s="556"/>
      <c r="YV54" s="556"/>
      <c r="YW54" s="556"/>
      <c r="YX54" s="556"/>
      <c r="YY54" s="556"/>
      <c r="YZ54" s="556"/>
      <c r="ZA54" s="556"/>
      <c r="ZB54" s="556"/>
      <c r="ZC54" s="556"/>
      <c r="ZD54" s="556"/>
      <c r="ZE54" s="556"/>
      <c r="ZF54" s="556"/>
      <c r="ZG54" s="556"/>
      <c r="ZH54" s="556"/>
      <c r="ZI54" s="556"/>
      <c r="ZJ54" s="556"/>
      <c r="ZK54" s="556"/>
      <c r="ZL54" s="556"/>
      <c r="ZM54" s="556"/>
      <c r="ZN54" s="556"/>
      <c r="ZO54" s="556"/>
      <c r="ZP54" s="556"/>
      <c r="ZQ54" s="556"/>
      <c r="ZR54" s="556"/>
      <c r="ZS54" s="556"/>
      <c r="ZT54" s="556"/>
      <c r="ZU54" s="556"/>
      <c r="ZV54" s="556"/>
      <c r="ZW54" s="556"/>
      <c r="ZX54" s="556"/>
      <c r="ZY54" s="556"/>
      <c r="ZZ54" s="556"/>
      <c r="AAA54" s="556"/>
      <c r="AAB54" s="556"/>
      <c r="AAC54" s="556"/>
      <c r="AAD54" s="556"/>
      <c r="AAE54" s="556"/>
      <c r="AAF54" s="556"/>
      <c r="AAG54" s="556"/>
      <c r="AAH54" s="556"/>
      <c r="AAI54" s="556"/>
      <c r="AAJ54" s="556"/>
      <c r="AAK54" s="556"/>
      <c r="AAL54" s="556"/>
      <c r="AAM54" s="556"/>
      <c r="AAN54" s="556"/>
      <c r="AAO54" s="556"/>
      <c r="AAP54" s="556"/>
      <c r="AAQ54" s="556"/>
      <c r="AAR54" s="556"/>
      <c r="AAS54" s="556"/>
      <c r="AAT54" s="556"/>
      <c r="AAU54" s="556"/>
      <c r="AAV54" s="556"/>
      <c r="AAW54" s="556"/>
      <c r="AAX54" s="556"/>
      <c r="AAY54" s="556"/>
      <c r="AAZ54" s="556"/>
      <c r="ABA54" s="556"/>
      <c r="ABB54" s="556"/>
      <c r="ABC54" s="556"/>
      <c r="ABD54" s="556"/>
      <c r="ABE54" s="556"/>
      <c r="ABF54" s="556"/>
      <c r="ABG54" s="556"/>
      <c r="ABH54" s="556"/>
      <c r="ABI54" s="556"/>
      <c r="ABJ54" s="556"/>
      <c r="ABK54" s="556"/>
      <c r="ABL54" s="556"/>
      <c r="ABM54" s="556"/>
      <c r="ABN54" s="556"/>
      <c r="ABO54" s="556"/>
      <c r="ABP54" s="556"/>
      <c r="ABQ54" s="556"/>
      <c r="ABR54" s="556"/>
      <c r="ABS54" s="556"/>
      <c r="ABT54" s="556"/>
      <c r="ABU54" s="556"/>
      <c r="ABV54" s="556"/>
      <c r="ABW54" s="556"/>
      <c r="ABX54" s="556"/>
      <c r="ABY54" s="556"/>
      <c r="ABZ54" s="556"/>
      <c r="ACA54" s="556"/>
      <c r="ACB54" s="556"/>
      <c r="ACC54" s="556"/>
      <c r="ACD54" s="556"/>
      <c r="ACE54" s="556"/>
      <c r="ACF54" s="556"/>
      <c r="ACG54" s="556"/>
      <c r="ACH54" s="556"/>
      <c r="ACI54" s="556"/>
      <c r="ACJ54" s="556"/>
      <c r="ACK54" s="556"/>
      <c r="ACL54" s="556"/>
      <c r="ACM54" s="556"/>
      <c r="ACN54" s="556"/>
      <c r="ACO54" s="556"/>
      <c r="ACP54" s="556"/>
      <c r="ACQ54" s="556"/>
      <c r="ACR54" s="556"/>
      <c r="ACS54" s="556"/>
      <c r="ACT54" s="556"/>
      <c r="ACU54" s="556"/>
      <c r="ACV54" s="556"/>
      <c r="ACW54" s="556"/>
      <c r="ACX54" s="556"/>
      <c r="ACY54" s="556"/>
      <c r="ACZ54" s="556"/>
      <c r="ADA54" s="556"/>
      <c r="ADB54" s="556"/>
      <c r="ADC54" s="556"/>
      <c r="ADD54" s="556"/>
      <c r="ADE54" s="556"/>
      <c r="ADF54" s="556"/>
      <c r="ADG54" s="556"/>
      <c r="ADH54" s="556"/>
      <c r="ADI54" s="556"/>
      <c r="ADJ54" s="556"/>
      <c r="ADK54" s="556"/>
      <c r="ADL54" s="556"/>
      <c r="ADM54" s="556"/>
      <c r="ADN54" s="556"/>
      <c r="ADO54" s="556"/>
      <c r="ADP54" s="556"/>
      <c r="ADQ54" s="556"/>
      <c r="ADR54" s="556"/>
      <c r="ADS54" s="556"/>
      <c r="ADT54" s="556"/>
      <c r="ADU54" s="556"/>
      <c r="ADV54" s="556"/>
      <c r="ADW54" s="556"/>
      <c r="ADX54" s="556"/>
      <c r="ADY54" s="556"/>
      <c r="ADZ54" s="556"/>
      <c r="AEA54" s="556"/>
      <c r="AEB54" s="556"/>
      <c r="AEC54" s="556"/>
      <c r="AED54" s="556"/>
      <c r="AEE54" s="556"/>
      <c r="AEF54" s="556"/>
      <c r="AEG54" s="556"/>
      <c r="AEH54" s="556"/>
      <c r="AEI54" s="556"/>
      <c r="AEJ54" s="556"/>
      <c r="AEK54" s="556"/>
      <c r="AEL54" s="556"/>
      <c r="AEM54" s="556"/>
      <c r="AEN54" s="556"/>
      <c r="AEO54" s="556"/>
      <c r="AEP54" s="556"/>
      <c r="AEQ54" s="556"/>
      <c r="AER54" s="556"/>
      <c r="AES54" s="556"/>
      <c r="AET54" s="556"/>
      <c r="AEU54" s="556"/>
      <c r="AEV54" s="556"/>
      <c r="AEW54" s="556"/>
      <c r="AEX54" s="556"/>
      <c r="AEY54" s="556"/>
      <c r="AEZ54" s="556"/>
      <c r="AFA54" s="556"/>
      <c r="AFB54" s="556"/>
      <c r="AFC54" s="556"/>
      <c r="AFD54" s="556"/>
      <c r="AFE54" s="556"/>
      <c r="AFF54" s="556"/>
      <c r="AFG54" s="556"/>
      <c r="AFH54" s="556"/>
      <c r="AFI54" s="556"/>
      <c r="AFJ54" s="556"/>
      <c r="AFK54" s="556"/>
      <c r="AFL54" s="556"/>
      <c r="AFM54" s="556"/>
      <c r="AFN54" s="556"/>
      <c r="AFO54" s="556"/>
      <c r="AFP54" s="556"/>
      <c r="AFQ54" s="556"/>
      <c r="AFR54" s="556"/>
      <c r="AFS54" s="556"/>
      <c r="AFT54" s="556"/>
      <c r="AFU54" s="556"/>
      <c r="AFV54" s="556"/>
      <c r="AFW54" s="556"/>
      <c r="AFX54" s="556"/>
      <c r="AFY54" s="556"/>
      <c r="AFZ54" s="556"/>
      <c r="AGA54" s="556"/>
      <c r="AGB54" s="556"/>
      <c r="AGC54" s="556"/>
      <c r="AGD54" s="556"/>
      <c r="AGE54" s="556"/>
      <c r="AGF54" s="556"/>
      <c r="AGG54" s="556"/>
      <c r="AGH54" s="556"/>
      <c r="AGI54" s="556"/>
      <c r="AGJ54" s="556"/>
      <c r="AGK54" s="556"/>
      <c r="AGL54" s="556"/>
      <c r="AGM54" s="556"/>
      <c r="AGN54" s="556"/>
      <c r="AGO54" s="556"/>
      <c r="AGP54" s="556"/>
      <c r="AGQ54" s="556"/>
      <c r="AGR54" s="556"/>
      <c r="AGS54" s="556"/>
      <c r="AGT54" s="556"/>
      <c r="AGU54" s="556"/>
      <c r="AGV54" s="556"/>
      <c r="AGW54" s="556"/>
      <c r="AGX54" s="556"/>
      <c r="AGY54" s="556"/>
      <c r="AGZ54" s="556"/>
      <c r="AHA54" s="556"/>
      <c r="AHB54" s="556"/>
      <c r="AHC54" s="556"/>
      <c r="AHD54" s="556"/>
      <c r="AHE54" s="556"/>
      <c r="AHF54" s="556"/>
      <c r="AHG54" s="556"/>
      <c r="AHH54" s="556"/>
      <c r="AHI54" s="556"/>
      <c r="AHJ54" s="556"/>
      <c r="AHK54" s="556"/>
      <c r="AHL54" s="556"/>
      <c r="AHM54" s="556"/>
      <c r="AHN54" s="556"/>
      <c r="AHO54" s="556"/>
      <c r="AHP54" s="556"/>
      <c r="AHQ54" s="556"/>
      <c r="AHR54" s="556"/>
      <c r="AHS54" s="556"/>
      <c r="AHT54" s="556"/>
      <c r="AHU54" s="556"/>
      <c r="AHV54" s="556"/>
      <c r="AHW54" s="556"/>
      <c r="AHX54" s="556"/>
      <c r="AHY54" s="556"/>
      <c r="AHZ54" s="556"/>
      <c r="AIA54" s="556"/>
      <c r="AIB54" s="556"/>
      <c r="AIC54" s="556"/>
      <c r="AID54" s="556"/>
      <c r="AIE54" s="556"/>
      <c r="AIF54" s="556"/>
      <c r="AIG54" s="556"/>
      <c r="AIH54" s="556"/>
      <c r="AII54" s="556"/>
      <c r="AIJ54" s="556"/>
      <c r="AIK54" s="556"/>
      <c r="AIL54" s="556"/>
      <c r="AIM54" s="556"/>
      <c r="AIN54" s="556"/>
      <c r="AIO54" s="556"/>
      <c r="AIP54" s="556"/>
      <c r="AIQ54" s="556"/>
      <c r="AIR54" s="556"/>
      <c r="AIS54" s="556"/>
      <c r="AIT54" s="556"/>
      <c r="AIU54" s="556"/>
      <c r="AIV54" s="556"/>
      <c r="AIW54" s="556"/>
      <c r="AIX54" s="556"/>
      <c r="AIY54" s="556"/>
      <c r="AIZ54" s="556"/>
      <c r="AJA54" s="556"/>
      <c r="AJB54" s="556"/>
      <c r="AJC54" s="556"/>
      <c r="AJD54" s="556"/>
      <c r="AJE54" s="556"/>
      <c r="AJF54" s="556"/>
      <c r="AJG54" s="556"/>
      <c r="AJH54" s="556"/>
      <c r="AJI54" s="556"/>
      <c r="AJJ54" s="556"/>
      <c r="AJK54" s="556"/>
      <c r="AJL54" s="556"/>
      <c r="AJM54" s="556"/>
      <c r="AJN54" s="556"/>
      <c r="AJO54" s="556"/>
      <c r="AJP54" s="556"/>
      <c r="AJQ54" s="556"/>
      <c r="AJR54" s="556"/>
      <c r="AJS54" s="556"/>
      <c r="AJT54" s="556"/>
      <c r="AJU54" s="556"/>
      <c r="AJV54" s="556"/>
      <c r="AJW54" s="556"/>
      <c r="AJX54" s="556"/>
      <c r="AJY54" s="556"/>
      <c r="AJZ54" s="556"/>
      <c r="AKA54" s="556"/>
      <c r="AKB54" s="556"/>
      <c r="AKC54" s="556"/>
      <c r="AKD54" s="556"/>
      <c r="AKE54" s="556"/>
      <c r="AKF54" s="556"/>
      <c r="AKG54" s="556"/>
      <c r="AKH54" s="556"/>
      <c r="AKI54" s="556"/>
      <c r="AKJ54" s="556"/>
      <c r="AKK54" s="556"/>
      <c r="AKL54" s="556"/>
      <c r="AKM54" s="556"/>
      <c r="AKN54" s="556"/>
      <c r="AKO54" s="556"/>
      <c r="AKP54" s="556"/>
      <c r="AKQ54" s="556"/>
      <c r="AKR54" s="556"/>
      <c r="AKS54" s="556"/>
      <c r="AKT54" s="556"/>
      <c r="AKU54" s="556"/>
      <c r="AKV54" s="556"/>
      <c r="AKW54" s="556"/>
      <c r="AKX54" s="556"/>
      <c r="AKY54" s="556"/>
      <c r="AKZ54" s="556"/>
      <c r="ALA54" s="556"/>
      <c r="ALB54" s="556"/>
      <c r="ALC54" s="556"/>
      <c r="ALD54" s="556"/>
      <c r="ALE54" s="556"/>
      <c r="ALF54" s="556"/>
      <c r="ALG54" s="556"/>
      <c r="ALH54" s="556"/>
      <c r="ALI54" s="556"/>
      <c r="ALJ54" s="556"/>
      <c r="ALK54" s="556"/>
      <c r="ALL54" s="556"/>
      <c r="ALM54" s="556"/>
      <c r="ALN54" s="556"/>
      <c r="ALO54" s="556"/>
      <c r="ALP54" s="556"/>
      <c r="ALQ54" s="556"/>
      <c r="ALR54" s="556"/>
      <c r="ALS54" s="556"/>
      <c r="ALT54" s="556"/>
      <c r="ALU54" s="556"/>
      <c r="ALV54" s="556"/>
      <c r="ALW54" s="556"/>
      <c r="ALX54" s="556"/>
      <c r="ALY54" s="556"/>
      <c r="ALZ54" s="556"/>
      <c r="AMA54" s="556"/>
      <c r="AMB54" s="556"/>
      <c r="AMC54" s="556"/>
      <c r="AMD54" s="556"/>
      <c r="AME54" s="556"/>
      <c r="AMF54" s="556"/>
      <c r="AMG54" s="556"/>
      <c r="AMH54" s="556"/>
      <c r="AMI54" s="556"/>
      <c r="AMJ54" s="556"/>
      <c r="AMK54" s="556"/>
      <c r="AML54" s="556"/>
      <c r="AMM54" s="556"/>
      <c r="AMN54" s="556"/>
      <c r="AMO54" s="556"/>
      <c r="AMP54" s="556"/>
      <c r="AMQ54" s="556"/>
      <c r="AMR54" s="556"/>
      <c r="AMS54" s="556"/>
      <c r="AMT54" s="556"/>
      <c r="AMU54" s="556"/>
      <c r="AMV54" s="556"/>
      <c r="AMW54" s="556"/>
      <c r="AMX54" s="556"/>
      <c r="AMY54" s="556"/>
      <c r="AMZ54" s="556"/>
      <c r="ANA54" s="556"/>
      <c r="ANB54" s="556"/>
      <c r="ANC54" s="556"/>
      <c r="AND54" s="556"/>
      <c r="ANE54" s="556"/>
      <c r="ANF54" s="556"/>
      <c r="ANG54" s="556"/>
      <c r="ANH54" s="556"/>
      <c r="ANI54" s="556"/>
      <c r="ANJ54" s="556"/>
      <c r="ANK54" s="556"/>
      <c r="ANL54" s="556"/>
      <c r="ANM54" s="556"/>
      <c r="ANN54" s="556"/>
      <c r="ANO54" s="556"/>
      <c r="ANP54" s="556"/>
      <c r="ANQ54" s="556"/>
      <c r="ANR54" s="556"/>
      <c r="ANS54" s="556"/>
      <c r="ANT54" s="556"/>
      <c r="ANU54" s="556"/>
      <c r="ANV54" s="556"/>
      <c r="ANW54" s="556"/>
      <c r="ANX54" s="556"/>
      <c r="ANY54" s="556"/>
      <c r="ANZ54" s="556"/>
      <c r="AOA54" s="556"/>
      <c r="AOB54" s="556"/>
      <c r="AOC54" s="556"/>
      <c r="AOD54" s="556"/>
      <c r="AOE54" s="556"/>
      <c r="AOF54" s="556"/>
      <c r="AOG54" s="556"/>
      <c r="AOH54" s="556"/>
      <c r="AOI54" s="556"/>
      <c r="AOJ54" s="556"/>
      <c r="AOK54" s="556"/>
      <c r="AOL54" s="556"/>
      <c r="AOM54" s="556"/>
      <c r="AON54" s="556"/>
      <c r="AOO54" s="556"/>
      <c r="AOP54" s="556"/>
      <c r="AOQ54" s="556"/>
      <c r="AOR54" s="556"/>
      <c r="AOS54" s="556"/>
      <c r="AOT54" s="556"/>
      <c r="AOU54" s="556"/>
      <c r="AOV54" s="556"/>
      <c r="AOW54" s="556"/>
      <c r="AOX54" s="556"/>
      <c r="AOY54" s="556"/>
      <c r="AOZ54" s="556"/>
      <c r="APA54" s="556"/>
      <c r="APB54" s="556"/>
      <c r="APC54" s="556"/>
      <c r="APD54" s="556"/>
      <c r="APE54" s="556"/>
      <c r="APF54" s="556"/>
      <c r="APG54" s="556"/>
      <c r="APH54" s="556"/>
      <c r="API54" s="556"/>
      <c r="APJ54" s="556"/>
      <c r="APK54" s="556"/>
      <c r="APL54" s="556"/>
      <c r="APM54" s="556"/>
      <c r="APN54" s="556"/>
      <c r="APO54" s="556"/>
      <c r="APP54" s="556"/>
      <c r="APQ54" s="556"/>
      <c r="APR54" s="556"/>
      <c r="APS54" s="556"/>
      <c r="APT54" s="556"/>
      <c r="APU54" s="556"/>
      <c r="APV54" s="556"/>
      <c r="APW54" s="556"/>
      <c r="APX54" s="556"/>
      <c r="APY54" s="556"/>
      <c r="APZ54" s="556"/>
      <c r="AQA54" s="556"/>
      <c r="AQB54" s="556"/>
      <c r="AQC54" s="556"/>
      <c r="AQD54" s="556"/>
      <c r="AQE54" s="556"/>
      <c r="AQF54" s="556"/>
      <c r="AQG54" s="556"/>
      <c r="AQH54" s="556"/>
      <c r="AQI54" s="556"/>
      <c r="AQJ54" s="556"/>
      <c r="AQK54" s="556"/>
      <c r="AQL54" s="556"/>
      <c r="AQM54" s="556"/>
      <c r="AQN54" s="556"/>
      <c r="AQO54" s="556"/>
      <c r="AQP54" s="556"/>
      <c r="AQQ54" s="556"/>
      <c r="AQR54" s="556"/>
      <c r="AQS54" s="556"/>
      <c r="AQT54" s="556"/>
      <c r="AQU54" s="556"/>
      <c r="AQV54" s="556"/>
      <c r="AQW54" s="556"/>
      <c r="AQX54" s="556"/>
      <c r="AQY54" s="556"/>
      <c r="AQZ54" s="556"/>
      <c r="ARA54" s="556"/>
      <c r="ARB54" s="556"/>
      <c r="ARC54" s="556"/>
      <c r="ARD54" s="556"/>
      <c r="ARE54" s="556"/>
      <c r="ARF54" s="556"/>
      <c r="ARG54" s="556"/>
      <c r="ARH54" s="556"/>
      <c r="ARI54" s="556"/>
      <c r="ARJ54" s="556"/>
      <c r="ARK54" s="556"/>
      <c r="ARL54" s="556"/>
      <c r="ARM54" s="556"/>
      <c r="ARN54" s="556"/>
      <c r="ARO54" s="556"/>
      <c r="ARP54" s="556"/>
      <c r="ARQ54" s="556"/>
      <c r="ARR54" s="556"/>
      <c r="ARS54" s="556"/>
      <c r="ART54" s="556"/>
      <c r="ARU54" s="556"/>
      <c r="ARV54" s="556"/>
      <c r="ARW54" s="556"/>
      <c r="ARX54" s="556"/>
      <c r="ARY54" s="556"/>
      <c r="ARZ54" s="556"/>
      <c r="ASA54" s="556"/>
      <c r="ASB54" s="556"/>
      <c r="ASC54" s="556"/>
      <c r="ASD54" s="556"/>
      <c r="ASE54" s="556"/>
      <c r="ASF54" s="556"/>
      <c r="ASG54" s="556"/>
      <c r="ASH54" s="556"/>
      <c r="ASI54" s="556"/>
      <c r="ASJ54" s="556"/>
      <c r="ASK54" s="556"/>
      <c r="ASL54" s="556"/>
      <c r="ASM54" s="556"/>
      <c r="ASN54" s="556"/>
      <c r="ASO54" s="556"/>
      <c r="ASP54" s="556"/>
      <c r="ASQ54" s="556"/>
      <c r="ASR54" s="556"/>
      <c r="ASS54" s="556"/>
      <c r="AST54" s="556"/>
      <c r="ASU54" s="556"/>
      <c r="ASV54" s="556"/>
      <c r="ASW54" s="556"/>
      <c r="ASX54" s="556"/>
      <c r="ASY54" s="556"/>
      <c r="ASZ54" s="556"/>
      <c r="ATA54" s="556"/>
      <c r="ATB54" s="556"/>
      <c r="ATC54" s="556"/>
      <c r="ATD54" s="556"/>
      <c r="ATE54" s="556"/>
      <c r="ATF54" s="556"/>
      <c r="ATG54" s="556"/>
      <c r="ATH54" s="556"/>
      <c r="ATI54" s="556"/>
      <c r="ATJ54" s="556"/>
      <c r="ATK54" s="556"/>
      <c r="ATL54" s="556"/>
      <c r="ATM54" s="556"/>
      <c r="ATN54" s="556"/>
      <c r="ATO54" s="556"/>
      <c r="ATP54" s="556"/>
      <c r="ATQ54" s="556"/>
      <c r="ATR54" s="556"/>
      <c r="ATS54" s="556"/>
      <c r="ATT54" s="556"/>
      <c r="ATU54" s="556"/>
      <c r="ATV54" s="556"/>
      <c r="ATW54" s="556"/>
      <c r="ATX54" s="556"/>
      <c r="ATY54" s="556"/>
      <c r="ATZ54" s="556"/>
      <c r="AUA54" s="556"/>
      <c r="AUB54" s="556"/>
      <c r="AUC54" s="556"/>
      <c r="AUD54" s="556"/>
      <c r="AUE54" s="556"/>
      <c r="AUF54" s="556"/>
      <c r="AUG54" s="556"/>
      <c r="AUH54" s="556"/>
      <c r="AUI54" s="556"/>
      <c r="AUJ54" s="556"/>
      <c r="AUK54" s="556"/>
      <c r="AUL54" s="556"/>
      <c r="AUM54" s="556"/>
      <c r="AUN54" s="556"/>
      <c r="AUO54" s="556"/>
      <c r="AUP54" s="556"/>
      <c r="AUQ54" s="556"/>
      <c r="AUR54" s="556"/>
      <c r="AUS54" s="556"/>
      <c r="AUT54" s="556"/>
      <c r="AUU54" s="556"/>
      <c r="AUV54" s="556"/>
      <c r="AUW54" s="556"/>
      <c r="AUX54" s="556"/>
      <c r="AUY54" s="556"/>
      <c r="AUZ54" s="556"/>
      <c r="AVA54" s="556"/>
      <c r="AVB54" s="556"/>
      <c r="AVC54" s="556"/>
      <c r="AVD54" s="556"/>
      <c r="AVE54" s="556"/>
      <c r="AVF54" s="556"/>
      <c r="AVG54" s="556"/>
      <c r="AVH54" s="556"/>
      <c r="AVI54" s="556"/>
      <c r="AVJ54" s="556"/>
      <c r="AVK54" s="556"/>
      <c r="AVL54" s="556"/>
      <c r="AVM54" s="556"/>
      <c r="AVN54" s="556"/>
      <c r="AVO54" s="556"/>
      <c r="AVP54" s="556"/>
      <c r="AVQ54" s="556"/>
      <c r="AVR54" s="556"/>
      <c r="AVS54" s="556"/>
      <c r="AVT54" s="556"/>
      <c r="AVU54" s="556"/>
      <c r="AVV54" s="556"/>
      <c r="AVW54" s="556"/>
      <c r="AVX54" s="556"/>
      <c r="AVY54" s="556"/>
      <c r="AVZ54" s="556"/>
      <c r="AWA54" s="556"/>
      <c r="AWB54" s="556"/>
      <c r="AWC54" s="556"/>
      <c r="AWD54" s="556"/>
      <c r="AWE54" s="556"/>
      <c r="AWF54" s="556"/>
      <c r="AWG54" s="556"/>
      <c r="AWH54" s="556"/>
      <c r="AWI54" s="556"/>
      <c r="AWJ54" s="556"/>
      <c r="AWK54" s="556"/>
      <c r="AWL54" s="556"/>
      <c r="AWM54" s="556"/>
      <c r="AWN54" s="556"/>
      <c r="AWO54" s="556"/>
      <c r="AWP54" s="556"/>
      <c r="AWQ54" s="556"/>
      <c r="AWR54" s="556"/>
      <c r="AWS54" s="556"/>
      <c r="AWT54" s="556"/>
      <c r="AWU54" s="556"/>
      <c r="AWV54" s="556"/>
      <c r="AWW54" s="556"/>
      <c r="AWX54" s="556"/>
      <c r="AWY54" s="556"/>
      <c r="AWZ54" s="556"/>
      <c r="AXA54" s="556"/>
      <c r="AXB54" s="556"/>
      <c r="AXC54" s="556"/>
      <c r="AXD54" s="556"/>
      <c r="AXE54" s="556"/>
      <c r="AXF54" s="556"/>
      <c r="AXG54" s="556"/>
      <c r="AXH54" s="556"/>
      <c r="AXI54" s="556"/>
      <c r="AXJ54" s="556"/>
      <c r="AXK54" s="556"/>
      <c r="AXL54" s="556"/>
      <c r="AXM54" s="556"/>
      <c r="AXN54" s="556"/>
      <c r="AXO54" s="556"/>
      <c r="AXP54" s="556"/>
      <c r="AXQ54" s="556"/>
      <c r="AXR54" s="556"/>
      <c r="AXS54" s="556"/>
      <c r="AXT54" s="556"/>
      <c r="AXU54" s="556"/>
      <c r="AXV54" s="556"/>
      <c r="AXW54" s="556"/>
      <c r="AXX54" s="556"/>
      <c r="AXY54" s="556"/>
      <c r="AXZ54" s="556"/>
      <c r="AYA54" s="556"/>
      <c r="AYB54" s="556"/>
      <c r="AYC54" s="556"/>
      <c r="AYD54" s="556"/>
      <c r="AYE54" s="556"/>
      <c r="AYF54" s="556"/>
      <c r="AYG54" s="556"/>
      <c r="AYH54" s="556"/>
      <c r="AYI54" s="556"/>
      <c r="AYJ54" s="556"/>
      <c r="AYK54" s="556"/>
      <c r="AYL54" s="556"/>
      <c r="AYM54" s="556"/>
      <c r="AYN54" s="556"/>
      <c r="AYO54" s="556"/>
      <c r="AYP54" s="556"/>
      <c r="AYQ54" s="556"/>
      <c r="AYR54" s="556"/>
      <c r="AYS54" s="556"/>
      <c r="AYT54" s="556"/>
      <c r="AYU54" s="556"/>
      <c r="AYV54" s="556"/>
      <c r="AYW54" s="556"/>
      <c r="AYX54" s="556"/>
      <c r="AYY54" s="556"/>
      <c r="AYZ54" s="556"/>
      <c r="AZA54" s="556"/>
      <c r="AZB54" s="556"/>
      <c r="AZC54" s="556"/>
      <c r="AZD54" s="556"/>
      <c r="AZE54" s="556"/>
      <c r="AZF54" s="556"/>
      <c r="AZG54" s="556"/>
      <c r="AZH54" s="556"/>
      <c r="AZI54" s="556"/>
      <c r="AZJ54" s="556"/>
      <c r="AZK54" s="556"/>
      <c r="AZL54" s="556"/>
      <c r="AZM54" s="556"/>
      <c r="AZN54" s="556"/>
      <c r="AZO54" s="556"/>
      <c r="AZP54" s="556"/>
      <c r="AZQ54" s="556"/>
      <c r="AZR54" s="556"/>
      <c r="AZS54" s="556"/>
      <c r="AZT54" s="556"/>
      <c r="AZU54" s="556"/>
      <c r="AZV54" s="556"/>
      <c r="AZW54" s="556"/>
      <c r="AZX54" s="556"/>
      <c r="AZY54" s="556"/>
      <c r="AZZ54" s="556"/>
      <c r="BAA54" s="556"/>
      <c r="BAB54" s="556"/>
      <c r="BAC54" s="556"/>
      <c r="BAD54" s="556"/>
      <c r="BAE54" s="556"/>
      <c r="BAF54" s="556"/>
      <c r="BAG54" s="556"/>
      <c r="BAH54" s="556"/>
      <c r="BAI54" s="556"/>
      <c r="BAJ54" s="556"/>
      <c r="BAK54" s="556"/>
      <c r="BAL54" s="556"/>
      <c r="BAM54" s="556"/>
      <c r="BAN54" s="556"/>
      <c r="BAO54" s="556"/>
      <c r="BAP54" s="556"/>
      <c r="BAQ54" s="556"/>
      <c r="BAR54" s="556"/>
      <c r="BAS54" s="556"/>
      <c r="BAT54" s="556"/>
      <c r="BAU54" s="556"/>
      <c r="BAV54" s="556"/>
      <c r="BAW54" s="556"/>
      <c r="BAX54" s="556"/>
      <c r="BAY54" s="556"/>
      <c r="BAZ54" s="556"/>
      <c r="BBA54" s="556"/>
      <c r="BBB54" s="556"/>
      <c r="BBC54" s="556"/>
      <c r="BBD54" s="556"/>
      <c r="BBE54" s="556"/>
      <c r="BBF54" s="556"/>
      <c r="BBG54" s="556"/>
      <c r="BBH54" s="556"/>
      <c r="BBI54" s="556"/>
      <c r="BBJ54" s="556"/>
      <c r="BBK54" s="556"/>
      <c r="BBL54" s="556"/>
      <c r="BBM54" s="556"/>
      <c r="BBN54" s="556"/>
      <c r="BBO54" s="556"/>
      <c r="BBP54" s="556"/>
      <c r="BBQ54" s="556"/>
      <c r="BBR54" s="556"/>
      <c r="BBS54" s="556"/>
      <c r="BBT54" s="556"/>
      <c r="BBU54" s="556"/>
      <c r="BBV54" s="556"/>
      <c r="BBW54" s="556"/>
      <c r="BBX54" s="556"/>
      <c r="BBY54" s="556"/>
      <c r="BBZ54" s="556"/>
      <c r="BCA54" s="556"/>
      <c r="BCB54" s="556"/>
      <c r="BCC54" s="556"/>
      <c r="BCD54" s="556"/>
      <c r="BCE54" s="556"/>
      <c r="BCF54" s="556"/>
      <c r="BCG54" s="556"/>
      <c r="BCH54" s="556"/>
      <c r="BCI54" s="556"/>
      <c r="BCJ54" s="556"/>
      <c r="BCK54" s="556"/>
      <c r="BCL54" s="556"/>
      <c r="BCM54" s="556"/>
      <c r="BCN54" s="556"/>
      <c r="BCO54" s="556"/>
      <c r="BCP54" s="556"/>
      <c r="BCQ54" s="556"/>
      <c r="BCR54" s="556"/>
      <c r="BCS54" s="556"/>
      <c r="BCT54" s="556"/>
      <c r="BCU54" s="556"/>
      <c r="BCV54" s="556"/>
      <c r="BCW54" s="556"/>
      <c r="BCX54" s="556"/>
      <c r="BCY54" s="556"/>
      <c r="BCZ54" s="556"/>
      <c r="BDA54" s="556"/>
      <c r="BDB54" s="556"/>
      <c r="BDC54" s="556"/>
      <c r="BDD54" s="556"/>
      <c r="BDE54" s="556"/>
      <c r="BDF54" s="556"/>
      <c r="BDG54" s="556"/>
      <c r="BDH54" s="556"/>
      <c r="BDI54" s="556"/>
      <c r="BDJ54" s="556"/>
      <c r="BDK54" s="556"/>
      <c r="BDL54" s="556"/>
      <c r="BDM54" s="556"/>
      <c r="BDN54" s="556"/>
      <c r="BDO54" s="556"/>
      <c r="BDP54" s="556"/>
      <c r="BDQ54" s="556"/>
      <c r="BDR54" s="556"/>
      <c r="BDS54" s="556"/>
      <c r="BDT54" s="556"/>
      <c r="BDU54" s="556"/>
      <c r="BDV54" s="556"/>
      <c r="BDW54" s="556"/>
      <c r="BDX54" s="556"/>
      <c r="BDY54" s="556"/>
      <c r="BDZ54" s="556"/>
      <c r="BEA54" s="556"/>
      <c r="BEB54" s="556"/>
      <c r="BEC54" s="556"/>
      <c r="BED54" s="556"/>
      <c r="BEE54" s="556"/>
      <c r="BEF54" s="556"/>
      <c r="BEG54" s="556"/>
      <c r="BEH54" s="556"/>
      <c r="BEI54" s="556"/>
      <c r="BEJ54" s="556"/>
      <c r="BEK54" s="556"/>
      <c r="BEL54" s="556"/>
      <c r="BEM54" s="556"/>
      <c r="BEN54" s="556"/>
      <c r="BEO54" s="556"/>
      <c r="BEP54" s="556"/>
      <c r="BEQ54" s="556"/>
      <c r="BER54" s="556"/>
      <c r="BES54" s="556"/>
      <c r="BET54" s="556"/>
      <c r="BEU54" s="556"/>
      <c r="BEV54" s="556"/>
      <c r="BEW54" s="556"/>
      <c r="BEX54" s="556"/>
      <c r="BEY54" s="556"/>
      <c r="BEZ54" s="556"/>
      <c r="BFA54" s="556"/>
      <c r="BFB54" s="556"/>
      <c r="BFC54" s="556"/>
      <c r="BFD54" s="556"/>
      <c r="BFE54" s="556"/>
      <c r="BFF54" s="556"/>
      <c r="BFG54" s="556"/>
      <c r="BFH54" s="556"/>
      <c r="BFI54" s="556"/>
      <c r="BFJ54" s="556"/>
      <c r="BFK54" s="556"/>
      <c r="BFL54" s="556"/>
      <c r="BFM54" s="556"/>
      <c r="BFN54" s="556"/>
      <c r="BFO54" s="556"/>
      <c r="BFP54" s="556"/>
      <c r="BFQ54" s="556"/>
      <c r="BFR54" s="556"/>
      <c r="BFS54" s="556"/>
      <c r="BFT54" s="556"/>
      <c r="BFU54" s="556"/>
      <c r="BFV54" s="556"/>
      <c r="BFW54" s="556"/>
      <c r="BFX54" s="556"/>
      <c r="BFY54" s="556"/>
      <c r="BFZ54" s="556"/>
      <c r="BGA54" s="556"/>
      <c r="BGB54" s="556"/>
      <c r="BGC54" s="556"/>
      <c r="BGD54" s="556"/>
      <c r="BGE54" s="556"/>
      <c r="BGF54" s="556"/>
      <c r="BGG54" s="556"/>
      <c r="BGH54" s="556"/>
      <c r="BGI54" s="556"/>
      <c r="BGJ54" s="556"/>
      <c r="BGK54" s="556"/>
      <c r="BGL54" s="556"/>
      <c r="BGM54" s="556"/>
      <c r="BGN54" s="556"/>
      <c r="BGO54" s="556"/>
      <c r="BGP54" s="556"/>
      <c r="BGQ54" s="556"/>
      <c r="BGR54" s="556"/>
      <c r="BGS54" s="556"/>
      <c r="BGT54" s="556"/>
      <c r="BGU54" s="556"/>
      <c r="BGV54" s="556"/>
      <c r="BGW54" s="556"/>
      <c r="BGX54" s="556"/>
      <c r="BGY54" s="556"/>
      <c r="BGZ54" s="556"/>
      <c r="BHA54" s="556"/>
      <c r="BHB54" s="556"/>
      <c r="BHC54" s="556"/>
      <c r="BHD54" s="556"/>
      <c r="BHE54" s="556"/>
      <c r="BHF54" s="556"/>
      <c r="BHG54" s="556"/>
      <c r="BHH54" s="556"/>
      <c r="BHI54" s="556"/>
      <c r="BHJ54" s="556"/>
      <c r="BHK54" s="556"/>
      <c r="BHL54" s="556"/>
      <c r="BHM54" s="556"/>
      <c r="BHN54" s="556"/>
      <c r="BHO54" s="556"/>
      <c r="BHP54" s="556"/>
      <c r="BHQ54" s="556"/>
      <c r="BHR54" s="556"/>
      <c r="BHS54" s="556"/>
      <c r="BHT54" s="556"/>
      <c r="BHU54" s="556"/>
      <c r="BHV54" s="556"/>
      <c r="BHW54" s="556"/>
      <c r="BHX54" s="556"/>
      <c r="BHY54" s="556"/>
      <c r="BHZ54" s="556"/>
      <c r="BIA54" s="556"/>
      <c r="BIB54" s="556"/>
      <c r="BIC54" s="556"/>
      <c r="BID54" s="556"/>
      <c r="BIE54" s="556"/>
      <c r="BIF54" s="556"/>
      <c r="BIG54" s="556"/>
      <c r="BIH54" s="556"/>
      <c r="BII54" s="556"/>
      <c r="BIJ54" s="556"/>
      <c r="BIK54" s="556"/>
      <c r="BIL54" s="556"/>
      <c r="BIM54" s="556"/>
      <c r="BIN54" s="556"/>
      <c r="BIO54" s="556"/>
      <c r="BIP54" s="556"/>
      <c r="BIQ54" s="556"/>
      <c r="BIR54" s="556"/>
      <c r="BIS54" s="556"/>
      <c r="BIT54" s="556"/>
      <c r="BIU54" s="556"/>
      <c r="BIV54" s="556"/>
      <c r="BIW54" s="556"/>
      <c r="BIX54" s="556"/>
      <c r="BIY54" s="556"/>
      <c r="BIZ54" s="556"/>
      <c r="BJA54" s="556"/>
      <c r="BJB54" s="556"/>
      <c r="BJC54" s="556"/>
      <c r="BJD54" s="556"/>
      <c r="BJE54" s="556"/>
      <c r="BJF54" s="556"/>
      <c r="BJG54" s="556"/>
      <c r="BJH54" s="556"/>
      <c r="BJI54" s="556"/>
      <c r="BJJ54" s="556"/>
      <c r="BJK54" s="556"/>
      <c r="BJL54" s="556"/>
      <c r="BJM54" s="556"/>
      <c r="BJN54" s="556"/>
      <c r="BJO54" s="556"/>
      <c r="BJP54" s="556"/>
      <c r="BJQ54" s="556"/>
      <c r="BJR54" s="556"/>
      <c r="BJS54" s="556"/>
      <c r="BJT54" s="556"/>
      <c r="BJU54" s="556"/>
      <c r="BJV54" s="556"/>
      <c r="BJW54" s="556"/>
      <c r="BJX54" s="556"/>
      <c r="BJY54" s="556"/>
      <c r="BJZ54" s="556"/>
      <c r="BKA54" s="556"/>
      <c r="BKB54" s="556"/>
      <c r="BKC54" s="556"/>
      <c r="BKD54" s="556"/>
      <c r="BKE54" s="556"/>
      <c r="BKF54" s="556"/>
      <c r="BKG54" s="556"/>
      <c r="BKH54" s="556"/>
      <c r="BKI54" s="556"/>
      <c r="BKJ54" s="556"/>
      <c r="BKK54" s="556"/>
      <c r="BKL54" s="556"/>
      <c r="BKM54" s="556"/>
      <c r="BKN54" s="556"/>
      <c r="BKO54" s="556"/>
      <c r="BKP54" s="556"/>
      <c r="BKQ54" s="556"/>
      <c r="BKR54" s="556"/>
      <c r="BKS54" s="556"/>
      <c r="BKT54" s="556"/>
      <c r="BKU54" s="556"/>
      <c r="BKV54" s="556"/>
      <c r="BKW54" s="556"/>
      <c r="BKX54" s="556"/>
      <c r="BKY54" s="556"/>
      <c r="BKZ54" s="556"/>
      <c r="BLA54" s="556"/>
      <c r="BLB54" s="556"/>
      <c r="BLC54" s="556"/>
      <c r="BLD54" s="556"/>
      <c r="BLE54" s="556"/>
      <c r="BLF54" s="556"/>
      <c r="BLG54" s="556"/>
      <c r="BLH54" s="556"/>
      <c r="BLI54" s="556"/>
      <c r="BLJ54" s="556"/>
      <c r="BLK54" s="556"/>
      <c r="BLL54" s="556"/>
      <c r="BLM54" s="556"/>
      <c r="BLN54" s="556"/>
      <c r="BLO54" s="556"/>
      <c r="BLP54" s="556"/>
      <c r="BLQ54" s="556"/>
      <c r="BLR54" s="556"/>
      <c r="BLS54" s="556"/>
      <c r="BLT54" s="556"/>
      <c r="BLU54" s="556"/>
      <c r="BLV54" s="556"/>
      <c r="BLW54" s="556"/>
      <c r="BLX54" s="556"/>
      <c r="BLY54" s="556"/>
      <c r="BLZ54" s="556"/>
      <c r="BMA54" s="556"/>
      <c r="BMB54" s="556"/>
      <c r="BMC54" s="556"/>
      <c r="BMD54" s="556"/>
      <c r="BME54" s="556"/>
      <c r="BMF54" s="556"/>
      <c r="BMG54" s="556"/>
      <c r="BMH54" s="556"/>
      <c r="BMI54" s="556"/>
      <c r="BMJ54" s="556"/>
      <c r="BMK54" s="556"/>
      <c r="BML54" s="556"/>
      <c r="BMM54" s="556"/>
      <c r="BMN54" s="556"/>
      <c r="BMO54" s="556"/>
      <c r="BMP54" s="556"/>
      <c r="BMQ54" s="556"/>
      <c r="BMR54" s="556"/>
      <c r="BMS54" s="556"/>
      <c r="BMT54" s="556"/>
      <c r="BMU54" s="556"/>
      <c r="BMV54" s="556"/>
      <c r="BMW54" s="556"/>
      <c r="BMX54" s="556"/>
      <c r="BMY54" s="556"/>
      <c r="BMZ54" s="556"/>
      <c r="BNA54" s="556"/>
      <c r="BNB54" s="556"/>
      <c r="BNC54" s="556"/>
      <c r="BND54" s="556"/>
      <c r="BNE54" s="556"/>
      <c r="BNF54" s="556"/>
      <c r="BNG54" s="556"/>
      <c r="BNH54" s="556"/>
      <c r="BNI54" s="556"/>
      <c r="BNJ54" s="556"/>
      <c r="BNK54" s="556"/>
      <c r="BNL54" s="556"/>
      <c r="BNM54" s="556"/>
      <c r="BNN54" s="556"/>
      <c r="BNO54" s="556"/>
      <c r="BNP54" s="556"/>
      <c r="BNQ54" s="556"/>
      <c r="BNR54" s="556"/>
      <c r="BNS54" s="556"/>
      <c r="BNT54" s="556"/>
      <c r="BNU54" s="556"/>
      <c r="BNV54" s="556"/>
      <c r="BNW54" s="556"/>
      <c r="BNX54" s="556"/>
      <c r="BNY54" s="556"/>
      <c r="BNZ54" s="556"/>
      <c r="BOA54" s="556"/>
      <c r="BOB54" s="556"/>
      <c r="BOC54" s="556"/>
      <c r="BOD54" s="556"/>
      <c r="BOE54" s="556"/>
      <c r="BOF54" s="556"/>
      <c r="BOG54" s="556"/>
      <c r="BOH54" s="556"/>
      <c r="BOI54" s="556"/>
      <c r="BOJ54" s="556"/>
      <c r="BOK54" s="556"/>
      <c r="BOL54" s="556"/>
      <c r="BOM54" s="556"/>
      <c r="BON54" s="556"/>
      <c r="BOO54" s="556"/>
      <c r="BOP54" s="556"/>
      <c r="BOQ54" s="556"/>
      <c r="BOR54" s="556"/>
      <c r="BOS54" s="556"/>
      <c r="BOT54" s="556"/>
      <c r="BOU54" s="556"/>
      <c r="BOV54" s="556"/>
      <c r="BOW54" s="556"/>
      <c r="BOX54" s="556"/>
      <c r="BOY54" s="556"/>
      <c r="BOZ54" s="556"/>
      <c r="BPA54" s="556"/>
      <c r="BPB54" s="556"/>
      <c r="BPC54" s="556"/>
      <c r="BPD54" s="556"/>
      <c r="BPE54" s="556"/>
      <c r="BPF54" s="556"/>
      <c r="BPG54" s="556"/>
      <c r="BPH54" s="556"/>
      <c r="BPI54" s="556"/>
      <c r="BPJ54" s="556"/>
      <c r="BPK54" s="556"/>
      <c r="BPL54" s="556"/>
      <c r="BPM54" s="556"/>
      <c r="BPN54" s="556"/>
      <c r="BPO54" s="556"/>
      <c r="BPP54" s="556"/>
      <c r="BPQ54" s="556"/>
      <c r="BPR54" s="556"/>
      <c r="BPS54" s="556"/>
      <c r="BPT54" s="556"/>
      <c r="BPU54" s="556"/>
      <c r="BPV54" s="556"/>
      <c r="BPW54" s="556"/>
      <c r="BPX54" s="556"/>
      <c r="BPY54" s="556"/>
      <c r="BPZ54" s="556"/>
      <c r="BQA54" s="556"/>
      <c r="BQB54" s="556"/>
      <c r="BQC54" s="556"/>
      <c r="BQD54" s="556"/>
      <c r="BQE54" s="556"/>
      <c r="BQF54" s="556"/>
      <c r="BQG54" s="556"/>
      <c r="BQH54" s="556"/>
      <c r="BQI54" s="556"/>
      <c r="BQJ54" s="556"/>
      <c r="BQK54" s="556"/>
      <c r="BQL54" s="556"/>
      <c r="BQM54" s="556"/>
      <c r="BQN54" s="556"/>
      <c r="BQO54" s="556"/>
      <c r="BQP54" s="556"/>
      <c r="BQQ54" s="556"/>
      <c r="BQR54" s="556"/>
      <c r="BQS54" s="556"/>
      <c r="BQT54" s="556"/>
      <c r="BQU54" s="556"/>
      <c r="BQV54" s="556"/>
      <c r="BQW54" s="556"/>
      <c r="BQX54" s="556"/>
      <c r="BQY54" s="556"/>
      <c r="BQZ54" s="556"/>
      <c r="BRA54" s="556"/>
      <c r="BRB54" s="556"/>
      <c r="BRC54" s="556"/>
      <c r="BRD54" s="556"/>
      <c r="BRE54" s="556"/>
      <c r="BRF54" s="556"/>
      <c r="BRG54" s="556"/>
      <c r="BRH54" s="556"/>
      <c r="BRI54" s="556"/>
      <c r="BRJ54" s="556"/>
      <c r="BRK54" s="556"/>
      <c r="BRL54" s="556"/>
      <c r="BRM54" s="556"/>
      <c r="BRN54" s="556"/>
      <c r="BRO54" s="556"/>
      <c r="BRP54" s="556"/>
      <c r="BRQ54" s="556"/>
      <c r="BRR54" s="556"/>
      <c r="BRS54" s="556"/>
      <c r="BRT54" s="556"/>
      <c r="BRU54" s="556"/>
      <c r="BRV54" s="556"/>
      <c r="BRW54" s="556"/>
      <c r="BRX54" s="556"/>
      <c r="BRY54" s="556"/>
      <c r="BRZ54" s="556"/>
      <c r="BSA54" s="556"/>
      <c r="BSB54" s="556"/>
      <c r="BSC54" s="556"/>
      <c r="BSD54" s="556"/>
      <c r="BSE54" s="556"/>
      <c r="BSF54" s="556"/>
      <c r="BSG54" s="556"/>
      <c r="BSH54" s="556"/>
      <c r="BSI54" s="556"/>
      <c r="BSJ54" s="556"/>
      <c r="BSK54" s="556"/>
      <c r="BSL54" s="556"/>
      <c r="BSM54" s="556"/>
      <c r="BSN54" s="556"/>
      <c r="BSO54" s="556"/>
      <c r="BSP54" s="556"/>
      <c r="BSQ54" s="556"/>
      <c r="BSR54" s="556"/>
      <c r="BSS54" s="556"/>
      <c r="BST54" s="556"/>
      <c r="BSU54" s="556"/>
      <c r="BSV54" s="556"/>
      <c r="BSW54" s="556"/>
      <c r="BSX54" s="556"/>
      <c r="BSY54" s="556"/>
      <c r="BSZ54" s="556"/>
      <c r="BTA54" s="556"/>
      <c r="BTB54" s="556"/>
      <c r="BTC54" s="556"/>
      <c r="BTD54" s="556"/>
      <c r="BTE54" s="556"/>
      <c r="BTF54" s="556"/>
      <c r="BTG54" s="556"/>
      <c r="BTH54" s="556"/>
      <c r="BTI54" s="556"/>
      <c r="BTJ54" s="556"/>
      <c r="BTK54" s="556"/>
      <c r="BTL54" s="556"/>
      <c r="BTM54" s="556"/>
      <c r="BTN54" s="556"/>
      <c r="BTO54" s="556"/>
      <c r="BTP54" s="556"/>
      <c r="BTQ54" s="556"/>
      <c r="BTR54" s="556"/>
      <c r="BTS54" s="556"/>
      <c r="BTT54" s="556"/>
      <c r="BTU54" s="556"/>
      <c r="BTV54" s="556"/>
      <c r="BTW54" s="556"/>
      <c r="BTX54" s="556"/>
      <c r="BTY54" s="556"/>
      <c r="BTZ54" s="556"/>
      <c r="BUA54" s="556"/>
      <c r="BUB54" s="556"/>
      <c r="BUC54" s="556"/>
      <c r="BUD54" s="556"/>
      <c r="BUE54" s="556"/>
      <c r="BUF54" s="556"/>
      <c r="BUG54" s="556"/>
      <c r="BUH54" s="556"/>
      <c r="BUI54" s="556"/>
      <c r="BUJ54" s="556"/>
      <c r="BUK54" s="556"/>
      <c r="BUL54" s="556"/>
      <c r="BUM54" s="556"/>
      <c r="BUN54" s="556"/>
      <c r="BUO54" s="556"/>
      <c r="BUP54" s="556"/>
      <c r="BUQ54" s="556"/>
      <c r="BUR54" s="556"/>
      <c r="BUS54" s="556"/>
      <c r="BUT54" s="556"/>
      <c r="BUU54" s="556"/>
      <c r="BUV54" s="556"/>
      <c r="BUW54" s="556"/>
      <c r="BUX54" s="556"/>
      <c r="BUY54" s="556"/>
      <c r="BUZ54" s="556"/>
      <c r="BVA54" s="556"/>
      <c r="BVB54" s="556"/>
      <c r="BVC54" s="556"/>
      <c r="BVD54" s="556"/>
      <c r="BVE54" s="556"/>
      <c r="BVF54" s="556"/>
      <c r="BVG54" s="556"/>
      <c r="BVH54" s="556"/>
      <c r="BVI54" s="556"/>
      <c r="BVJ54" s="556"/>
      <c r="BVK54" s="556"/>
      <c r="BVL54" s="556"/>
      <c r="BVM54" s="556"/>
      <c r="BVN54" s="556"/>
      <c r="BVO54" s="556"/>
      <c r="BVP54" s="556"/>
      <c r="BVQ54" s="556"/>
      <c r="BVR54" s="556"/>
      <c r="BVS54" s="556"/>
      <c r="BVT54" s="556"/>
      <c r="BVU54" s="556"/>
      <c r="BVV54" s="556"/>
      <c r="BVW54" s="556"/>
      <c r="BVX54" s="556"/>
      <c r="BVY54" s="556"/>
      <c r="BVZ54" s="556"/>
      <c r="BWA54" s="556"/>
      <c r="BWB54" s="556"/>
      <c r="BWC54" s="556"/>
      <c r="BWD54" s="556"/>
      <c r="BWE54" s="556"/>
      <c r="BWF54" s="556"/>
      <c r="BWG54" s="556"/>
      <c r="BWH54" s="556"/>
      <c r="BWI54" s="556"/>
      <c r="BWJ54" s="556"/>
      <c r="BWK54" s="556"/>
      <c r="BWL54" s="556"/>
      <c r="BWM54" s="556"/>
      <c r="BWN54" s="556"/>
      <c r="BWO54" s="556"/>
      <c r="BWP54" s="556"/>
      <c r="BWQ54" s="556"/>
      <c r="BWR54" s="556"/>
      <c r="BWS54" s="556"/>
      <c r="BWT54" s="556"/>
      <c r="BWU54" s="556"/>
      <c r="BWV54" s="556"/>
      <c r="BWW54" s="556"/>
      <c r="BWX54" s="556"/>
      <c r="BWY54" s="556"/>
      <c r="BWZ54" s="556"/>
      <c r="BXA54" s="556"/>
      <c r="BXB54" s="556"/>
      <c r="BXC54" s="556"/>
      <c r="BXD54" s="556"/>
      <c r="BXE54" s="556"/>
      <c r="BXF54" s="556"/>
      <c r="BXG54" s="556"/>
      <c r="BXH54" s="556"/>
      <c r="BXI54" s="556"/>
      <c r="BXJ54" s="556"/>
      <c r="BXK54" s="556"/>
      <c r="BXL54" s="556"/>
      <c r="BXM54" s="556"/>
      <c r="BXN54" s="556"/>
      <c r="BXO54" s="556"/>
      <c r="BXP54" s="556"/>
      <c r="BXQ54" s="556"/>
      <c r="BXR54" s="556"/>
      <c r="BXS54" s="556"/>
      <c r="BXT54" s="556"/>
      <c r="BXU54" s="556"/>
      <c r="BXV54" s="556"/>
      <c r="BXW54" s="556"/>
      <c r="BXX54" s="556"/>
      <c r="BXY54" s="556"/>
      <c r="BXZ54" s="556"/>
      <c r="BYA54" s="556"/>
      <c r="BYB54" s="556"/>
      <c r="BYC54" s="556"/>
      <c r="BYD54" s="556"/>
      <c r="BYE54" s="556"/>
      <c r="BYF54" s="556"/>
      <c r="BYG54" s="556"/>
      <c r="BYH54" s="556"/>
      <c r="BYI54" s="556"/>
      <c r="BYJ54" s="556"/>
      <c r="BYK54" s="556"/>
      <c r="BYL54" s="556"/>
      <c r="BYM54" s="556"/>
      <c r="BYN54" s="556"/>
      <c r="BYO54" s="556"/>
      <c r="BYP54" s="556"/>
      <c r="BYQ54" s="556"/>
      <c r="BYR54" s="556"/>
      <c r="BYS54" s="556"/>
      <c r="BYT54" s="556"/>
      <c r="BYU54" s="556"/>
      <c r="BYV54" s="556"/>
      <c r="BYW54" s="556"/>
      <c r="BYX54" s="556"/>
      <c r="BYY54" s="556"/>
      <c r="BYZ54" s="556"/>
      <c r="BZA54" s="556"/>
      <c r="BZB54" s="556"/>
      <c r="BZC54" s="556"/>
      <c r="BZD54" s="556"/>
      <c r="BZE54" s="556"/>
      <c r="BZF54" s="556"/>
      <c r="BZG54" s="556"/>
      <c r="BZH54" s="556"/>
      <c r="BZI54" s="556"/>
      <c r="BZJ54" s="556"/>
      <c r="BZK54" s="556"/>
      <c r="BZL54" s="556"/>
      <c r="BZM54" s="556"/>
      <c r="BZN54" s="556"/>
      <c r="BZO54" s="556"/>
      <c r="BZP54" s="556"/>
      <c r="BZQ54" s="556"/>
      <c r="BZR54" s="556"/>
      <c r="BZS54" s="556"/>
      <c r="BZT54" s="556"/>
      <c r="BZU54" s="556"/>
      <c r="BZV54" s="556"/>
      <c r="BZW54" s="556"/>
      <c r="BZX54" s="556"/>
      <c r="BZY54" s="556"/>
      <c r="BZZ54" s="556"/>
      <c r="CAA54" s="556"/>
      <c r="CAB54" s="556"/>
      <c r="CAC54" s="556"/>
      <c r="CAD54" s="556"/>
      <c r="CAE54" s="556"/>
      <c r="CAF54" s="556"/>
      <c r="CAG54" s="556"/>
      <c r="CAH54" s="556"/>
      <c r="CAI54" s="556"/>
      <c r="CAJ54" s="556"/>
      <c r="CAK54" s="556"/>
      <c r="CAL54" s="556"/>
      <c r="CAM54" s="556"/>
      <c r="CAN54" s="556"/>
      <c r="CAO54" s="556"/>
      <c r="CAP54" s="556"/>
      <c r="CAQ54" s="556"/>
      <c r="CAR54" s="556"/>
      <c r="CAS54" s="556"/>
      <c r="CAT54" s="556"/>
      <c r="CAU54" s="556"/>
      <c r="CAV54" s="556"/>
      <c r="CAW54" s="556"/>
      <c r="CAX54" s="556"/>
      <c r="CAY54" s="556"/>
      <c r="CAZ54" s="556"/>
      <c r="CBA54" s="556"/>
      <c r="CBB54" s="556"/>
      <c r="CBC54" s="556"/>
      <c r="CBD54" s="556"/>
      <c r="CBE54" s="556"/>
      <c r="CBF54" s="556"/>
      <c r="CBG54" s="556"/>
      <c r="CBH54" s="556"/>
      <c r="CBI54" s="556"/>
      <c r="CBJ54" s="556"/>
      <c r="CBK54" s="556"/>
      <c r="CBL54" s="556"/>
      <c r="CBM54" s="556"/>
      <c r="CBN54" s="556"/>
      <c r="CBO54" s="556"/>
      <c r="CBP54" s="556"/>
      <c r="CBQ54" s="556"/>
      <c r="CBR54" s="556"/>
      <c r="CBS54" s="556"/>
      <c r="CBT54" s="556"/>
      <c r="CBU54" s="556"/>
      <c r="CBV54" s="556"/>
      <c r="CBW54" s="556"/>
      <c r="CBX54" s="556"/>
      <c r="CBY54" s="556"/>
      <c r="CBZ54" s="556"/>
      <c r="CCA54" s="556"/>
      <c r="CCB54" s="556"/>
      <c r="CCC54" s="556"/>
      <c r="CCD54" s="556"/>
      <c r="CCE54" s="556"/>
      <c r="CCF54" s="556"/>
      <c r="CCG54" s="556"/>
      <c r="CCH54" s="556"/>
      <c r="CCI54" s="556"/>
      <c r="CCJ54" s="556"/>
      <c r="CCK54" s="556"/>
      <c r="CCL54" s="556"/>
      <c r="CCM54" s="556"/>
      <c r="CCN54" s="556"/>
      <c r="CCO54" s="556"/>
      <c r="CCP54" s="556"/>
      <c r="CCQ54" s="556"/>
      <c r="CCR54" s="556"/>
      <c r="CCS54" s="556"/>
      <c r="CCT54" s="556"/>
      <c r="CCU54" s="556"/>
      <c r="CCV54" s="556"/>
      <c r="CCW54" s="556"/>
      <c r="CCX54" s="556"/>
      <c r="CCY54" s="556"/>
      <c r="CCZ54" s="556"/>
      <c r="CDA54" s="556"/>
      <c r="CDB54" s="556"/>
      <c r="CDC54" s="556"/>
      <c r="CDD54" s="556"/>
      <c r="CDE54" s="556"/>
      <c r="CDF54" s="556"/>
      <c r="CDG54" s="556"/>
      <c r="CDH54" s="556"/>
      <c r="CDI54" s="556"/>
      <c r="CDJ54" s="556"/>
      <c r="CDK54" s="556"/>
      <c r="CDL54" s="556"/>
      <c r="CDM54" s="556"/>
      <c r="CDN54" s="556"/>
      <c r="CDO54" s="556"/>
      <c r="CDP54" s="556"/>
      <c r="CDQ54" s="556"/>
      <c r="CDR54" s="556"/>
      <c r="CDS54" s="556"/>
      <c r="CDT54" s="556"/>
      <c r="CDU54" s="556"/>
      <c r="CDV54" s="556"/>
      <c r="CDW54" s="556"/>
      <c r="CDX54" s="556"/>
      <c r="CDY54" s="556"/>
      <c r="CDZ54" s="556"/>
      <c r="CEA54" s="556"/>
      <c r="CEB54" s="556"/>
      <c r="CEC54" s="556"/>
      <c r="CED54" s="556"/>
      <c r="CEE54" s="556"/>
      <c r="CEF54" s="556"/>
      <c r="CEG54" s="556"/>
      <c r="CEH54" s="556"/>
      <c r="CEI54" s="556"/>
      <c r="CEJ54" s="556"/>
      <c r="CEK54" s="556"/>
      <c r="CEL54" s="556"/>
      <c r="CEM54" s="556"/>
      <c r="CEN54" s="556"/>
      <c r="CEO54" s="556"/>
      <c r="CEP54" s="556"/>
      <c r="CEQ54" s="556"/>
      <c r="CER54" s="556"/>
      <c r="CES54" s="556"/>
      <c r="CET54" s="556"/>
      <c r="CEU54" s="556"/>
      <c r="CEV54" s="556"/>
      <c r="CEW54" s="556"/>
      <c r="CEX54" s="556"/>
      <c r="CEY54" s="556"/>
      <c r="CEZ54" s="556"/>
      <c r="CFA54" s="556"/>
      <c r="CFB54" s="556"/>
      <c r="CFC54" s="556"/>
      <c r="CFD54" s="556"/>
      <c r="CFE54" s="556"/>
      <c r="CFF54" s="556"/>
      <c r="CFG54" s="556"/>
      <c r="CFH54" s="556"/>
      <c r="CFI54" s="556"/>
      <c r="CFJ54" s="556"/>
      <c r="CFK54" s="556"/>
      <c r="CFL54" s="556"/>
      <c r="CFM54" s="556"/>
      <c r="CFN54" s="556"/>
      <c r="CFO54" s="556"/>
      <c r="CFP54" s="556"/>
      <c r="CFQ54" s="556"/>
      <c r="CFR54" s="556"/>
      <c r="CFS54" s="556"/>
      <c r="CFT54" s="556"/>
      <c r="CFU54" s="556"/>
      <c r="CFV54" s="556"/>
      <c r="CFW54" s="556"/>
      <c r="CFX54" s="556"/>
      <c r="CFY54" s="556"/>
      <c r="CFZ54" s="556"/>
      <c r="CGA54" s="556"/>
      <c r="CGB54" s="556"/>
      <c r="CGC54" s="556"/>
      <c r="CGD54" s="556"/>
      <c r="CGE54" s="556"/>
      <c r="CGF54" s="556"/>
      <c r="CGG54" s="556"/>
      <c r="CGH54" s="556"/>
      <c r="CGI54" s="556"/>
      <c r="CGJ54" s="556"/>
      <c r="CGK54" s="556"/>
      <c r="CGL54" s="556"/>
      <c r="CGM54" s="556"/>
      <c r="CGN54" s="556"/>
      <c r="CGO54" s="556"/>
      <c r="CGP54" s="556"/>
      <c r="CGQ54" s="556"/>
      <c r="CGR54" s="556"/>
      <c r="CGS54" s="556"/>
      <c r="CGT54" s="556"/>
      <c r="CGU54" s="556"/>
      <c r="CGV54" s="556"/>
      <c r="CGW54" s="556"/>
      <c r="CGX54" s="556"/>
      <c r="CGY54" s="556"/>
      <c r="CGZ54" s="556"/>
      <c r="CHA54" s="556"/>
      <c r="CHB54" s="556"/>
      <c r="CHC54" s="556"/>
      <c r="CHD54" s="556"/>
      <c r="CHE54" s="556"/>
      <c r="CHF54" s="556"/>
      <c r="CHG54" s="556"/>
      <c r="CHH54" s="556"/>
      <c r="CHI54" s="556"/>
      <c r="CHJ54" s="556"/>
      <c r="CHK54" s="556"/>
      <c r="CHL54" s="556"/>
      <c r="CHM54" s="556"/>
      <c r="CHN54" s="556"/>
      <c r="CHO54" s="556"/>
      <c r="CHP54" s="556"/>
      <c r="CHQ54" s="556"/>
      <c r="CHR54" s="556"/>
      <c r="CHS54" s="556"/>
      <c r="CHT54" s="556"/>
      <c r="CHU54" s="556"/>
      <c r="CHV54" s="556"/>
      <c r="CHW54" s="556"/>
      <c r="CHX54" s="556"/>
      <c r="CHY54" s="556"/>
      <c r="CHZ54" s="556"/>
      <c r="CIA54" s="556"/>
      <c r="CIB54" s="556"/>
      <c r="CIC54" s="556"/>
      <c r="CID54" s="556"/>
      <c r="CIE54" s="556"/>
      <c r="CIF54" s="556"/>
      <c r="CIG54" s="556"/>
      <c r="CIH54" s="556"/>
      <c r="CII54" s="556"/>
      <c r="CIJ54" s="556"/>
      <c r="CIK54" s="556"/>
      <c r="CIL54" s="556"/>
      <c r="CIM54" s="556"/>
      <c r="CIN54" s="556"/>
      <c r="CIO54" s="556"/>
      <c r="CIP54" s="556"/>
      <c r="CIQ54" s="556"/>
      <c r="CIR54" s="556"/>
      <c r="CIS54" s="556"/>
      <c r="CIT54" s="556"/>
      <c r="CIU54" s="556"/>
      <c r="CIV54" s="556"/>
      <c r="CIW54" s="556"/>
      <c r="CIX54" s="556"/>
      <c r="CIY54" s="556"/>
      <c r="CIZ54" s="556"/>
      <c r="CJA54" s="556"/>
      <c r="CJB54" s="556"/>
      <c r="CJC54" s="556"/>
      <c r="CJD54" s="556"/>
      <c r="CJE54" s="556"/>
      <c r="CJF54" s="556"/>
      <c r="CJG54" s="556"/>
      <c r="CJH54" s="556"/>
      <c r="CJI54" s="556"/>
      <c r="CJJ54" s="556"/>
      <c r="CJK54" s="556"/>
      <c r="CJL54" s="556"/>
      <c r="CJM54" s="556"/>
      <c r="CJN54" s="556"/>
      <c r="CJO54" s="556"/>
      <c r="CJP54" s="556"/>
      <c r="CJQ54" s="556"/>
      <c r="CJR54" s="556"/>
      <c r="CJS54" s="556"/>
      <c r="CJT54" s="556"/>
      <c r="CJU54" s="556"/>
      <c r="CJV54" s="556"/>
      <c r="CJW54" s="556"/>
      <c r="CJX54" s="556"/>
      <c r="CJY54" s="556"/>
      <c r="CJZ54" s="556"/>
      <c r="CKA54" s="556"/>
      <c r="CKB54" s="556"/>
      <c r="CKC54" s="556"/>
      <c r="CKD54" s="556"/>
      <c r="CKE54" s="556"/>
      <c r="CKF54" s="556"/>
      <c r="CKG54" s="556"/>
      <c r="CKH54" s="556"/>
      <c r="CKI54" s="556"/>
      <c r="CKJ54" s="556"/>
      <c r="CKK54" s="556"/>
      <c r="CKL54" s="556"/>
      <c r="CKM54" s="556"/>
      <c r="CKN54" s="556"/>
      <c r="CKO54" s="556"/>
      <c r="CKP54" s="556"/>
      <c r="CKQ54" s="556"/>
      <c r="CKR54" s="556"/>
      <c r="CKS54" s="556"/>
      <c r="CKT54" s="556"/>
      <c r="CKU54" s="556"/>
      <c r="CKV54" s="556"/>
      <c r="CKW54" s="556"/>
      <c r="CKX54" s="556"/>
      <c r="CKY54" s="556"/>
      <c r="CKZ54" s="556"/>
      <c r="CLA54" s="556"/>
      <c r="CLB54" s="556"/>
      <c r="CLC54" s="556"/>
      <c r="CLD54" s="556"/>
      <c r="CLE54" s="556"/>
      <c r="CLF54" s="556"/>
      <c r="CLG54" s="556"/>
      <c r="CLH54" s="556"/>
      <c r="CLI54" s="556"/>
      <c r="CLJ54" s="556"/>
      <c r="CLK54" s="556"/>
      <c r="CLL54" s="556"/>
      <c r="CLM54" s="556"/>
      <c r="CLN54" s="556"/>
      <c r="CLO54" s="556"/>
      <c r="CLP54" s="556"/>
      <c r="CLQ54" s="556"/>
      <c r="CLR54" s="556"/>
      <c r="CLS54" s="556"/>
      <c r="CLT54" s="556"/>
      <c r="CLU54" s="556"/>
      <c r="CLV54" s="556"/>
      <c r="CLW54" s="556"/>
      <c r="CLX54" s="556"/>
      <c r="CLY54" s="556"/>
      <c r="CLZ54" s="556"/>
      <c r="CMA54" s="556"/>
      <c r="CMB54" s="556"/>
      <c r="CMC54" s="556"/>
      <c r="CMD54" s="556"/>
      <c r="CME54" s="556"/>
      <c r="CMF54" s="556"/>
      <c r="CMG54" s="556"/>
      <c r="CMH54" s="556"/>
      <c r="CMI54" s="556"/>
      <c r="CMJ54" s="556"/>
      <c r="CMK54" s="556"/>
      <c r="CML54" s="556"/>
      <c r="CMM54" s="556"/>
      <c r="CMN54" s="556"/>
      <c r="CMO54" s="556"/>
      <c r="CMP54" s="556"/>
      <c r="CMQ54" s="556"/>
      <c r="CMR54" s="556"/>
      <c r="CMS54" s="556"/>
      <c r="CMT54" s="556"/>
      <c r="CMU54" s="556"/>
      <c r="CMV54" s="556"/>
      <c r="CMW54" s="556"/>
      <c r="CMX54" s="556"/>
      <c r="CMY54" s="556"/>
      <c r="CMZ54" s="556"/>
      <c r="CNA54" s="556"/>
      <c r="CNB54" s="556"/>
      <c r="CNC54" s="556"/>
      <c r="CND54" s="556"/>
      <c r="CNE54" s="556"/>
      <c r="CNF54" s="556"/>
      <c r="CNG54" s="556"/>
      <c r="CNH54" s="556"/>
      <c r="CNI54" s="556"/>
      <c r="CNJ54" s="556"/>
      <c r="CNK54" s="556"/>
      <c r="CNL54" s="556"/>
      <c r="CNM54" s="556"/>
      <c r="CNN54" s="556"/>
      <c r="CNO54" s="556"/>
      <c r="CNP54" s="556"/>
      <c r="CNQ54" s="556"/>
      <c r="CNR54" s="556"/>
      <c r="CNS54" s="556"/>
      <c r="CNT54" s="556"/>
      <c r="CNU54" s="556"/>
      <c r="CNV54" s="556"/>
      <c r="CNW54" s="556"/>
      <c r="CNX54" s="556"/>
      <c r="CNY54" s="556"/>
      <c r="CNZ54" s="556"/>
      <c r="COA54" s="556"/>
      <c r="COB54" s="556"/>
      <c r="COC54" s="556"/>
      <c r="COD54" s="556"/>
      <c r="COE54" s="556"/>
      <c r="COF54" s="556"/>
      <c r="COG54" s="556"/>
      <c r="COH54" s="556"/>
      <c r="COI54" s="556"/>
      <c r="COJ54" s="556"/>
      <c r="COK54" s="556"/>
      <c r="COL54" s="556"/>
      <c r="COM54" s="556"/>
      <c r="CON54" s="556"/>
      <c r="COO54" s="556"/>
      <c r="COP54" s="556"/>
      <c r="COQ54" s="556"/>
      <c r="COR54" s="556"/>
      <c r="COS54" s="556"/>
      <c r="COT54" s="556"/>
      <c r="COU54" s="556"/>
      <c r="COV54" s="556"/>
      <c r="COW54" s="556"/>
      <c r="COX54" s="556"/>
      <c r="COY54" s="556"/>
      <c r="COZ54" s="556"/>
      <c r="CPA54" s="556"/>
      <c r="CPB54" s="556"/>
      <c r="CPC54" s="556"/>
      <c r="CPD54" s="556"/>
      <c r="CPE54" s="556"/>
      <c r="CPF54" s="556"/>
      <c r="CPG54" s="556"/>
      <c r="CPH54" s="556"/>
      <c r="CPI54" s="556"/>
      <c r="CPJ54" s="556"/>
      <c r="CPK54" s="556"/>
      <c r="CPL54" s="556"/>
      <c r="CPM54" s="556"/>
      <c r="CPN54" s="556"/>
      <c r="CPO54" s="556"/>
      <c r="CPP54" s="556"/>
      <c r="CPQ54" s="556"/>
      <c r="CPR54" s="556"/>
      <c r="CPS54" s="556"/>
      <c r="CPT54" s="556"/>
      <c r="CPU54" s="556"/>
      <c r="CPV54" s="556"/>
      <c r="CPW54" s="556"/>
      <c r="CPX54" s="556"/>
      <c r="CPY54" s="556"/>
      <c r="CPZ54" s="556"/>
      <c r="CQA54" s="556"/>
      <c r="CQB54" s="556"/>
      <c r="CQC54" s="556"/>
      <c r="CQD54" s="556"/>
      <c r="CQE54" s="556"/>
      <c r="CQF54" s="556"/>
      <c r="CQG54" s="556"/>
      <c r="CQH54" s="556"/>
      <c r="CQI54" s="556"/>
      <c r="CQJ54" s="556"/>
      <c r="CQK54" s="556"/>
      <c r="CQL54" s="556"/>
      <c r="CQM54" s="556"/>
      <c r="CQN54" s="556"/>
      <c r="CQO54" s="556"/>
      <c r="CQP54" s="556"/>
      <c r="CQQ54" s="556"/>
      <c r="CQR54" s="556"/>
      <c r="CQS54" s="556"/>
      <c r="CQT54" s="556"/>
      <c r="CQU54" s="556"/>
      <c r="CQV54" s="556"/>
      <c r="CQW54" s="556"/>
      <c r="CQX54" s="556"/>
      <c r="CQY54" s="556"/>
      <c r="CQZ54" s="556"/>
      <c r="CRA54" s="556"/>
      <c r="CRB54" s="556"/>
      <c r="CRC54" s="556"/>
      <c r="CRD54" s="556"/>
      <c r="CRE54" s="556"/>
      <c r="CRF54" s="556"/>
      <c r="CRG54" s="556"/>
      <c r="CRH54" s="556"/>
      <c r="CRI54" s="556"/>
      <c r="CRJ54" s="556"/>
      <c r="CRK54" s="556"/>
      <c r="CRL54" s="556"/>
      <c r="CRM54" s="556"/>
      <c r="CRN54" s="556"/>
      <c r="CRO54" s="556"/>
      <c r="CRP54" s="556"/>
      <c r="CRQ54" s="556"/>
      <c r="CRR54" s="556"/>
      <c r="CRS54" s="556"/>
      <c r="CRT54" s="556"/>
      <c r="CRU54" s="556"/>
      <c r="CRV54" s="556"/>
      <c r="CRW54" s="556"/>
      <c r="CRX54" s="556"/>
      <c r="CRY54" s="556"/>
      <c r="CRZ54" s="556"/>
      <c r="CSA54" s="556"/>
      <c r="CSB54" s="556"/>
      <c r="CSC54" s="556"/>
      <c r="CSD54" s="556"/>
      <c r="CSE54" s="556"/>
      <c r="CSF54" s="556"/>
      <c r="CSG54" s="556"/>
      <c r="CSH54" s="556"/>
      <c r="CSI54" s="556"/>
      <c r="CSJ54" s="556"/>
      <c r="CSK54" s="556"/>
      <c r="CSL54" s="556"/>
      <c r="CSM54" s="556"/>
      <c r="CSN54" s="556"/>
      <c r="CSO54" s="556"/>
      <c r="CSP54" s="556"/>
      <c r="CSQ54" s="556"/>
      <c r="CSR54" s="556"/>
      <c r="CSS54" s="556"/>
      <c r="CST54" s="556"/>
      <c r="CSU54" s="556"/>
      <c r="CSV54" s="556"/>
      <c r="CSW54" s="556"/>
      <c r="CSX54" s="556"/>
      <c r="CSY54" s="556"/>
      <c r="CSZ54" s="556"/>
      <c r="CTA54" s="556"/>
      <c r="CTB54" s="556"/>
      <c r="CTC54" s="556"/>
      <c r="CTD54" s="556"/>
      <c r="CTE54" s="556"/>
      <c r="CTF54" s="556"/>
      <c r="CTG54" s="556"/>
      <c r="CTH54" s="556"/>
      <c r="CTI54" s="556"/>
      <c r="CTJ54" s="556"/>
      <c r="CTK54" s="556"/>
      <c r="CTL54" s="556"/>
      <c r="CTM54" s="556"/>
      <c r="CTN54" s="556"/>
      <c r="CTO54" s="556"/>
      <c r="CTP54" s="556"/>
      <c r="CTQ54" s="556"/>
      <c r="CTR54" s="556"/>
      <c r="CTS54" s="556"/>
      <c r="CTT54" s="556"/>
      <c r="CTU54" s="556"/>
      <c r="CTV54" s="556"/>
      <c r="CTW54" s="556"/>
      <c r="CTX54" s="556"/>
      <c r="CTY54" s="556"/>
      <c r="CTZ54" s="556"/>
      <c r="CUA54" s="556"/>
      <c r="CUB54" s="556"/>
      <c r="CUC54" s="556"/>
      <c r="CUD54" s="556"/>
      <c r="CUE54" s="556"/>
      <c r="CUF54" s="556"/>
      <c r="CUG54" s="556"/>
      <c r="CUH54" s="556"/>
      <c r="CUI54" s="556"/>
      <c r="CUJ54" s="556"/>
      <c r="CUK54" s="556"/>
      <c r="CUL54" s="556"/>
      <c r="CUM54" s="556"/>
      <c r="CUN54" s="556"/>
      <c r="CUO54" s="556"/>
      <c r="CUP54" s="556"/>
      <c r="CUQ54" s="556"/>
      <c r="CUR54" s="556"/>
      <c r="CUS54" s="556"/>
      <c r="CUT54" s="556"/>
      <c r="CUU54" s="556"/>
      <c r="CUV54" s="556"/>
      <c r="CUW54" s="556"/>
      <c r="CUX54" s="556"/>
      <c r="CUY54" s="556"/>
      <c r="CUZ54" s="556"/>
      <c r="CVA54" s="556"/>
      <c r="CVB54" s="556"/>
      <c r="CVC54" s="556"/>
      <c r="CVD54" s="556"/>
      <c r="CVE54" s="556"/>
      <c r="CVF54" s="556"/>
      <c r="CVG54" s="556"/>
      <c r="CVH54" s="556"/>
      <c r="CVI54" s="556"/>
      <c r="CVJ54" s="556"/>
      <c r="CVK54" s="556"/>
      <c r="CVL54" s="556"/>
      <c r="CVM54" s="556"/>
      <c r="CVN54" s="556"/>
      <c r="CVO54" s="556"/>
      <c r="CVP54" s="556"/>
      <c r="CVQ54" s="556"/>
      <c r="CVR54" s="556"/>
      <c r="CVS54" s="556"/>
      <c r="CVT54" s="556"/>
      <c r="CVU54" s="556"/>
      <c r="CVV54" s="556"/>
      <c r="CVW54" s="556"/>
      <c r="CVX54" s="556"/>
      <c r="CVY54" s="556"/>
      <c r="CVZ54" s="556"/>
      <c r="CWA54" s="556"/>
      <c r="CWB54" s="556"/>
      <c r="CWC54" s="556"/>
      <c r="CWD54" s="556"/>
      <c r="CWE54" s="556"/>
      <c r="CWF54" s="556"/>
      <c r="CWG54" s="556"/>
      <c r="CWH54" s="556"/>
      <c r="CWI54" s="556"/>
      <c r="CWJ54" s="556"/>
      <c r="CWK54" s="556"/>
      <c r="CWL54" s="556"/>
      <c r="CWM54" s="556"/>
      <c r="CWN54" s="556"/>
      <c r="CWO54" s="556"/>
      <c r="CWP54" s="556"/>
      <c r="CWQ54" s="556"/>
      <c r="CWR54" s="556"/>
      <c r="CWS54" s="556"/>
      <c r="CWT54" s="556"/>
      <c r="CWU54" s="556"/>
      <c r="CWV54" s="556"/>
      <c r="CWW54" s="556"/>
      <c r="CWX54" s="556"/>
      <c r="CWY54" s="556"/>
      <c r="CWZ54" s="556"/>
      <c r="CXA54" s="556"/>
      <c r="CXB54" s="556"/>
      <c r="CXC54" s="556"/>
      <c r="CXD54" s="556"/>
      <c r="CXE54" s="556"/>
      <c r="CXF54" s="556"/>
      <c r="CXG54" s="556"/>
      <c r="CXH54" s="556"/>
      <c r="CXI54" s="556"/>
      <c r="CXJ54" s="556"/>
      <c r="CXK54" s="556"/>
      <c r="CXL54" s="556"/>
      <c r="CXM54" s="556"/>
      <c r="CXN54" s="556"/>
      <c r="CXO54" s="556"/>
      <c r="CXP54" s="556"/>
      <c r="CXQ54" s="556"/>
      <c r="CXR54" s="556"/>
      <c r="CXS54" s="556"/>
      <c r="CXT54" s="556"/>
      <c r="CXU54" s="556"/>
      <c r="CXV54" s="556"/>
      <c r="CXW54" s="556"/>
      <c r="CXX54" s="556"/>
      <c r="CXY54" s="556"/>
      <c r="CXZ54" s="556"/>
      <c r="CYA54" s="556"/>
      <c r="CYB54" s="556"/>
      <c r="CYC54" s="556"/>
      <c r="CYD54" s="556"/>
      <c r="CYE54" s="556"/>
      <c r="CYF54" s="556"/>
      <c r="CYG54" s="556"/>
      <c r="CYH54" s="556"/>
      <c r="CYI54" s="556"/>
      <c r="CYJ54" s="556"/>
      <c r="CYK54" s="556"/>
      <c r="CYL54" s="556"/>
      <c r="CYM54" s="556"/>
      <c r="CYN54" s="556"/>
      <c r="CYO54" s="556"/>
      <c r="CYP54" s="556"/>
      <c r="CYQ54" s="556"/>
      <c r="CYR54" s="556"/>
      <c r="CYS54" s="556"/>
      <c r="CYT54" s="556"/>
      <c r="CYU54" s="556"/>
      <c r="CYV54" s="556"/>
      <c r="CYW54" s="556"/>
      <c r="CYX54" s="556"/>
      <c r="CYY54" s="556"/>
      <c r="CYZ54" s="556"/>
      <c r="CZA54" s="556"/>
      <c r="CZB54" s="556"/>
      <c r="CZC54" s="556"/>
      <c r="CZD54" s="556"/>
      <c r="CZE54" s="556"/>
      <c r="CZF54" s="556"/>
      <c r="CZG54" s="556"/>
      <c r="CZH54" s="556"/>
      <c r="CZI54" s="556"/>
      <c r="CZJ54" s="556"/>
      <c r="CZK54" s="556"/>
      <c r="CZL54" s="556"/>
      <c r="CZM54" s="556"/>
      <c r="CZN54" s="556"/>
      <c r="CZO54" s="556"/>
      <c r="CZP54" s="556"/>
      <c r="CZQ54" s="556"/>
      <c r="CZR54" s="556"/>
      <c r="CZS54" s="556"/>
      <c r="CZT54" s="556"/>
      <c r="CZU54" s="556"/>
      <c r="CZV54" s="556"/>
      <c r="CZW54" s="556"/>
      <c r="CZX54" s="556"/>
      <c r="CZY54" s="556"/>
      <c r="CZZ54" s="556"/>
      <c r="DAA54" s="556"/>
      <c r="DAB54" s="556"/>
      <c r="DAC54" s="556"/>
      <c r="DAD54" s="556"/>
      <c r="DAE54" s="556"/>
      <c r="DAF54" s="556"/>
      <c r="DAG54" s="556"/>
      <c r="DAH54" s="556"/>
      <c r="DAI54" s="556"/>
      <c r="DAJ54" s="556"/>
      <c r="DAK54" s="556"/>
      <c r="DAL54" s="556"/>
      <c r="DAM54" s="556"/>
      <c r="DAN54" s="556"/>
      <c r="DAO54" s="556"/>
      <c r="DAP54" s="556"/>
      <c r="DAQ54" s="556"/>
      <c r="DAR54" s="556"/>
      <c r="DAS54" s="556"/>
      <c r="DAT54" s="556"/>
      <c r="DAU54" s="556"/>
      <c r="DAV54" s="556"/>
      <c r="DAW54" s="556"/>
      <c r="DAX54" s="556"/>
      <c r="DAY54" s="556"/>
      <c r="DAZ54" s="556"/>
      <c r="DBA54" s="556"/>
      <c r="DBB54" s="556"/>
      <c r="DBC54" s="556"/>
      <c r="DBD54" s="556"/>
      <c r="DBE54" s="556"/>
      <c r="DBF54" s="556"/>
      <c r="DBG54" s="556"/>
      <c r="DBH54" s="556"/>
      <c r="DBI54" s="556"/>
      <c r="DBJ54" s="556"/>
      <c r="DBK54" s="556"/>
      <c r="DBL54" s="556"/>
      <c r="DBM54" s="556"/>
      <c r="DBN54" s="556"/>
      <c r="DBO54" s="556"/>
      <c r="DBP54" s="556"/>
      <c r="DBQ54" s="556"/>
      <c r="DBR54" s="556"/>
      <c r="DBS54" s="556"/>
      <c r="DBT54" s="556"/>
      <c r="DBU54" s="556"/>
      <c r="DBV54" s="556"/>
      <c r="DBW54" s="556"/>
      <c r="DBX54" s="556"/>
      <c r="DBY54" s="556"/>
      <c r="DBZ54" s="556"/>
      <c r="DCA54" s="556"/>
      <c r="DCB54" s="556"/>
      <c r="DCC54" s="556"/>
      <c r="DCD54" s="556"/>
      <c r="DCE54" s="556"/>
      <c r="DCF54" s="556"/>
      <c r="DCG54" s="556"/>
      <c r="DCH54" s="556"/>
      <c r="DCI54" s="556"/>
      <c r="DCJ54" s="556"/>
      <c r="DCK54" s="556"/>
      <c r="DCL54" s="556"/>
      <c r="DCM54" s="556"/>
      <c r="DCN54" s="556"/>
      <c r="DCO54" s="556"/>
      <c r="DCP54" s="556"/>
      <c r="DCQ54" s="556"/>
      <c r="DCR54" s="556"/>
      <c r="DCS54" s="556"/>
      <c r="DCT54" s="556"/>
      <c r="DCU54" s="556"/>
      <c r="DCV54" s="556"/>
      <c r="DCW54" s="556"/>
      <c r="DCX54" s="556"/>
      <c r="DCY54" s="556"/>
      <c r="DCZ54" s="556"/>
      <c r="DDA54" s="556"/>
      <c r="DDB54" s="556"/>
      <c r="DDC54" s="556"/>
      <c r="DDD54" s="556"/>
      <c r="DDE54" s="556"/>
      <c r="DDF54" s="556"/>
      <c r="DDG54" s="556"/>
      <c r="DDH54" s="556"/>
      <c r="DDI54" s="556"/>
      <c r="DDJ54" s="556"/>
      <c r="DDK54" s="556"/>
      <c r="DDL54" s="556"/>
      <c r="DDM54" s="556"/>
      <c r="DDN54" s="556"/>
      <c r="DDO54" s="556"/>
      <c r="DDP54" s="556"/>
      <c r="DDQ54" s="556"/>
      <c r="DDR54" s="556"/>
      <c r="DDS54" s="556"/>
      <c r="DDT54" s="556"/>
      <c r="DDU54" s="556"/>
      <c r="DDV54" s="556"/>
      <c r="DDW54" s="556"/>
      <c r="DDX54" s="556"/>
      <c r="DDY54" s="556"/>
      <c r="DDZ54" s="556"/>
      <c r="DEA54" s="556"/>
      <c r="DEB54" s="556"/>
      <c r="DEC54" s="556"/>
      <c r="DED54" s="556"/>
      <c r="DEE54" s="556"/>
      <c r="DEF54" s="556"/>
      <c r="DEG54" s="556"/>
      <c r="DEH54" s="556"/>
      <c r="DEI54" s="556"/>
      <c r="DEJ54" s="556"/>
      <c r="DEK54" s="556"/>
      <c r="DEL54" s="556"/>
      <c r="DEM54" s="556"/>
      <c r="DEN54" s="556"/>
      <c r="DEO54" s="556"/>
      <c r="DEP54" s="556"/>
      <c r="DEQ54" s="556"/>
      <c r="DER54" s="556"/>
      <c r="DES54" s="556"/>
      <c r="DET54" s="556"/>
      <c r="DEU54" s="556"/>
      <c r="DEV54" s="556"/>
      <c r="DEW54" s="556"/>
      <c r="DEX54" s="556"/>
      <c r="DEY54" s="556"/>
      <c r="DEZ54" s="556"/>
      <c r="DFA54" s="556"/>
      <c r="DFB54" s="556"/>
      <c r="DFC54" s="556"/>
      <c r="DFD54" s="556"/>
      <c r="DFE54" s="556"/>
      <c r="DFF54" s="556"/>
      <c r="DFG54" s="556"/>
      <c r="DFH54" s="556"/>
      <c r="DFI54" s="556"/>
      <c r="DFJ54" s="556"/>
      <c r="DFK54" s="556"/>
      <c r="DFL54" s="556"/>
      <c r="DFM54" s="556"/>
      <c r="DFN54" s="556"/>
      <c r="DFO54" s="556"/>
      <c r="DFP54" s="556"/>
      <c r="DFQ54" s="556"/>
      <c r="DFR54" s="556"/>
      <c r="DFS54" s="556"/>
      <c r="DFT54" s="556"/>
      <c r="DFU54" s="556"/>
      <c r="DFV54" s="556"/>
      <c r="DFW54" s="556"/>
      <c r="DFX54" s="556"/>
      <c r="DFY54" s="556"/>
      <c r="DFZ54" s="556"/>
      <c r="DGA54" s="556"/>
      <c r="DGB54" s="556"/>
      <c r="DGC54" s="556"/>
      <c r="DGD54" s="556"/>
      <c r="DGE54" s="556"/>
      <c r="DGF54" s="556"/>
      <c r="DGG54" s="556"/>
      <c r="DGH54" s="556"/>
      <c r="DGI54" s="556"/>
      <c r="DGJ54" s="556"/>
      <c r="DGK54" s="556"/>
      <c r="DGL54" s="556"/>
      <c r="DGM54" s="556"/>
      <c r="DGN54" s="556"/>
      <c r="DGO54" s="556"/>
      <c r="DGP54" s="556"/>
      <c r="DGQ54" s="556"/>
      <c r="DGR54" s="556"/>
      <c r="DGS54" s="556"/>
      <c r="DGT54" s="556"/>
      <c r="DGU54" s="556"/>
      <c r="DGV54" s="556"/>
      <c r="DGW54" s="556"/>
      <c r="DGX54" s="556"/>
      <c r="DGY54" s="556"/>
      <c r="DGZ54" s="556"/>
      <c r="DHA54" s="556"/>
      <c r="DHB54" s="556"/>
      <c r="DHC54" s="556"/>
      <c r="DHD54" s="556"/>
      <c r="DHE54" s="556"/>
      <c r="DHF54" s="556"/>
      <c r="DHG54" s="556"/>
      <c r="DHH54" s="556"/>
      <c r="DHI54" s="556"/>
      <c r="DHJ54" s="556"/>
      <c r="DHK54" s="556"/>
      <c r="DHL54" s="556"/>
      <c r="DHM54" s="556"/>
      <c r="DHN54" s="556"/>
      <c r="DHO54" s="556"/>
      <c r="DHP54" s="556"/>
      <c r="DHQ54" s="556"/>
      <c r="DHR54" s="556"/>
      <c r="DHS54" s="556"/>
      <c r="DHT54" s="556"/>
      <c r="DHU54" s="556"/>
      <c r="DHV54" s="556"/>
      <c r="DHW54" s="556"/>
      <c r="DHX54" s="556"/>
      <c r="DHY54" s="556"/>
      <c r="DHZ54" s="556"/>
      <c r="DIA54" s="556"/>
      <c r="DIB54" s="556"/>
      <c r="DIC54" s="556"/>
      <c r="DID54" s="556"/>
      <c r="DIE54" s="556"/>
      <c r="DIF54" s="556"/>
      <c r="DIG54" s="556"/>
      <c r="DIH54" s="556"/>
      <c r="DII54" s="556"/>
      <c r="DIJ54" s="556"/>
      <c r="DIK54" s="556"/>
      <c r="DIL54" s="556"/>
      <c r="DIM54" s="556"/>
      <c r="DIN54" s="556"/>
      <c r="DIO54" s="556"/>
      <c r="DIP54" s="556"/>
      <c r="DIQ54" s="556"/>
      <c r="DIR54" s="556"/>
      <c r="DIS54" s="556"/>
      <c r="DIT54" s="556"/>
      <c r="DIU54" s="556"/>
      <c r="DIV54" s="556"/>
      <c r="DIW54" s="556"/>
      <c r="DIX54" s="556"/>
      <c r="DIY54" s="556"/>
      <c r="DIZ54" s="556"/>
      <c r="DJA54" s="556"/>
      <c r="DJB54" s="556"/>
      <c r="DJC54" s="556"/>
      <c r="DJD54" s="556"/>
      <c r="DJE54" s="556"/>
      <c r="DJF54" s="556"/>
      <c r="DJG54" s="556"/>
      <c r="DJH54" s="556"/>
      <c r="DJI54" s="556"/>
      <c r="DJJ54" s="556"/>
      <c r="DJK54" s="556"/>
      <c r="DJL54" s="556"/>
      <c r="DJM54" s="556"/>
      <c r="DJN54" s="556"/>
      <c r="DJO54" s="556"/>
      <c r="DJP54" s="556"/>
      <c r="DJQ54" s="556"/>
      <c r="DJR54" s="556"/>
      <c r="DJS54" s="556"/>
      <c r="DJT54" s="556"/>
      <c r="DJU54" s="556"/>
      <c r="DJV54" s="556"/>
      <c r="DJW54" s="556"/>
      <c r="DJX54" s="556"/>
      <c r="DJY54" s="556"/>
      <c r="DJZ54" s="556"/>
      <c r="DKA54" s="556"/>
      <c r="DKB54" s="556"/>
      <c r="DKC54" s="556"/>
      <c r="DKD54" s="556"/>
      <c r="DKE54" s="556"/>
      <c r="DKF54" s="556"/>
      <c r="DKG54" s="556"/>
      <c r="DKH54" s="556"/>
      <c r="DKI54" s="556"/>
      <c r="DKJ54" s="556"/>
      <c r="DKK54" s="556"/>
      <c r="DKL54" s="556"/>
      <c r="DKM54" s="556"/>
      <c r="DKN54" s="556"/>
      <c r="DKO54" s="556"/>
      <c r="DKP54" s="556"/>
      <c r="DKQ54" s="556"/>
      <c r="DKR54" s="556"/>
      <c r="DKS54" s="556"/>
      <c r="DKT54" s="556"/>
      <c r="DKU54" s="556"/>
      <c r="DKV54" s="556"/>
      <c r="DKW54" s="556"/>
      <c r="DKX54" s="556"/>
      <c r="DKY54" s="556"/>
      <c r="DKZ54" s="556"/>
      <c r="DLA54" s="556"/>
      <c r="DLB54" s="556"/>
      <c r="DLC54" s="556"/>
      <c r="DLD54" s="556"/>
      <c r="DLE54" s="556"/>
      <c r="DLF54" s="556"/>
      <c r="DLG54" s="556"/>
      <c r="DLH54" s="556"/>
      <c r="DLI54" s="556"/>
      <c r="DLJ54" s="556"/>
      <c r="DLK54" s="556"/>
      <c r="DLL54" s="556"/>
      <c r="DLM54" s="556"/>
      <c r="DLN54" s="556"/>
      <c r="DLO54" s="556"/>
      <c r="DLP54" s="556"/>
      <c r="DLQ54" s="556"/>
      <c r="DLR54" s="556"/>
      <c r="DLS54" s="556"/>
      <c r="DLT54" s="556"/>
      <c r="DLU54" s="556"/>
      <c r="DLV54" s="556"/>
      <c r="DLW54" s="556"/>
      <c r="DLX54" s="556"/>
      <c r="DLY54" s="556"/>
      <c r="DLZ54" s="556"/>
      <c r="DMA54" s="556"/>
      <c r="DMB54" s="556"/>
      <c r="DMC54" s="556"/>
      <c r="DMD54" s="556"/>
      <c r="DME54" s="556"/>
      <c r="DMF54" s="556"/>
      <c r="DMG54" s="556"/>
      <c r="DMH54" s="556"/>
      <c r="DMI54" s="556"/>
      <c r="DMJ54" s="556"/>
      <c r="DMK54" s="556"/>
      <c r="DML54" s="556"/>
      <c r="DMM54" s="556"/>
      <c r="DMN54" s="556"/>
      <c r="DMO54" s="556"/>
      <c r="DMP54" s="556"/>
      <c r="DMQ54" s="556"/>
      <c r="DMR54" s="556"/>
      <c r="DMS54" s="556"/>
      <c r="DMT54" s="556"/>
      <c r="DMU54" s="556"/>
      <c r="DMV54" s="556"/>
      <c r="DMW54" s="556"/>
      <c r="DMX54" s="556"/>
      <c r="DMY54" s="556"/>
      <c r="DMZ54" s="556"/>
      <c r="DNA54" s="556"/>
      <c r="DNB54" s="556"/>
      <c r="DNC54" s="556"/>
      <c r="DND54" s="556"/>
      <c r="DNE54" s="556"/>
      <c r="DNF54" s="556"/>
      <c r="DNG54" s="556"/>
      <c r="DNH54" s="556"/>
      <c r="DNI54" s="556"/>
      <c r="DNJ54" s="556"/>
      <c r="DNK54" s="556"/>
      <c r="DNL54" s="556"/>
      <c r="DNM54" s="556"/>
      <c r="DNN54" s="556"/>
      <c r="DNO54" s="556"/>
      <c r="DNP54" s="556"/>
      <c r="DNQ54" s="556"/>
      <c r="DNR54" s="556"/>
      <c r="DNS54" s="556"/>
      <c r="DNT54" s="556"/>
      <c r="DNU54" s="556"/>
      <c r="DNV54" s="556"/>
      <c r="DNW54" s="556"/>
      <c r="DNX54" s="556"/>
      <c r="DNY54" s="556"/>
      <c r="DNZ54" s="556"/>
      <c r="DOA54" s="556"/>
      <c r="DOB54" s="556"/>
      <c r="DOC54" s="556"/>
      <c r="DOD54" s="556"/>
      <c r="DOE54" s="556"/>
      <c r="DOF54" s="556"/>
      <c r="DOG54" s="556"/>
      <c r="DOH54" s="556"/>
      <c r="DOI54" s="556"/>
      <c r="DOJ54" s="556"/>
      <c r="DOK54" s="556"/>
      <c r="DOL54" s="556"/>
      <c r="DOM54" s="556"/>
      <c r="DON54" s="556"/>
      <c r="DOO54" s="556"/>
      <c r="DOP54" s="556"/>
      <c r="DOQ54" s="556"/>
      <c r="DOR54" s="556"/>
      <c r="DOS54" s="556"/>
      <c r="DOT54" s="556"/>
      <c r="DOU54" s="556"/>
      <c r="DOV54" s="556"/>
      <c r="DOW54" s="556"/>
      <c r="DOX54" s="556"/>
      <c r="DOY54" s="556"/>
      <c r="DOZ54" s="556"/>
      <c r="DPA54" s="556"/>
      <c r="DPB54" s="556"/>
      <c r="DPC54" s="556"/>
      <c r="DPD54" s="556"/>
      <c r="DPE54" s="556"/>
      <c r="DPF54" s="556"/>
      <c r="DPG54" s="556"/>
      <c r="DPH54" s="556"/>
      <c r="DPI54" s="556"/>
      <c r="DPJ54" s="556"/>
      <c r="DPK54" s="556"/>
      <c r="DPL54" s="556"/>
      <c r="DPM54" s="556"/>
      <c r="DPN54" s="556"/>
      <c r="DPO54" s="556"/>
      <c r="DPP54" s="556"/>
      <c r="DPQ54" s="556"/>
      <c r="DPR54" s="556"/>
      <c r="DPS54" s="556"/>
      <c r="DPT54" s="556"/>
      <c r="DPU54" s="556"/>
      <c r="DPV54" s="556"/>
      <c r="DPW54" s="556"/>
      <c r="DPX54" s="556"/>
      <c r="DPY54" s="556"/>
      <c r="DPZ54" s="556"/>
      <c r="DQA54" s="556"/>
      <c r="DQB54" s="556"/>
      <c r="DQC54" s="556"/>
      <c r="DQD54" s="556"/>
      <c r="DQE54" s="556"/>
      <c r="DQF54" s="556"/>
      <c r="DQG54" s="556"/>
      <c r="DQH54" s="556"/>
      <c r="DQI54" s="556"/>
      <c r="DQJ54" s="556"/>
      <c r="DQK54" s="556"/>
      <c r="DQL54" s="556"/>
      <c r="DQM54" s="556"/>
      <c r="DQN54" s="556"/>
      <c r="DQO54" s="556"/>
      <c r="DQP54" s="556"/>
      <c r="DQQ54" s="556"/>
      <c r="DQR54" s="556"/>
      <c r="DQS54" s="556"/>
      <c r="DQT54" s="556"/>
      <c r="DQU54" s="556"/>
      <c r="DQV54" s="556"/>
      <c r="DQW54" s="556"/>
      <c r="DQX54" s="556"/>
      <c r="DQY54" s="556"/>
      <c r="DQZ54" s="556"/>
      <c r="DRA54" s="556"/>
      <c r="DRB54" s="556"/>
      <c r="DRC54" s="556"/>
      <c r="DRD54" s="556"/>
      <c r="DRE54" s="556"/>
      <c r="DRF54" s="556"/>
      <c r="DRG54" s="556"/>
      <c r="DRH54" s="556"/>
      <c r="DRI54" s="556"/>
      <c r="DRJ54" s="556"/>
      <c r="DRK54" s="556"/>
      <c r="DRL54" s="556"/>
      <c r="DRM54" s="556"/>
      <c r="DRN54" s="556"/>
      <c r="DRO54" s="556"/>
      <c r="DRP54" s="556"/>
      <c r="DRQ54" s="556"/>
      <c r="DRR54" s="556"/>
      <c r="DRS54" s="556"/>
      <c r="DRT54" s="556"/>
      <c r="DRU54" s="556"/>
      <c r="DRV54" s="556"/>
      <c r="DRW54" s="556"/>
      <c r="DRX54" s="556"/>
      <c r="DRY54" s="556"/>
      <c r="DRZ54" s="556"/>
      <c r="DSA54" s="556"/>
      <c r="DSB54" s="556"/>
      <c r="DSC54" s="556"/>
      <c r="DSD54" s="556"/>
      <c r="DSE54" s="556"/>
      <c r="DSF54" s="556"/>
      <c r="DSG54" s="556"/>
      <c r="DSH54" s="556"/>
      <c r="DSI54" s="556"/>
      <c r="DSJ54" s="556"/>
      <c r="DSK54" s="556"/>
      <c r="DSL54" s="556"/>
      <c r="DSM54" s="556"/>
      <c r="DSN54" s="556"/>
      <c r="DSO54" s="556"/>
      <c r="DSP54" s="556"/>
      <c r="DSQ54" s="556"/>
      <c r="DSR54" s="556"/>
      <c r="DSS54" s="556"/>
      <c r="DST54" s="556"/>
      <c r="DSU54" s="556"/>
      <c r="DSV54" s="556"/>
      <c r="DSW54" s="556"/>
      <c r="DSX54" s="556"/>
      <c r="DSY54" s="556"/>
      <c r="DSZ54" s="556"/>
      <c r="DTA54" s="556"/>
      <c r="DTB54" s="556"/>
      <c r="DTC54" s="556"/>
      <c r="DTD54" s="556"/>
      <c r="DTE54" s="556"/>
      <c r="DTF54" s="556"/>
      <c r="DTG54" s="556"/>
      <c r="DTH54" s="556"/>
      <c r="DTI54" s="556"/>
      <c r="DTJ54" s="556"/>
      <c r="DTK54" s="556"/>
      <c r="DTL54" s="556"/>
      <c r="DTM54" s="556"/>
      <c r="DTN54" s="556"/>
      <c r="DTO54" s="556"/>
      <c r="DTP54" s="556"/>
      <c r="DTQ54" s="556"/>
      <c r="DTR54" s="556"/>
      <c r="DTS54" s="556"/>
      <c r="DTT54" s="556"/>
      <c r="DTU54" s="556"/>
      <c r="DTV54" s="556"/>
      <c r="DTW54" s="556"/>
      <c r="DTX54" s="556"/>
      <c r="DTY54" s="556"/>
      <c r="DTZ54" s="556"/>
      <c r="DUA54" s="556"/>
      <c r="DUB54" s="556"/>
      <c r="DUC54" s="556"/>
      <c r="DUD54" s="556"/>
      <c r="DUE54" s="556"/>
      <c r="DUF54" s="556"/>
      <c r="DUG54" s="556"/>
      <c r="DUH54" s="556"/>
      <c r="DUI54" s="556"/>
      <c r="DUJ54" s="556"/>
      <c r="DUK54" s="556"/>
      <c r="DUL54" s="556"/>
      <c r="DUM54" s="556"/>
      <c r="DUN54" s="556"/>
      <c r="DUO54" s="556"/>
      <c r="DUP54" s="556"/>
      <c r="DUQ54" s="556"/>
      <c r="DUR54" s="556"/>
      <c r="DUS54" s="556"/>
      <c r="DUT54" s="556"/>
      <c r="DUU54" s="556"/>
      <c r="DUV54" s="556"/>
      <c r="DUW54" s="556"/>
      <c r="DUX54" s="556"/>
      <c r="DUY54" s="556"/>
      <c r="DUZ54" s="556"/>
      <c r="DVA54" s="556"/>
      <c r="DVB54" s="556"/>
      <c r="DVC54" s="556"/>
      <c r="DVD54" s="556"/>
      <c r="DVE54" s="556"/>
      <c r="DVF54" s="556"/>
      <c r="DVG54" s="556"/>
      <c r="DVH54" s="556"/>
      <c r="DVI54" s="556"/>
      <c r="DVJ54" s="556"/>
      <c r="DVK54" s="556"/>
      <c r="DVL54" s="556"/>
      <c r="DVM54" s="556"/>
      <c r="DVN54" s="556"/>
      <c r="DVO54" s="556"/>
      <c r="DVP54" s="556"/>
      <c r="DVQ54" s="556"/>
      <c r="DVR54" s="556"/>
      <c r="DVS54" s="556"/>
      <c r="DVT54" s="556"/>
      <c r="DVU54" s="556"/>
      <c r="DVV54" s="556"/>
      <c r="DVW54" s="556"/>
      <c r="DVX54" s="556"/>
      <c r="DVY54" s="556"/>
      <c r="DVZ54" s="556"/>
      <c r="DWA54" s="556"/>
      <c r="DWB54" s="556"/>
      <c r="DWC54" s="556"/>
      <c r="DWD54" s="556"/>
      <c r="DWE54" s="556"/>
      <c r="DWF54" s="556"/>
      <c r="DWG54" s="556"/>
      <c r="DWH54" s="556"/>
      <c r="DWI54" s="556"/>
      <c r="DWJ54" s="556"/>
      <c r="DWK54" s="556"/>
      <c r="DWL54" s="556"/>
      <c r="DWM54" s="556"/>
      <c r="DWN54" s="556"/>
      <c r="DWO54" s="556"/>
      <c r="DWP54" s="556"/>
      <c r="DWQ54" s="556"/>
      <c r="DWR54" s="556"/>
      <c r="DWS54" s="556"/>
      <c r="DWT54" s="556"/>
      <c r="DWU54" s="556"/>
      <c r="DWV54" s="556"/>
      <c r="DWW54" s="556"/>
      <c r="DWX54" s="556"/>
      <c r="DWY54" s="556"/>
      <c r="DWZ54" s="556"/>
      <c r="DXA54" s="556"/>
      <c r="DXB54" s="556"/>
      <c r="DXC54" s="556"/>
      <c r="DXD54" s="556"/>
      <c r="DXE54" s="556"/>
      <c r="DXF54" s="556"/>
      <c r="DXG54" s="556"/>
      <c r="DXH54" s="556"/>
      <c r="DXI54" s="556"/>
      <c r="DXJ54" s="556"/>
      <c r="DXK54" s="556"/>
      <c r="DXL54" s="556"/>
      <c r="DXM54" s="556"/>
      <c r="DXN54" s="556"/>
      <c r="DXO54" s="556"/>
      <c r="DXP54" s="556"/>
      <c r="DXQ54" s="556"/>
      <c r="DXR54" s="556"/>
      <c r="DXS54" s="556"/>
      <c r="DXT54" s="556"/>
      <c r="DXU54" s="556"/>
      <c r="DXV54" s="556"/>
      <c r="DXW54" s="556"/>
      <c r="DXX54" s="556"/>
      <c r="DXY54" s="556"/>
      <c r="DXZ54" s="556"/>
      <c r="DYA54" s="556"/>
      <c r="DYB54" s="556"/>
      <c r="DYC54" s="556"/>
      <c r="DYD54" s="556"/>
      <c r="DYE54" s="556"/>
      <c r="DYF54" s="556"/>
      <c r="DYG54" s="556"/>
      <c r="DYH54" s="556"/>
      <c r="DYI54" s="556"/>
      <c r="DYJ54" s="556"/>
      <c r="DYK54" s="556"/>
      <c r="DYL54" s="556"/>
      <c r="DYM54" s="556"/>
      <c r="DYN54" s="556"/>
      <c r="DYO54" s="556"/>
      <c r="DYP54" s="556"/>
      <c r="DYQ54" s="556"/>
      <c r="DYR54" s="556"/>
      <c r="DYS54" s="556"/>
      <c r="DYT54" s="556"/>
      <c r="DYU54" s="556"/>
      <c r="DYV54" s="556"/>
      <c r="DYW54" s="556"/>
      <c r="DYX54" s="556"/>
      <c r="DYY54" s="556"/>
      <c r="DYZ54" s="556"/>
      <c r="DZA54" s="556"/>
      <c r="DZB54" s="556"/>
      <c r="DZC54" s="556"/>
      <c r="DZD54" s="556"/>
      <c r="DZE54" s="556"/>
      <c r="DZF54" s="556"/>
      <c r="DZG54" s="556"/>
      <c r="DZH54" s="556"/>
      <c r="DZI54" s="556"/>
      <c r="DZJ54" s="556"/>
      <c r="DZK54" s="556"/>
      <c r="DZL54" s="556"/>
      <c r="DZM54" s="556"/>
      <c r="DZN54" s="556"/>
      <c r="DZO54" s="556"/>
      <c r="DZP54" s="556"/>
      <c r="DZQ54" s="556"/>
      <c r="DZR54" s="556"/>
      <c r="DZS54" s="556"/>
      <c r="DZT54" s="556"/>
      <c r="DZU54" s="556"/>
      <c r="DZV54" s="556"/>
      <c r="DZW54" s="556"/>
      <c r="DZX54" s="556"/>
      <c r="DZY54" s="556"/>
      <c r="DZZ54" s="556"/>
      <c r="EAA54" s="556"/>
      <c r="EAB54" s="556"/>
      <c r="EAC54" s="556"/>
      <c r="EAD54" s="556"/>
      <c r="EAE54" s="556"/>
      <c r="EAF54" s="556"/>
      <c r="EAG54" s="556"/>
      <c r="EAH54" s="556"/>
      <c r="EAI54" s="556"/>
      <c r="EAJ54" s="556"/>
      <c r="EAK54" s="556"/>
      <c r="EAL54" s="556"/>
      <c r="EAM54" s="556"/>
      <c r="EAN54" s="556"/>
      <c r="EAO54" s="556"/>
      <c r="EAP54" s="556"/>
      <c r="EAQ54" s="556"/>
      <c r="EAR54" s="556"/>
      <c r="EAS54" s="556"/>
      <c r="EAT54" s="556"/>
      <c r="EAU54" s="556"/>
      <c r="EAV54" s="556"/>
      <c r="EAW54" s="556"/>
      <c r="EAX54" s="556"/>
      <c r="EAY54" s="556"/>
      <c r="EAZ54" s="556"/>
      <c r="EBA54" s="556"/>
      <c r="EBB54" s="556"/>
      <c r="EBC54" s="556"/>
      <c r="EBD54" s="556"/>
      <c r="EBE54" s="556"/>
      <c r="EBF54" s="556"/>
      <c r="EBG54" s="556"/>
      <c r="EBH54" s="556"/>
      <c r="EBI54" s="556"/>
      <c r="EBJ54" s="556"/>
      <c r="EBK54" s="556"/>
      <c r="EBL54" s="556"/>
      <c r="EBM54" s="556"/>
      <c r="EBN54" s="556"/>
      <c r="EBO54" s="556"/>
      <c r="EBP54" s="556"/>
      <c r="EBQ54" s="556"/>
      <c r="EBR54" s="556"/>
      <c r="EBS54" s="556"/>
      <c r="EBT54" s="556"/>
      <c r="EBU54" s="556"/>
      <c r="EBV54" s="556"/>
      <c r="EBW54" s="556"/>
      <c r="EBX54" s="556"/>
      <c r="EBY54" s="556"/>
      <c r="EBZ54" s="556"/>
      <c r="ECA54" s="556"/>
      <c r="ECB54" s="556"/>
      <c r="ECC54" s="556"/>
      <c r="ECD54" s="556"/>
      <c r="ECE54" s="556"/>
      <c r="ECF54" s="556"/>
      <c r="ECG54" s="556"/>
      <c r="ECH54" s="556"/>
      <c r="ECI54" s="556"/>
      <c r="ECJ54" s="556"/>
      <c r="ECK54" s="556"/>
      <c r="ECL54" s="556"/>
      <c r="ECM54" s="556"/>
      <c r="ECN54" s="556"/>
      <c r="ECO54" s="556"/>
      <c r="ECP54" s="556"/>
      <c r="ECQ54" s="556"/>
      <c r="ECR54" s="556"/>
      <c r="ECS54" s="556"/>
      <c r="ECT54" s="556"/>
      <c r="ECU54" s="556"/>
      <c r="ECV54" s="556"/>
      <c r="ECW54" s="556"/>
      <c r="ECX54" s="556"/>
      <c r="ECY54" s="556"/>
      <c r="ECZ54" s="556"/>
      <c r="EDA54" s="556"/>
      <c r="EDB54" s="556"/>
      <c r="EDC54" s="556"/>
      <c r="EDD54" s="556"/>
      <c r="EDE54" s="556"/>
      <c r="EDF54" s="556"/>
      <c r="EDG54" s="556"/>
      <c r="EDH54" s="556"/>
      <c r="EDI54" s="556"/>
      <c r="EDJ54" s="556"/>
      <c r="EDK54" s="556"/>
      <c r="EDL54" s="556"/>
      <c r="EDM54" s="556"/>
      <c r="EDN54" s="556"/>
      <c r="EDO54" s="556"/>
      <c r="EDP54" s="556"/>
      <c r="EDQ54" s="556"/>
      <c r="EDR54" s="556"/>
      <c r="EDS54" s="556"/>
      <c r="EDT54" s="556"/>
      <c r="EDU54" s="556"/>
      <c r="EDV54" s="556"/>
      <c r="EDW54" s="556"/>
      <c r="EDX54" s="556"/>
      <c r="EDY54" s="556"/>
      <c r="EDZ54" s="556"/>
      <c r="EEA54" s="556"/>
      <c r="EEB54" s="556"/>
      <c r="EEC54" s="556"/>
      <c r="EED54" s="556"/>
      <c r="EEE54" s="556"/>
      <c r="EEF54" s="556"/>
      <c r="EEG54" s="556"/>
      <c r="EEH54" s="556"/>
      <c r="EEI54" s="556"/>
      <c r="EEJ54" s="556"/>
      <c r="EEK54" s="556"/>
      <c r="EEL54" s="556"/>
      <c r="EEM54" s="556"/>
      <c r="EEN54" s="556"/>
      <c r="EEO54" s="556"/>
      <c r="EEP54" s="556"/>
      <c r="EEQ54" s="556"/>
      <c r="EER54" s="556"/>
      <c r="EES54" s="556"/>
      <c r="EET54" s="556"/>
      <c r="EEU54" s="556"/>
      <c r="EEV54" s="556"/>
      <c r="EEW54" s="556"/>
      <c r="EEX54" s="556"/>
      <c r="EEY54" s="556"/>
      <c r="EEZ54" s="556"/>
      <c r="EFA54" s="556"/>
      <c r="EFB54" s="556"/>
      <c r="EFC54" s="556"/>
      <c r="EFD54" s="556"/>
      <c r="EFE54" s="556"/>
      <c r="EFF54" s="556"/>
      <c r="EFG54" s="556"/>
      <c r="EFH54" s="556"/>
      <c r="EFI54" s="556"/>
      <c r="EFJ54" s="556"/>
      <c r="EFK54" s="556"/>
      <c r="EFL54" s="556"/>
      <c r="EFM54" s="556"/>
      <c r="EFN54" s="556"/>
      <c r="EFO54" s="556"/>
      <c r="EFP54" s="556"/>
      <c r="EFQ54" s="556"/>
      <c r="EFR54" s="556"/>
      <c r="EFS54" s="556"/>
      <c r="EFT54" s="556"/>
      <c r="EFU54" s="556"/>
      <c r="EFV54" s="556"/>
      <c r="EFW54" s="556"/>
      <c r="EFX54" s="556"/>
      <c r="EFY54" s="556"/>
      <c r="EFZ54" s="556"/>
      <c r="EGA54" s="556"/>
      <c r="EGB54" s="556"/>
      <c r="EGC54" s="556"/>
      <c r="EGD54" s="556"/>
      <c r="EGE54" s="556"/>
      <c r="EGF54" s="556"/>
      <c r="EGG54" s="556"/>
      <c r="EGH54" s="556"/>
      <c r="EGI54" s="556"/>
      <c r="EGJ54" s="556"/>
      <c r="EGK54" s="556"/>
      <c r="EGL54" s="556"/>
      <c r="EGM54" s="556"/>
      <c r="EGN54" s="556"/>
      <c r="EGO54" s="556"/>
      <c r="EGP54" s="556"/>
      <c r="EGQ54" s="556"/>
      <c r="EGR54" s="556"/>
      <c r="EGS54" s="556"/>
      <c r="EGT54" s="556"/>
      <c r="EGU54" s="556"/>
      <c r="EGV54" s="556"/>
      <c r="EGW54" s="556"/>
      <c r="EGX54" s="556"/>
      <c r="EGY54" s="556"/>
      <c r="EGZ54" s="556"/>
      <c r="EHA54" s="556"/>
      <c r="EHB54" s="556"/>
      <c r="EHC54" s="556"/>
      <c r="EHD54" s="556"/>
      <c r="EHE54" s="556"/>
      <c r="EHF54" s="556"/>
      <c r="EHG54" s="556"/>
      <c r="EHH54" s="556"/>
      <c r="EHI54" s="556"/>
      <c r="EHJ54" s="556"/>
      <c r="EHK54" s="556"/>
      <c r="EHL54" s="556"/>
      <c r="EHM54" s="556"/>
      <c r="EHN54" s="556"/>
      <c r="EHO54" s="556"/>
      <c r="EHP54" s="556"/>
      <c r="EHQ54" s="556"/>
      <c r="EHR54" s="556"/>
      <c r="EHS54" s="556"/>
      <c r="EHT54" s="556"/>
      <c r="EHU54" s="556"/>
      <c r="EHV54" s="556"/>
      <c r="EHW54" s="556"/>
      <c r="EHX54" s="556"/>
      <c r="EHY54" s="556"/>
      <c r="EHZ54" s="556"/>
      <c r="EIA54" s="556"/>
      <c r="EIB54" s="556"/>
      <c r="EIC54" s="556"/>
      <c r="EID54" s="556"/>
      <c r="EIE54" s="556"/>
      <c r="EIF54" s="556"/>
      <c r="EIG54" s="556"/>
      <c r="EIH54" s="556"/>
      <c r="EII54" s="556"/>
      <c r="EIJ54" s="556"/>
      <c r="EIK54" s="556"/>
      <c r="EIL54" s="556"/>
      <c r="EIM54" s="556"/>
      <c r="EIN54" s="556"/>
      <c r="EIO54" s="556"/>
      <c r="EIP54" s="556"/>
      <c r="EIQ54" s="556"/>
      <c r="EIR54" s="556"/>
      <c r="EIS54" s="556"/>
      <c r="EIT54" s="556"/>
      <c r="EIU54" s="556"/>
      <c r="EIV54" s="556"/>
      <c r="EIW54" s="556"/>
      <c r="EIX54" s="556"/>
      <c r="EIY54" s="556"/>
      <c r="EIZ54" s="556"/>
      <c r="EJA54" s="556"/>
      <c r="EJB54" s="556"/>
      <c r="EJC54" s="556"/>
      <c r="EJD54" s="556"/>
      <c r="EJE54" s="556"/>
      <c r="EJF54" s="556"/>
      <c r="EJG54" s="556"/>
      <c r="EJH54" s="556"/>
      <c r="EJI54" s="556"/>
      <c r="EJJ54" s="556"/>
      <c r="EJK54" s="556"/>
      <c r="EJL54" s="556"/>
      <c r="EJM54" s="556"/>
      <c r="EJN54" s="556"/>
      <c r="EJO54" s="556"/>
      <c r="EJP54" s="556"/>
      <c r="EJQ54" s="556"/>
      <c r="EJR54" s="556"/>
      <c r="EJS54" s="556"/>
      <c r="EJT54" s="556"/>
      <c r="EJU54" s="556"/>
      <c r="EJV54" s="556"/>
      <c r="EJW54" s="556"/>
      <c r="EJX54" s="556"/>
      <c r="EJY54" s="556"/>
      <c r="EJZ54" s="556"/>
      <c r="EKA54" s="556"/>
      <c r="EKB54" s="556"/>
      <c r="EKC54" s="556"/>
      <c r="EKD54" s="556"/>
      <c r="EKE54" s="556"/>
      <c r="EKF54" s="556"/>
      <c r="EKG54" s="556"/>
      <c r="EKH54" s="556"/>
      <c r="EKI54" s="556"/>
      <c r="EKJ54" s="556"/>
      <c r="EKK54" s="556"/>
      <c r="EKL54" s="556"/>
      <c r="EKM54" s="556"/>
      <c r="EKN54" s="556"/>
      <c r="EKO54" s="556"/>
      <c r="EKP54" s="556"/>
      <c r="EKQ54" s="556"/>
      <c r="EKR54" s="556"/>
      <c r="EKS54" s="556"/>
      <c r="EKT54" s="556"/>
      <c r="EKU54" s="556"/>
      <c r="EKV54" s="556"/>
      <c r="EKW54" s="556"/>
      <c r="EKX54" s="556"/>
      <c r="EKY54" s="556"/>
      <c r="EKZ54" s="556"/>
      <c r="ELA54" s="556"/>
      <c r="ELB54" s="556"/>
      <c r="ELC54" s="556"/>
      <c r="ELD54" s="556"/>
      <c r="ELE54" s="556"/>
      <c r="ELF54" s="556"/>
      <c r="ELG54" s="556"/>
      <c r="ELH54" s="556"/>
      <c r="ELI54" s="556"/>
      <c r="ELJ54" s="556"/>
      <c r="ELK54" s="556"/>
      <c r="ELL54" s="556"/>
      <c r="ELM54" s="556"/>
      <c r="ELN54" s="556"/>
      <c r="ELO54" s="556"/>
      <c r="ELP54" s="556"/>
      <c r="ELQ54" s="556"/>
      <c r="ELR54" s="556"/>
      <c r="ELS54" s="556"/>
      <c r="ELT54" s="556"/>
      <c r="ELU54" s="556"/>
      <c r="ELV54" s="556"/>
      <c r="ELW54" s="556"/>
      <c r="ELX54" s="556"/>
      <c r="ELY54" s="556"/>
      <c r="ELZ54" s="556"/>
      <c r="EMA54" s="556"/>
      <c r="EMB54" s="556"/>
      <c r="EMC54" s="556"/>
      <c r="EMD54" s="556"/>
      <c r="EME54" s="556"/>
      <c r="EMF54" s="556"/>
      <c r="EMG54" s="556"/>
      <c r="EMH54" s="556"/>
      <c r="EMI54" s="556"/>
      <c r="EMJ54" s="556"/>
      <c r="EMK54" s="556"/>
      <c r="EML54" s="556"/>
      <c r="EMM54" s="556"/>
      <c r="EMN54" s="556"/>
      <c r="EMO54" s="556"/>
      <c r="EMP54" s="556"/>
      <c r="EMQ54" s="556"/>
      <c r="EMR54" s="556"/>
      <c r="EMS54" s="556"/>
      <c r="EMT54" s="556"/>
      <c r="EMU54" s="556"/>
      <c r="EMV54" s="556"/>
      <c r="EMW54" s="556"/>
      <c r="EMX54" s="556"/>
      <c r="EMY54" s="556"/>
      <c r="EMZ54" s="556"/>
      <c r="ENA54" s="556"/>
      <c r="ENB54" s="556"/>
      <c r="ENC54" s="556"/>
      <c r="END54" s="556"/>
      <c r="ENE54" s="556"/>
      <c r="ENF54" s="556"/>
      <c r="ENG54" s="556"/>
      <c r="ENH54" s="556"/>
      <c r="ENI54" s="556"/>
      <c r="ENJ54" s="556"/>
      <c r="ENK54" s="556"/>
      <c r="ENL54" s="556"/>
      <c r="ENM54" s="556"/>
      <c r="ENN54" s="556"/>
      <c r="ENO54" s="556"/>
      <c r="ENP54" s="556"/>
      <c r="ENQ54" s="556"/>
      <c r="ENR54" s="556"/>
      <c r="ENS54" s="556"/>
      <c r="ENT54" s="556"/>
      <c r="ENU54" s="556"/>
      <c r="ENV54" s="556"/>
      <c r="ENW54" s="556"/>
      <c r="ENX54" s="556"/>
      <c r="ENY54" s="556"/>
      <c r="ENZ54" s="556"/>
      <c r="EOA54" s="556"/>
      <c r="EOB54" s="556"/>
      <c r="EOC54" s="556"/>
      <c r="EOD54" s="556"/>
      <c r="EOE54" s="556"/>
      <c r="EOF54" s="556"/>
      <c r="EOG54" s="556"/>
      <c r="EOH54" s="556"/>
      <c r="EOI54" s="556"/>
      <c r="EOJ54" s="556"/>
      <c r="EOK54" s="556"/>
      <c r="EOL54" s="556"/>
      <c r="EOM54" s="556"/>
      <c r="EON54" s="556"/>
      <c r="EOO54" s="556"/>
      <c r="EOP54" s="556"/>
      <c r="EOQ54" s="556"/>
      <c r="EOR54" s="556"/>
      <c r="EOS54" s="556"/>
      <c r="EOT54" s="556"/>
      <c r="EOU54" s="556"/>
      <c r="EOV54" s="556"/>
      <c r="EOW54" s="556"/>
      <c r="EOX54" s="556"/>
      <c r="EOY54" s="556"/>
      <c r="EOZ54" s="556"/>
      <c r="EPA54" s="556"/>
      <c r="EPB54" s="556"/>
      <c r="EPC54" s="556"/>
      <c r="EPD54" s="556"/>
      <c r="EPE54" s="556"/>
      <c r="EPF54" s="556"/>
      <c r="EPG54" s="556"/>
      <c r="EPH54" s="556"/>
      <c r="EPI54" s="556"/>
      <c r="EPJ54" s="556"/>
      <c r="EPK54" s="556"/>
      <c r="EPL54" s="556"/>
      <c r="EPM54" s="556"/>
      <c r="EPN54" s="556"/>
      <c r="EPO54" s="556"/>
      <c r="EPP54" s="556"/>
      <c r="EPQ54" s="556"/>
      <c r="EPR54" s="556"/>
      <c r="EPS54" s="556"/>
      <c r="EPT54" s="556"/>
      <c r="EPU54" s="556"/>
      <c r="EPV54" s="556"/>
      <c r="EPW54" s="556"/>
      <c r="EPX54" s="556"/>
      <c r="EPY54" s="556"/>
      <c r="EPZ54" s="556"/>
      <c r="EQA54" s="556"/>
      <c r="EQB54" s="556"/>
      <c r="EQC54" s="556"/>
      <c r="EQD54" s="556"/>
      <c r="EQE54" s="556"/>
      <c r="EQF54" s="556"/>
      <c r="EQG54" s="556"/>
      <c r="EQH54" s="556"/>
      <c r="EQI54" s="556"/>
      <c r="EQJ54" s="556"/>
      <c r="EQK54" s="556"/>
      <c r="EQL54" s="556"/>
      <c r="EQM54" s="556"/>
      <c r="EQN54" s="556"/>
      <c r="EQO54" s="556"/>
      <c r="EQP54" s="556"/>
      <c r="EQQ54" s="556"/>
      <c r="EQR54" s="556"/>
      <c r="EQS54" s="556"/>
      <c r="EQT54" s="556"/>
      <c r="EQU54" s="556"/>
      <c r="EQV54" s="556"/>
      <c r="EQW54" s="556"/>
      <c r="EQX54" s="556"/>
      <c r="EQY54" s="556"/>
      <c r="EQZ54" s="556"/>
      <c r="ERA54" s="556"/>
      <c r="ERB54" s="556"/>
      <c r="ERC54" s="556"/>
      <c r="ERD54" s="556"/>
      <c r="ERE54" s="556"/>
      <c r="ERF54" s="556"/>
      <c r="ERG54" s="556"/>
      <c r="ERH54" s="556"/>
      <c r="ERI54" s="556"/>
      <c r="ERJ54" s="556"/>
      <c r="ERK54" s="556"/>
      <c r="ERL54" s="556"/>
      <c r="ERM54" s="556"/>
      <c r="ERN54" s="556"/>
      <c r="ERO54" s="556"/>
      <c r="ERP54" s="556"/>
      <c r="ERQ54" s="556"/>
      <c r="ERR54" s="556"/>
      <c r="ERS54" s="556"/>
      <c r="ERT54" s="556"/>
      <c r="ERU54" s="556"/>
      <c r="ERV54" s="556"/>
      <c r="ERW54" s="556"/>
      <c r="ERX54" s="556"/>
      <c r="ERY54" s="556"/>
      <c r="ERZ54" s="556"/>
      <c r="ESA54" s="556"/>
      <c r="ESB54" s="556"/>
      <c r="ESC54" s="556"/>
      <c r="ESD54" s="556"/>
      <c r="ESE54" s="556"/>
      <c r="ESF54" s="556"/>
      <c r="ESG54" s="556"/>
      <c r="ESH54" s="556"/>
      <c r="ESI54" s="556"/>
      <c r="ESJ54" s="556"/>
      <c r="ESK54" s="556"/>
      <c r="ESL54" s="556"/>
      <c r="ESM54" s="556"/>
      <c r="ESN54" s="556"/>
      <c r="ESO54" s="556"/>
      <c r="ESP54" s="556"/>
      <c r="ESQ54" s="556"/>
      <c r="ESR54" s="556"/>
      <c r="ESS54" s="556"/>
      <c r="EST54" s="556"/>
      <c r="ESU54" s="556"/>
      <c r="ESV54" s="556"/>
      <c r="ESW54" s="556"/>
      <c r="ESX54" s="556"/>
      <c r="ESY54" s="556"/>
      <c r="ESZ54" s="556"/>
      <c r="ETA54" s="556"/>
      <c r="ETB54" s="556"/>
      <c r="ETC54" s="556"/>
      <c r="ETD54" s="556"/>
      <c r="ETE54" s="556"/>
      <c r="ETF54" s="556"/>
      <c r="ETG54" s="556"/>
      <c r="ETH54" s="556"/>
      <c r="ETI54" s="556"/>
      <c r="ETJ54" s="556"/>
      <c r="ETK54" s="556"/>
      <c r="ETL54" s="556"/>
      <c r="ETM54" s="556"/>
      <c r="ETN54" s="556"/>
      <c r="ETO54" s="556"/>
      <c r="ETP54" s="556"/>
      <c r="ETQ54" s="556"/>
      <c r="ETR54" s="556"/>
      <c r="ETS54" s="556"/>
      <c r="ETT54" s="556"/>
      <c r="ETU54" s="556"/>
      <c r="ETV54" s="556"/>
      <c r="ETW54" s="556"/>
      <c r="ETX54" s="556"/>
      <c r="ETY54" s="556"/>
      <c r="ETZ54" s="556"/>
      <c r="EUA54" s="556"/>
      <c r="EUB54" s="556"/>
      <c r="EUC54" s="556"/>
      <c r="EUD54" s="556"/>
      <c r="EUE54" s="556"/>
      <c r="EUF54" s="556"/>
      <c r="EUG54" s="556"/>
      <c r="EUH54" s="556"/>
      <c r="EUI54" s="556"/>
      <c r="EUJ54" s="556"/>
      <c r="EUK54" s="556"/>
      <c r="EUL54" s="556"/>
      <c r="EUM54" s="556"/>
      <c r="EUN54" s="556"/>
      <c r="EUO54" s="556"/>
      <c r="EUP54" s="556"/>
      <c r="EUQ54" s="556"/>
      <c r="EUR54" s="556"/>
      <c r="EUS54" s="556"/>
      <c r="EUT54" s="556"/>
      <c r="EUU54" s="556"/>
      <c r="EUV54" s="556"/>
      <c r="EUW54" s="556"/>
      <c r="EUX54" s="556"/>
      <c r="EUY54" s="556"/>
      <c r="EUZ54" s="556"/>
      <c r="EVA54" s="556"/>
      <c r="EVB54" s="556"/>
      <c r="EVC54" s="556"/>
      <c r="EVD54" s="556"/>
      <c r="EVE54" s="556"/>
      <c r="EVF54" s="556"/>
      <c r="EVG54" s="556"/>
      <c r="EVH54" s="556"/>
      <c r="EVI54" s="556"/>
      <c r="EVJ54" s="556"/>
      <c r="EVK54" s="556"/>
      <c r="EVL54" s="556"/>
      <c r="EVM54" s="556"/>
      <c r="EVN54" s="556"/>
      <c r="EVO54" s="556"/>
      <c r="EVP54" s="556"/>
      <c r="EVQ54" s="556"/>
      <c r="EVR54" s="556"/>
      <c r="EVS54" s="556"/>
      <c r="EVT54" s="556"/>
      <c r="EVU54" s="556"/>
      <c r="EVV54" s="556"/>
      <c r="EVW54" s="556"/>
      <c r="EVX54" s="556"/>
      <c r="EVY54" s="556"/>
      <c r="EVZ54" s="556"/>
      <c r="EWA54" s="556"/>
      <c r="EWB54" s="556"/>
      <c r="EWC54" s="556"/>
      <c r="EWD54" s="556"/>
      <c r="EWE54" s="556"/>
      <c r="EWF54" s="556"/>
      <c r="EWG54" s="556"/>
      <c r="EWH54" s="556"/>
      <c r="EWI54" s="556"/>
      <c r="EWJ54" s="556"/>
      <c r="EWK54" s="556"/>
      <c r="EWL54" s="556"/>
      <c r="EWM54" s="556"/>
      <c r="EWN54" s="556"/>
      <c r="EWO54" s="556"/>
      <c r="EWP54" s="556"/>
      <c r="EWQ54" s="556"/>
      <c r="EWR54" s="556"/>
      <c r="EWS54" s="556"/>
      <c r="EWT54" s="556"/>
      <c r="EWU54" s="556"/>
      <c r="EWV54" s="556"/>
      <c r="EWW54" s="556"/>
      <c r="EWX54" s="556"/>
      <c r="EWY54" s="556"/>
      <c r="EWZ54" s="556"/>
      <c r="EXA54" s="556"/>
      <c r="EXB54" s="556"/>
      <c r="EXC54" s="556"/>
      <c r="EXD54" s="556"/>
      <c r="EXE54" s="556"/>
      <c r="EXF54" s="556"/>
      <c r="EXG54" s="556"/>
      <c r="EXH54" s="556"/>
      <c r="EXI54" s="556"/>
      <c r="EXJ54" s="556"/>
      <c r="EXK54" s="556"/>
      <c r="EXL54" s="556"/>
      <c r="EXM54" s="556"/>
      <c r="EXN54" s="556"/>
      <c r="EXO54" s="556"/>
      <c r="EXP54" s="556"/>
      <c r="EXQ54" s="556"/>
      <c r="EXR54" s="556"/>
      <c r="EXS54" s="556"/>
      <c r="EXT54" s="556"/>
      <c r="EXU54" s="556"/>
      <c r="EXV54" s="556"/>
      <c r="EXW54" s="556"/>
      <c r="EXX54" s="556"/>
      <c r="EXY54" s="556"/>
      <c r="EXZ54" s="556"/>
      <c r="EYA54" s="556"/>
      <c r="EYB54" s="556"/>
      <c r="EYC54" s="556"/>
      <c r="EYD54" s="556"/>
      <c r="EYE54" s="556"/>
      <c r="EYF54" s="556"/>
      <c r="EYG54" s="556"/>
      <c r="EYH54" s="556"/>
      <c r="EYI54" s="556"/>
      <c r="EYJ54" s="556"/>
      <c r="EYK54" s="556"/>
      <c r="EYL54" s="556"/>
      <c r="EYM54" s="556"/>
      <c r="EYN54" s="556"/>
      <c r="EYO54" s="556"/>
      <c r="EYP54" s="556"/>
      <c r="EYQ54" s="556"/>
      <c r="EYR54" s="556"/>
      <c r="EYS54" s="556"/>
      <c r="EYT54" s="556"/>
      <c r="EYU54" s="556"/>
      <c r="EYV54" s="556"/>
      <c r="EYW54" s="556"/>
      <c r="EYX54" s="556"/>
      <c r="EYY54" s="556"/>
      <c r="EYZ54" s="556"/>
      <c r="EZA54" s="556"/>
      <c r="EZB54" s="556"/>
      <c r="EZC54" s="556"/>
      <c r="EZD54" s="556"/>
      <c r="EZE54" s="556"/>
      <c r="EZF54" s="556"/>
      <c r="EZG54" s="556"/>
      <c r="EZH54" s="556"/>
      <c r="EZI54" s="556"/>
      <c r="EZJ54" s="556"/>
      <c r="EZK54" s="556"/>
      <c r="EZL54" s="556"/>
      <c r="EZM54" s="556"/>
      <c r="EZN54" s="556"/>
      <c r="EZO54" s="556"/>
      <c r="EZP54" s="556"/>
      <c r="EZQ54" s="556"/>
      <c r="EZR54" s="556"/>
      <c r="EZS54" s="556"/>
      <c r="EZT54" s="556"/>
      <c r="EZU54" s="556"/>
      <c r="EZV54" s="556"/>
      <c r="EZW54" s="556"/>
      <c r="EZX54" s="556"/>
      <c r="EZY54" s="556"/>
      <c r="EZZ54" s="556"/>
      <c r="FAA54" s="556"/>
      <c r="FAB54" s="556"/>
      <c r="FAC54" s="556"/>
      <c r="FAD54" s="556"/>
      <c r="FAE54" s="556"/>
      <c r="FAF54" s="556"/>
      <c r="FAG54" s="556"/>
      <c r="FAH54" s="556"/>
      <c r="FAI54" s="556"/>
      <c r="FAJ54" s="556"/>
      <c r="FAK54" s="556"/>
      <c r="FAL54" s="556"/>
      <c r="FAM54" s="556"/>
      <c r="FAN54" s="556"/>
      <c r="FAO54" s="556"/>
      <c r="FAP54" s="556"/>
      <c r="FAQ54" s="556"/>
      <c r="FAR54" s="556"/>
      <c r="FAS54" s="556"/>
      <c r="FAT54" s="556"/>
      <c r="FAU54" s="556"/>
      <c r="FAV54" s="556"/>
      <c r="FAW54" s="556"/>
      <c r="FAX54" s="556"/>
      <c r="FAY54" s="556"/>
      <c r="FAZ54" s="556"/>
      <c r="FBA54" s="556"/>
      <c r="FBB54" s="556"/>
      <c r="FBC54" s="556"/>
      <c r="FBD54" s="556"/>
      <c r="FBE54" s="556"/>
      <c r="FBF54" s="556"/>
      <c r="FBG54" s="556"/>
      <c r="FBH54" s="556"/>
      <c r="FBI54" s="556"/>
      <c r="FBJ54" s="556"/>
      <c r="FBK54" s="556"/>
      <c r="FBL54" s="556"/>
      <c r="FBM54" s="556"/>
      <c r="FBN54" s="556"/>
      <c r="FBO54" s="556"/>
      <c r="FBP54" s="556"/>
      <c r="FBQ54" s="556"/>
      <c r="FBR54" s="556"/>
      <c r="FBS54" s="556"/>
      <c r="FBT54" s="556"/>
      <c r="FBU54" s="556"/>
      <c r="FBV54" s="556"/>
      <c r="FBW54" s="556"/>
      <c r="FBX54" s="556"/>
      <c r="FBY54" s="556"/>
      <c r="FBZ54" s="556"/>
      <c r="FCA54" s="556"/>
      <c r="FCB54" s="556"/>
      <c r="FCC54" s="556"/>
      <c r="FCD54" s="556"/>
      <c r="FCE54" s="556"/>
      <c r="FCF54" s="556"/>
      <c r="FCG54" s="556"/>
      <c r="FCH54" s="556"/>
      <c r="FCI54" s="556"/>
      <c r="FCJ54" s="556"/>
      <c r="FCK54" s="556"/>
      <c r="FCL54" s="556"/>
      <c r="FCM54" s="556"/>
      <c r="FCN54" s="556"/>
      <c r="FCO54" s="556"/>
      <c r="FCP54" s="556"/>
      <c r="FCQ54" s="556"/>
      <c r="FCR54" s="556"/>
      <c r="FCS54" s="556"/>
      <c r="FCT54" s="556"/>
      <c r="FCU54" s="556"/>
      <c r="FCV54" s="556"/>
      <c r="FCW54" s="556"/>
      <c r="FCX54" s="556"/>
      <c r="FCY54" s="556"/>
      <c r="FCZ54" s="556"/>
      <c r="FDA54" s="556"/>
      <c r="FDB54" s="556"/>
      <c r="FDC54" s="556"/>
      <c r="FDD54" s="556"/>
      <c r="FDE54" s="556"/>
      <c r="FDF54" s="556"/>
      <c r="FDG54" s="556"/>
      <c r="FDH54" s="556"/>
      <c r="FDI54" s="556"/>
      <c r="FDJ54" s="556"/>
      <c r="FDK54" s="556"/>
      <c r="FDL54" s="556"/>
      <c r="FDM54" s="556"/>
      <c r="FDN54" s="556"/>
      <c r="FDO54" s="556"/>
      <c r="FDP54" s="556"/>
      <c r="FDQ54" s="556"/>
      <c r="FDR54" s="556"/>
      <c r="FDS54" s="556"/>
      <c r="FDT54" s="556"/>
      <c r="FDU54" s="556"/>
      <c r="FDV54" s="556"/>
      <c r="FDW54" s="556"/>
      <c r="FDX54" s="556"/>
      <c r="FDY54" s="556"/>
      <c r="FDZ54" s="556"/>
      <c r="FEA54" s="556"/>
      <c r="FEB54" s="556"/>
      <c r="FEC54" s="556"/>
      <c r="FED54" s="556"/>
      <c r="FEE54" s="556"/>
      <c r="FEF54" s="556"/>
      <c r="FEG54" s="556"/>
      <c r="FEH54" s="556"/>
      <c r="FEI54" s="556"/>
      <c r="FEJ54" s="556"/>
      <c r="FEK54" s="556"/>
      <c r="FEL54" s="556"/>
      <c r="FEM54" s="556"/>
      <c r="FEN54" s="556"/>
      <c r="FEO54" s="556"/>
      <c r="FEP54" s="556"/>
      <c r="FEQ54" s="556"/>
      <c r="FER54" s="556"/>
      <c r="FES54" s="556"/>
      <c r="FET54" s="556"/>
      <c r="FEU54" s="556"/>
      <c r="FEV54" s="556"/>
      <c r="FEW54" s="556"/>
      <c r="FEX54" s="556"/>
      <c r="FEY54" s="556"/>
      <c r="FEZ54" s="556"/>
      <c r="FFA54" s="556"/>
      <c r="FFB54" s="556"/>
      <c r="FFC54" s="556"/>
      <c r="FFD54" s="556"/>
      <c r="FFE54" s="556"/>
      <c r="FFF54" s="556"/>
      <c r="FFG54" s="556"/>
      <c r="FFH54" s="556"/>
      <c r="FFI54" s="556"/>
      <c r="FFJ54" s="556"/>
      <c r="FFK54" s="556"/>
      <c r="FFL54" s="556"/>
      <c r="FFM54" s="556"/>
      <c r="FFN54" s="556"/>
      <c r="FFO54" s="556"/>
      <c r="FFP54" s="556"/>
      <c r="FFQ54" s="556"/>
      <c r="FFR54" s="556"/>
      <c r="FFS54" s="556"/>
      <c r="FFT54" s="556"/>
      <c r="FFU54" s="556"/>
      <c r="FFV54" s="556"/>
      <c r="FFW54" s="556"/>
      <c r="FFX54" s="556"/>
      <c r="FFY54" s="556"/>
      <c r="FFZ54" s="556"/>
      <c r="FGA54" s="556"/>
      <c r="FGB54" s="556"/>
      <c r="FGC54" s="556"/>
      <c r="FGD54" s="556"/>
      <c r="FGE54" s="556"/>
      <c r="FGF54" s="556"/>
      <c r="FGG54" s="556"/>
      <c r="FGH54" s="556"/>
      <c r="FGI54" s="556"/>
      <c r="FGJ54" s="556"/>
      <c r="FGK54" s="556"/>
      <c r="FGL54" s="556"/>
      <c r="FGM54" s="556"/>
      <c r="FGN54" s="556"/>
      <c r="FGO54" s="556"/>
      <c r="FGP54" s="556"/>
      <c r="FGQ54" s="556"/>
      <c r="FGR54" s="556"/>
      <c r="FGS54" s="556"/>
      <c r="FGT54" s="556"/>
      <c r="FGU54" s="556"/>
      <c r="FGV54" s="556"/>
      <c r="FGW54" s="556"/>
      <c r="FGX54" s="556"/>
      <c r="FGY54" s="556"/>
      <c r="FGZ54" s="556"/>
      <c r="FHA54" s="556"/>
      <c r="FHB54" s="556"/>
      <c r="FHC54" s="556"/>
      <c r="FHD54" s="556"/>
      <c r="FHE54" s="556"/>
      <c r="FHF54" s="556"/>
      <c r="FHG54" s="556"/>
      <c r="FHH54" s="556"/>
      <c r="FHI54" s="556"/>
      <c r="FHJ54" s="556"/>
      <c r="FHK54" s="556"/>
      <c r="FHL54" s="556"/>
      <c r="FHM54" s="556"/>
      <c r="FHN54" s="556"/>
      <c r="FHO54" s="556"/>
      <c r="FHP54" s="556"/>
      <c r="FHQ54" s="556"/>
      <c r="FHR54" s="556"/>
      <c r="FHS54" s="556"/>
      <c r="FHT54" s="556"/>
      <c r="FHU54" s="556"/>
      <c r="FHV54" s="556"/>
      <c r="FHW54" s="556"/>
      <c r="FHX54" s="556"/>
      <c r="FHY54" s="556"/>
      <c r="FHZ54" s="556"/>
      <c r="FIA54" s="556"/>
      <c r="FIB54" s="556"/>
      <c r="FIC54" s="556"/>
      <c r="FID54" s="556"/>
      <c r="FIE54" s="556"/>
      <c r="FIF54" s="556"/>
      <c r="FIG54" s="556"/>
      <c r="FIH54" s="556"/>
      <c r="FII54" s="556"/>
      <c r="FIJ54" s="556"/>
      <c r="FIK54" s="556"/>
      <c r="FIL54" s="556"/>
      <c r="FIM54" s="556"/>
      <c r="FIN54" s="556"/>
      <c r="FIO54" s="556"/>
      <c r="FIP54" s="556"/>
      <c r="FIQ54" s="556"/>
      <c r="FIR54" s="556"/>
      <c r="FIS54" s="556"/>
      <c r="FIT54" s="556"/>
      <c r="FIU54" s="556"/>
      <c r="FIV54" s="556"/>
      <c r="FIW54" s="556"/>
      <c r="FIX54" s="556"/>
      <c r="FIY54" s="556"/>
      <c r="FIZ54" s="556"/>
      <c r="FJA54" s="556"/>
      <c r="FJB54" s="556"/>
      <c r="FJC54" s="556"/>
      <c r="FJD54" s="556"/>
      <c r="FJE54" s="556"/>
      <c r="FJF54" s="556"/>
      <c r="FJG54" s="556"/>
      <c r="FJH54" s="556"/>
      <c r="FJI54" s="556"/>
      <c r="FJJ54" s="556"/>
      <c r="FJK54" s="556"/>
      <c r="FJL54" s="556"/>
      <c r="FJM54" s="556"/>
      <c r="FJN54" s="556"/>
      <c r="FJO54" s="556"/>
      <c r="FJP54" s="556"/>
      <c r="FJQ54" s="556"/>
      <c r="FJR54" s="556"/>
      <c r="FJS54" s="556"/>
      <c r="FJT54" s="556"/>
      <c r="FJU54" s="556"/>
      <c r="FJV54" s="556"/>
      <c r="FJW54" s="556"/>
      <c r="FJX54" s="556"/>
      <c r="FJY54" s="556"/>
      <c r="FJZ54" s="556"/>
      <c r="FKA54" s="556"/>
      <c r="FKB54" s="556"/>
      <c r="FKC54" s="556"/>
      <c r="FKD54" s="556"/>
      <c r="FKE54" s="556"/>
      <c r="FKF54" s="556"/>
      <c r="FKG54" s="556"/>
      <c r="FKH54" s="556"/>
      <c r="FKI54" s="556"/>
      <c r="FKJ54" s="556"/>
      <c r="FKK54" s="556"/>
      <c r="FKL54" s="556"/>
      <c r="FKM54" s="556"/>
      <c r="FKN54" s="556"/>
      <c r="FKO54" s="556"/>
      <c r="FKP54" s="556"/>
      <c r="FKQ54" s="556"/>
      <c r="FKR54" s="556"/>
      <c r="FKS54" s="556"/>
      <c r="FKT54" s="556"/>
      <c r="FKU54" s="556"/>
      <c r="FKV54" s="556"/>
      <c r="FKW54" s="556"/>
      <c r="FKX54" s="556"/>
      <c r="FKY54" s="556"/>
      <c r="FKZ54" s="556"/>
      <c r="FLA54" s="556"/>
      <c r="FLB54" s="556"/>
      <c r="FLC54" s="556"/>
      <c r="FLD54" s="556"/>
      <c r="FLE54" s="556"/>
      <c r="FLF54" s="556"/>
      <c r="FLG54" s="556"/>
      <c r="FLH54" s="556"/>
      <c r="FLI54" s="556"/>
      <c r="FLJ54" s="556"/>
      <c r="FLK54" s="556"/>
      <c r="FLL54" s="556"/>
      <c r="FLM54" s="556"/>
      <c r="FLN54" s="556"/>
      <c r="FLO54" s="556"/>
      <c r="FLP54" s="556"/>
      <c r="FLQ54" s="556"/>
      <c r="FLR54" s="556"/>
      <c r="FLS54" s="556"/>
      <c r="FLT54" s="556"/>
      <c r="FLU54" s="556"/>
      <c r="FLV54" s="556"/>
      <c r="FLW54" s="556"/>
      <c r="FLX54" s="556"/>
      <c r="FLY54" s="556"/>
      <c r="FLZ54" s="556"/>
      <c r="FMA54" s="556"/>
      <c r="FMB54" s="556"/>
      <c r="FMC54" s="556"/>
      <c r="FMD54" s="556"/>
      <c r="FME54" s="556"/>
      <c r="FMF54" s="556"/>
      <c r="FMG54" s="556"/>
      <c r="FMH54" s="556"/>
      <c r="FMI54" s="556"/>
      <c r="FMJ54" s="556"/>
      <c r="FMK54" s="556"/>
      <c r="FML54" s="556"/>
      <c r="FMM54" s="556"/>
      <c r="FMN54" s="556"/>
      <c r="FMO54" s="556"/>
      <c r="FMP54" s="556"/>
      <c r="FMQ54" s="556"/>
      <c r="FMR54" s="556"/>
      <c r="FMS54" s="556"/>
      <c r="FMT54" s="556"/>
      <c r="FMU54" s="556"/>
      <c r="FMV54" s="556"/>
      <c r="FMW54" s="556"/>
      <c r="FMX54" s="556"/>
      <c r="FMY54" s="556"/>
      <c r="FMZ54" s="556"/>
      <c r="FNA54" s="556"/>
      <c r="FNB54" s="556"/>
      <c r="FNC54" s="556"/>
      <c r="FND54" s="556"/>
      <c r="FNE54" s="556"/>
      <c r="FNF54" s="556"/>
      <c r="FNG54" s="556"/>
      <c r="FNH54" s="556"/>
      <c r="FNI54" s="556"/>
      <c r="FNJ54" s="556"/>
      <c r="FNK54" s="556"/>
      <c r="FNL54" s="556"/>
      <c r="FNM54" s="556"/>
      <c r="FNN54" s="556"/>
      <c r="FNO54" s="556"/>
      <c r="FNP54" s="556"/>
      <c r="FNQ54" s="556"/>
      <c r="FNR54" s="556"/>
      <c r="FNS54" s="556"/>
      <c r="FNT54" s="556"/>
      <c r="FNU54" s="556"/>
      <c r="FNV54" s="556"/>
      <c r="FNW54" s="556"/>
      <c r="FNX54" s="556"/>
      <c r="FNY54" s="556"/>
      <c r="FNZ54" s="556"/>
      <c r="FOA54" s="556"/>
      <c r="FOB54" s="556"/>
      <c r="FOC54" s="556"/>
      <c r="FOD54" s="556"/>
      <c r="FOE54" s="556"/>
      <c r="FOF54" s="556"/>
      <c r="FOG54" s="556"/>
      <c r="FOH54" s="556"/>
      <c r="FOI54" s="556"/>
      <c r="FOJ54" s="556"/>
      <c r="FOK54" s="556"/>
      <c r="FOL54" s="556"/>
      <c r="FOM54" s="556"/>
      <c r="FON54" s="556"/>
      <c r="FOO54" s="556"/>
      <c r="FOP54" s="556"/>
      <c r="FOQ54" s="556"/>
      <c r="FOR54" s="556"/>
      <c r="FOS54" s="556"/>
      <c r="FOT54" s="556"/>
      <c r="FOU54" s="556"/>
      <c r="FOV54" s="556"/>
      <c r="FOW54" s="556"/>
      <c r="FOX54" s="556"/>
      <c r="FOY54" s="556"/>
      <c r="FOZ54" s="556"/>
      <c r="FPA54" s="556"/>
      <c r="FPB54" s="556"/>
      <c r="FPC54" s="556"/>
      <c r="FPD54" s="556"/>
      <c r="FPE54" s="556"/>
      <c r="FPF54" s="556"/>
      <c r="FPG54" s="556"/>
      <c r="FPH54" s="556"/>
      <c r="FPI54" s="556"/>
      <c r="FPJ54" s="556"/>
      <c r="FPK54" s="556"/>
      <c r="FPL54" s="556"/>
      <c r="FPM54" s="556"/>
      <c r="FPN54" s="556"/>
      <c r="FPO54" s="556"/>
      <c r="FPP54" s="556"/>
      <c r="FPQ54" s="556"/>
      <c r="FPR54" s="556"/>
      <c r="FPS54" s="556"/>
      <c r="FPT54" s="556"/>
      <c r="FPU54" s="556"/>
      <c r="FPV54" s="556"/>
      <c r="FPW54" s="556"/>
      <c r="FPX54" s="556"/>
      <c r="FPY54" s="556"/>
      <c r="FPZ54" s="556"/>
      <c r="FQA54" s="556"/>
      <c r="FQB54" s="556"/>
      <c r="FQC54" s="556"/>
      <c r="FQD54" s="556"/>
      <c r="FQE54" s="556"/>
      <c r="FQF54" s="556"/>
      <c r="FQG54" s="556"/>
      <c r="FQH54" s="556"/>
      <c r="FQI54" s="556"/>
      <c r="FQJ54" s="556"/>
      <c r="FQK54" s="556"/>
      <c r="FQL54" s="556"/>
      <c r="FQM54" s="556"/>
      <c r="FQN54" s="556"/>
      <c r="FQO54" s="556"/>
      <c r="FQP54" s="556"/>
      <c r="FQQ54" s="556"/>
      <c r="FQR54" s="556"/>
      <c r="FQS54" s="556"/>
      <c r="FQT54" s="556"/>
      <c r="FQU54" s="556"/>
      <c r="FQV54" s="556"/>
      <c r="FQW54" s="556"/>
      <c r="FQX54" s="556"/>
      <c r="FQY54" s="556"/>
      <c r="FQZ54" s="556"/>
      <c r="FRA54" s="556"/>
      <c r="FRB54" s="556"/>
      <c r="FRC54" s="556"/>
      <c r="FRD54" s="556"/>
      <c r="FRE54" s="556"/>
      <c r="FRF54" s="556"/>
      <c r="FRG54" s="556"/>
      <c r="FRH54" s="556"/>
      <c r="FRI54" s="556"/>
      <c r="FRJ54" s="556"/>
      <c r="FRK54" s="556"/>
      <c r="FRL54" s="556"/>
      <c r="FRM54" s="556"/>
      <c r="FRN54" s="556"/>
      <c r="FRO54" s="556"/>
      <c r="FRP54" s="556"/>
      <c r="FRQ54" s="556"/>
      <c r="FRR54" s="556"/>
      <c r="FRS54" s="556"/>
      <c r="FRT54" s="556"/>
      <c r="FRU54" s="556"/>
      <c r="FRV54" s="556"/>
      <c r="FRW54" s="556"/>
      <c r="FRX54" s="556"/>
      <c r="FRY54" s="556"/>
      <c r="FRZ54" s="556"/>
      <c r="FSA54" s="556"/>
      <c r="FSB54" s="556"/>
      <c r="FSC54" s="556"/>
      <c r="FSD54" s="556"/>
      <c r="FSE54" s="556"/>
      <c r="FSF54" s="556"/>
      <c r="FSG54" s="556"/>
      <c r="FSH54" s="556"/>
      <c r="FSI54" s="556"/>
      <c r="FSJ54" s="556"/>
      <c r="FSK54" s="556"/>
      <c r="FSL54" s="556"/>
      <c r="FSM54" s="556"/>
      <c r="FSN54" s="556"/>
      <c r="FSO54" s="556"/>
      <c r="FSP54" s="556"/>
      <c r="FSQ54" s="556"/>
      <c r="FSR54" s="556"/>
      <c r="FSS54" s="556"/>
      <c r="FST54" s="556"/>
      <c r="FSU54" s="556"/>
      <c r="FSV54" s="556"/>
      <c r="FSW54" s="556"/>
      <c r="FSX54" s="556"/>
      <c r="FSY54" s="556"/>
      <c r="FSZ54" s="556"/>
      <c r="FTA54" s="556"/>
      <c r="FTB54" s="556"/>
      <c r="FTC54" s="556"/>
      <c r="FTD54" s="556"/>
      <c r="FTE54" s="556"/>
      <c r="FTF54" s="556"/>
      <c r="FTG54" s="556"/>
      <c r="FTH54" s="556"/>
      <c r="FTI54" s="556"/>
      <c r="FTJ54" s="556"/>
      <c r="FTK54" s="556"/>
      <c r="FTL54" s="556"/>
      <c r="FTM54" s="556"/>
      <c r="FTN54" s="556"/>
      <c r="FTO54" s="556"/>
      <c r="FTP54" s="556"/>
      <c r="FTQ54" s="556"/>
      <c r="FTR54" s="556"/>
      <c r="FTS54" s="556"/>
      <c r="FTT54" s="556"/>
      <c r="FTU54" s="556"/>
      <c r="FTV54" s="556"/>
      <c r="FTW54" s="556"/>
      <c r="FTX54" s="556"/>
      <c r="FTY54" s="556"/>
      <c r="FTZ54" s="556"/>
      <c r="FUA54" s="556"/>
      <c r="FUB54" s="556"/>
      <c r="FUC54" s="556"/>
      <c r="FUD54" s="556"/>
      <c r="FUE54" s="556"/>
      <c r="FUF54" s="556"/>
      <c r="FUG54" s="556"/>
      <c r="FUH54" s="556"/>
      <c r="FUI54" s="556"/>
      <c r="FUJ54" s="556"/>
      <c r="FUK54" s="556"/>
      <c r="FUL54" s="556"/>
      <c r="FUM54" s="556"/>
      <c r="FUN54" s="556"/>
      <c r="FUO54" s="556"/>
      <c r="FUP54" s="556"/>
      <c r="FUQ54" s="556"/>
      <c r="FUR54" s="556"/>
      <c r="FUS54" s="556"/>
      <c r="FUT54" s="556"/>
      <c r="FUU54" s="556"/>
      <c r="FUV54" s="556"/>
      <c r="FUW54" s="556"/>
      <c r="FUX54" s="556"/>
      <c r="FUY54" s="556"/>
      <c r="FUZ54" s="556"/>
      <c r="FVA54" s="556"/>
      <c r="FVB54" s="556"/>
      <c r="FVC54" s="556"/>
      <c r="FVD54" s="556"/>
      <c r="FVE54" s="556"/>
      <c r="FVF54" s="556"/>
      <c r="FVG54" s="556"/>
      <c r="FVH54" s="556"/>
      <c r="FVI54" s="556"/>
      <c r="FVJ54" s="556"/>
      <c r="FVK54" s="556"/>
      <c r="FVL54" s="556"/>
      <c r="FVM54" s="556"/>
      <c r="FVN54" s="556"/>
      <c r="FVO54" s="556"/>
      <c r="FVP54" s="556"/>
      <c r="FVQ54" s="556"/>
      <c r="FVR54" s="556"/>
      <c r="FVS54" s="556"/>
      <c r="FVT54" s="556"/>
      <c r="FVU54" s="556"/>
      <c r="FVV54" s="556"/>
      <c r="FVW54" s="556"/>
      <c r="FVX54" s="556"/>
      <c r="FVY54" s="556"/>
      <c r="FVZ54" s="556"/>
      <c r="FWA54" s="556"/>
      <c r="FWB54" s="556"/>
      <c r="FWC54" s="556"/>
      <c r="FWD54" s="556"/>
      <c r="FWE54" s="556"/>
      <c r="FWF54" s="556"/>
      <c r="FWG54" s="556"/>
      <c r="FWH54" s="556"/>
      <c r="FWI54" s="556"/>
      <c r="FWJ54" s="556"/>
      <c r="FWK54" s="556"/>
      <c r="FWL54" s="556"/>
      <c r="FWM54" s="556"/>
      <c r="FWN54" s="556"/>
      <c r="FWO54" s="556"/>
      <c r="FWP54" s="556"/>
      <c r="FWQ54" s="556"/>
      <c r="FWR54" s="556"/>
      <c r="FWS54" s="556"/>
      <c r="FWT54" s="556"/>
      <c r="FWU54" s="556"/>
      <c r="FWV54" s="556"/>
      <c r="FWW54" s="556"/>
      <c r="FWX54" s="556"/>
      <c r="FWY54" s="556"/>
      <c r="FWZ54" s="556"/>
      <c r="FXA54" s="556"/>
      <c r="FXB54" s="556"/>
      <c r="FXC54" s="556"/>
      <c r="FXD54" s="556"/>
      <c r="FXE54" s="556"/>
      <c r="FXF54" s="556"/>
      <c r="FXG54" s="556"/>
      <c r="FXH54" s="556"/>
      <c r="FXI54" s="556"/>
      <c r="FXJ54" s="556"/>
      <c r="FXK54" s="556"/>
      <c r="FXL54" s="556"/>
      <c r="FXM54" s="556"/>
      <c r="FXN54" s="556"/>
      <c r="FXO54" s="556"/>
      <c r="FXP54" s="556"/>
      <c r="FXQ54" s="556"/>
      <c r="FXR54" s="556"/>
      <c r="FXS54" s="556"/>
      <c r="FXT54" s="556"/>
      <c r="FXU54" s="556"/>
      <c r="FXV54" s="556"/>
      <c r="FXW54" s="556"/>
      <c r="FXX54" s="556"/>
      <c r="FXY54" s="556"/>
      <c r="FXZ54" s="556"/>
      <c r="FYA54" s="556"/>
      <c r="FYB54" s="556"/>
      <c r="FYC54" s="556"/>
      <c r="FYD54" s="556"/>
      <c r="FYE54" s="556"/>
      <c r="FYF54" s="556"/>
      <c r="FYG54" s="556"/>
      <c r="FYH54" s="556"/>
      <c r="FYI54" s="556"/>
      <c r="FYJ54" s="556"/>
      <c r="FYK54" s="556"/>
      <c r="FYL54" s="556"/>
      <c r="FYM54" s="556"/>
      <c r="FYN54" s="556"/>
      <c r="FYO54" s="556"/>
      <c r="FYP54" s="556"/>
      <c r="FYQ54" s="556"/>
      <c r="FYR54" s="556"/>
      <c r="FYS54" s="556"/>
      <c r="FYT54" s="556"/>
      <c r="FYU54" s="556"/>
      <c r="FYV54" s="556"/>
      <c r="FYW54" s="556"/>
      <c r="FYX54" s="556"/>
      <c r="FYY54" s="556"/>
      <c r="FYZ54" s="556"/>
      <c r="FZA54" s="556"/>
      <c r="FZB54" s="556"/>
      <c r="FZC54" s="556"/>
      <c r="FZD54" s="556"/>
      <c r="FZE54" s="556"/>
      <c r="FZF54" s="556"/>
      <c r="FZG54" s="556"/>
      <c r="FZH54" s="556"/>
      <c r="FZI54" s="556"/>
      <c r="FZJ54" s="556"/>
      <c r="FZK54" s="556"/>
      <c r="FZL54" s="556"/>
      <c r="FZM54" s="556"/>
      <c r="FZN54" s="556"/>
      <c r="FZO54" s="556"/>
      <c r="FZP54" s="556"/>
      <c r="FZQ54" s="556"/>
      <c r="FZR54" s="556"/>
      <c r="FZS54" s="556"/>
      <c r="FZT54" s="556"/>
      <c r="FZU54" s="556"/>
      <c r="FZV54" s="556"/>
      <c r="FZW54" s="556"/>
      <c r="FZX54" s="556"/>
      <c r="FZY54" s="556"/>
      <c r="FZZ54" s="556"/>
      <c r="GAA54" s="556"/>
      <c r="GAB54" s="556"/>
      <c r="GAC54" s="556"/>
      <c r="GAD54" s="556"/>
      <c r="GAE54" s="556"/>
      <c r="GAF54" s="556"/>
      <c r="GAG54" s="556"/>
      <c r="GAH54" s="556"/>
      <c r="GAI54" s="556"/>
      <c r="GAJ54" s="556"/>
      <c r="GAK54" s="556"/>
      <c r="GAL54" s="556"/>
      <c r="GAM54" s="556"/>
      <c r="GAN54" s="556"/>
      <c r="GAO54" s="556"/>
      <c r="GAP54" s="556"/>
      <c r="GAQ54" s="556"/>
      <c r="GAR54" s="556"/>
      <c r="GAS54" s="556"/>
      <c r="GAT54" s="556"/>
      <c r="GAU54" s="556"/>
      <c r="GAV54" s="556"/>
      <c r="GAW54" s="556"/>
      <c r="GAX54" s="556"/>
      <c r="GAY54" s="556"/>
      <c r="GAZ54" s="556"/>
      <c r="GBA54" s="556"/>
      <c r="GBB54" s="556"/>
      <c r="GBC54" s="556"/>
      <c r="GBD54" s="556"/>
      <c r="GBE54" s="556"/>
      <c r="GBF54" s="556"/>
      <c r="GBG54" s="556"/>
      <c r="GBH54" s="556"/>
      <c r="GBI54" s="556"/>
      <c r="GBJ54" s="556"/>
      <c r="GBK54" s="556"/>
      <c r="GBL54" s="556"/>
      <c r="GBM54" s="556"/>
      <c r="GBN54" s="556"/>
      <c r="GBO54" s="556"/>
      <c r="GBP54" s="556"/>
      <c r="GBQ54" s="556"/>
      <c r="GBR54" s="556"/>
      <c r="GBS54" s="556"/>
      <c r="GBT54" s="556"/>
      <c r="GBU54" s="556"/>
      <c r="GBV54" s="556"/>
      <c r="GBW54" s="556"/>
      <c r="GBX54" s="556"/>
      <c r="GBY54" s="556"/>
      <c r="GBZ54" s="556"/>
      <c r="GCA54" s="556"/>
      <c r="GCB54" s="556"/>
      <c r="GCC54" s="556"/>
      <c r="GCD54" s="556"/>
      <c r="GCE54" s="556"/>
      <c r="GCF54" s="556"/>
      <c r="GCG54" s="556"/>
      <c r="GCH54" s="556"/>
      <c r="GCI54" s="556"/>
      <c r="GCJ54" s="556"/>
      <c r="GCK54" s="556"/>
      <c r="GCL54" s="556"/>
      <c r="GCM54" s="556"/>
      <c r="GCN54" s="556"/>
      <c r="GCO54" s="556"/>
      <c r="GCP54" s="556"/>
      <c r="GCQ54" s="556"/>
      <c r="GCR54" s="556"/>
      <c r="GCS54" s="556"/>
      <c r="GCT54" s="556"/>
      <c r="GCU54" s="556"/>
      <c r="GCV54" s="556"/>
      <c r="GCW54" s="556"/>
      <c r="GCX54" s="556"/>
      <c r="GCY54" s="556"/>
      <c r="GCZ54" s="556"/>
      <c r="GDA54" s="556"/>
      <c r="GDB54" s="556"/>
      <c r="GDC54" s="556"/>
      <c r="GDD54" s="556"/>
      <c r="GDE54" s="556"/>
      <c r="GDF54" s="556"/>
      <c r="GDG54" s="556"/>
      <c r="GDH54" s="556"/>
      <c r="GDI54" s="556"/>
      <c r="GDJ54" s="556"/>
      <c r="GDK54" s="556"/>
      <c r="GDL54" s="556"/>
      <c r="GDM54" s="556"/>
      <c r="GDN54" s="556"/>
      <c r="GDO54" s="556"/>
      <c r="GDP54" s="556"/>
      <c r="GDQ54" s="556"/>
      <c r="GDR54" s="556"/>
      <c r="GDS54" s="556"/>
      <c r="GDT54" s="556"/>
      <c r="GDU54" s="556"/>
      <c r="GDV54" s="556"/>
      <c r="GDW54" s="556"/>
      <c r="GDX54" s="556"/>
      <c r="GDY54" s="556"/>
      <c r="GDZ54" s="556"/>
      <c r="GEA54" s="556"/>
      <c r="GEB54" s="556"/>
      <c r="GEC54" s="556"/>
      <c r="GED54" s="556"/>
      <c r="GEE54" s="556"/>
      <c r="GEF54" s="556"/>
      <c r="GEG54" s="556"/>
      <c r="GEH54" s="556"/>
      <c r="GEI54" s="556"/>
      <c r="GEJ54" s="556"/>
      <c r="GEK54" s="556"/>
      <c r="GEL54" s="556"/>
      <c r="GEM54" s="556"/>
      <c r="GEN54" s="556"/>
      <c r="GEO54" s="556"/>
      <c r="GEP54" s="556"/>
      <c r="GEQ54" s="556"/>
      <c r="GER54" s="556"/>
      <c r="GES54" s="556"/>
      <c r="GET54" s="556"/>
      <c r="GEU54" s="556"/>
      <c r="GEV54" s="556"/>
      <c r="GEW54" s="556"/>
      <c r="GEX54" s="556"/>
      <c r="GEY54" s="556"/>
      <c r="GEZ54" s="556"/>
      <c r="GFA54" s="556"/>
      <c r="GFB54" s="556"/>
      <c r="GFC54" s="556"/>
      <c r="GFD54" s="556"/>
      <c r="GFE54" s="556"/>
      <c r="GFF54" s="556"/>
      <c r="GFG54" s="556"/>
      <c r="GFH54" s="556"/>
      <c r="GFI54" s="556"/>
      <c r="GFJ54" s="556"/>
      <c r="GFK54" s="556"/>
      <c r="GFL54" s="556"/>
      <c r="GFM54" s="556"/>
      <c r="GFN54" s="556"/>
      <c r="GFO54" s="556"/>
      <c r="GFP54" s="556"/>
      <c r="GFQ54" s="556"/>
      <c r="GFR54" s="556"/>
      <c r="GFS54" s="556"/>
      <c r="GFT54" s="556"/>
      <c r="GFU54" s="556"/>
      <c r="GFV54" s="556"/>
      <c r="GFW54" s="556"/>
      <c r="GFX54" s="556"/>
      <c r="GFY54" s="556"/>
      <c r="GFZ54" s="556"/>
      <c r="GGA54" s="556"/>
      <c r="GGB54" s="556"/>
      <c r="GGC54" s="556"/>
      <c r="GGD54" s="556"/>
      <c r="GGE54" s="556"/>
      <c r="GGF54" s="556"/>
      <c r="GGG54" s="556"/>
      <c r="GGH54" s="556"/>
      <c r="GGI54" s="556"/>
      <c r="GGJ54" s="556"/>
      <c r="GGK54" s="556"/>
      <c r="GGL54" s="556"/>
      <c r="GGM54" s="556"/>
      <c r="GGN54" s="556"/>
      <c r="GGO54" s="556"/>
      <c r="GGP54" s="556"/>
      <c r="GGQ54" s="556"/>
      <c r="GGR54" s="556"/>
      <c r="GGS54" s="556"/>
      <c r="GGT54" s="556"/>
      <c r="GGU54" s="556"/>
      <c r="GGV54" s="556"/>
      <c r="GGW54" s="556"/>
      <c r="GGX54" s="556"/>
      <c r="GGY54" s="556"/>
      <c r="GGZ54" s="556"/>
      <c r="GHA54" s="556"/>
      <c r="GHB54" s="556"/>
      <c r="GHC54" s="556"/>
      <c r="GHD54" s="556"/>
      <c r="GHE54" s="556"/>
      <c r="GHF54" s="556"/>
      <c r="GHG54" s="556"/>
      <c r="GHH54" s="556"/>
      <c r="GHI54" s="556"/>
      <c r="GHJ54" s="556"/>
      <c r="GHK54" s="556"/>
      <c r="GHL54" s="556"/>
      <c r="GHM54" s="556"/>
      <c r="GHN54" s="556"/>
      <c r="GHO54" s="556"/>
      <c r="GHP54" s="556"/>
      <c r="GHQ54" s="556"/>
      <c r="GHR54" s="556"/>
      <c r="GHS54" s="556"/>
      <c r="GHT54" s="556"/>
      <c r="GHU54" s="556"/>
      <c r="GHV54" s="556"/>
      <c r="GHW54" s="556"/>
      <c r="GHX54" s="556"/>
      <c r="GHY54" s="556"/>
      <c r="GHZ54" s="556"/>
      <c r="GIA54" s="556"/>
      <c r="GIB54" s="556"/>
      <c r="GIC54" s="556"/>
      <c r="GID54" s="556"/>
      <c r="GIE54" s="556"/>
      <c r="GIF54" s="556"/>
      <c r="GIG54" s="556"/>
      <c r="GIH54" s="556"/>
      <c r="GII54" s="556"/>
      <c r="GIJ54" s="556"/>
      <c r="GIK54" s="556"/>
      <c r="GIL54" s="556"/>
      <c r="GIM54" s="556"/>
      <c r="GIN54" s="556"/>
      <c r="GIO54" s="556"/>
      <c r="GIP54" s="556"/>
      <c r="GIQ54" s="556"/>
      <c r="GIR54" s="556"/>
      <c r="GIS54" s="556"/>
      <c r="GIT54" s="556"/>
      <c r="GIU54" s="556"/>
      <c r="GIV54" s="556"/>
      <c r="GIW54" s="556"/>
      <c r="GIX54" s="556"/>
      <c r="GIY54" s="556"/>
      <c r="GIZ54" s="556"/>
      <c r="GJA54" s="556"/>
      <c r="GJB54" s="556"/>
      <c r="GJC54" s="556"/>
      <c r="GJD54" s="556"/>
      <c r="GJE54" s="556"/>
      <c r="GJF54" s="556"/>
      <c r="GJG54" s="556"/>
      <c r="GJH54" s="556"/>
      <c r="GJI54" s="556"/>
      <c r="GJJ54" s="556"/>
      <c r="GJK54" s="556"/>
      <c r="GJL54" s="556"/>
      <c r="GJM54" s="556"/>
      <c r="GJN54" s="556"/>
      <c r="GJO54" s="556"/>
      <c r="GJP54" s="556"/>
      <c r="GJQ54" s="556"/>
      <c r="GJR54" s="556"/>
      <c r="GJS54" s="556"/>
      <c r="GJT54" s="556"/>
      <c r="GJU54" s="556"/>
      <c r="GJV54" s="556"/>
      <c r="GJW54" s="556"/>
      <c r="GJX54" s="556"/>
      <c r="GJY54" s="556"/>
      <c r="GJZ54" s="556"/>
      <c r="GKA54" s="556"/>
      <c r="GKB54" s="556"/>
      <c r="GKC54" s="556"/>
      <c r="GKD54" s="556"/>
      <c r="GKE54" s="556"/>
      <c r="GKF54" s="556"/>
      <c r="GKG54" s="556"/>
      <c r="GKH54" s="556"/>
      <c r="GKI54" s="556"/>
      <c r="GKJ54" s="556"/>
      <c r="GKK54" s="556"/>
      <c r="GKL54" s="556"/>
      <c r="GKM54" s="556"/>
      <c r="GKN54" s="556"/>
      <c r="GKO54" s="556"/>
      <c r="GKP54" s="556"/>
      <c r="GKQ54" s="556"/>
      <c r="GKR54" s="556"/>
      <c r="GKS54" s="556"/>
      <c r="GKT54" s="556"/>
      <c r="GKU54" s="556"/>
      <c r="GKV54" s="556"/>
      <c r="GKW54" s="556"/>
      <c r="GKX54" s="556"/>
      <c r="GKY54" s="556"/>
      <c r="GKZ54" s="556"/>
      <c r="GLA54" s="556"/>
      <c r="GLB54" s="556"/>
      <c r="GLC54" s="556"/>
      <c r="GLD54" s="556"/>
      <c r="GLE54" s="556"/>
      <c r="GLF54" s="556"/>
      <c r="GLG54" s="556"/>
      <c r="GLH54" s="556"/>
      <c r="GLI54" s="556"/>
      <c r="GLJ54" s="556"/>
      <c r="GLK54" s="556"/>
      <c r="GLL54" s="556"/>
      <c r="GLM54" s="556"/>
      <c r="GLN54" s="556"/>
      <c r="GLO54" s="556"/>
      <c r="GLP54" s="556"/>
      <c r="GLQ54" s="556"/>
      <c r="GLR54" s="556"/>
      <c r="GLS54" s="556"/>
      <c r="GLT54" s="556"/>
      <c r="GLU54" s="556"/>
      <c r="GLV54" s="556"/>
      <c r="GLW54" s="556"/>
      <c r="GLX54" s="556"/>
      <c r="GLY54" s="556"/>
      <c r="GLZ54" s="556"/>
      <c r="GMA54" s="556"/>
      <c r="GMB54" s="556"/>
      <c r="GMC54" s="556"/>
      <c r="GMD54" s="556"/>
      <c r="GME54" s="556"/>
      <c r="GMF54" s="556"/>
      <c r="GMG54" s="556"/>
      <c r="GMH54" s="556"/>
      <c r="GMI54" s="556"/>
      <c r="GMJ54" s="556"/>
      <c r="GMK54" s="556"/>
      <c r="GML54" s="556"/>
      <c r="GMM54" s="556"/>
      <c r="GMN54" s="556"/>
      <c r="GMO54" s="556"/>
      <c r="GMP54" s="556"/>
      <c r="GMQ54" s="556"/>
      <c r="GMR54" s="556"/>
      <c r="GMS54" s="556"/>
      <c r="GMT54" s="556"/>
      <c r="GMU54" s="556"/>
      <c r="GMV54" s="556"/>
      <c r="GMW54" s="556"/>
      <c r="GMX54" s="556"/>
      <c r="GMY54" s="556"/>
      <c r="GMZ54" s="556"/>
      <c r="GNA54" s="556"/>
      <c r="GNB54" s="556"/>
      <c r="GNC54" s="556"/>
      <c r="GND54" s="556"/>
      <c r="GNE54" s="556"/>
      <c r="GNF54" s="556"/>
      <c r="GNG54" s="556"/>
      <c r="GNH54" s="556"/>
      <c r="GNI54" s="556"/>
      <c r="GNJ54" s="556"/>
      <c r="GNK54" s="556"/>
      <c r="GNL54" s="556"/>
      <c r="GNM54" s="556"/>
      <c r="GNN54" s="556"/>
      <c r="GNO54" s="556"/>
      <c r="GNP54" s="556"/>
      <c r="GNQ54" s="556"/>
      <c r="GNR54" s="556"/>
      <c r="GNS54" s="556"/>
      <c r="GNT54" s="556"/>
      <c r="GNU54" s="556"/>
      <c r="GNV54" s="556"/>
      <c r="GNW54" s="556"/>
      <c r="GNX54" s="556"/>
      <c r="GNY54" s="556"/>
      <c r="GNZ54" s="556"/>
      <c r="GOA54" s="556"/>
      <c r="GOB54" s="556"/>
      <c r="GOC54" s="556"/>
      <c r="GOD54" s="556"/>
      <c r="GOE54" s="556"/>
      <c r="GOF54" s="556"/>
      <c r="GOG54" s="556"/>
      <c r="GOH54" s="556"/>
      <c r="GOI54" s="556"/>
      <c r="GOJ54" s="556"/>
      <c r="GOK54" s="556"/>
      <c r="GOL54" s="556"/>
      <c r="GOM54" s="556"/>
      <c r="GON54" s="556"/>
      <c r="GOO54" s="556"/>
      <c r="GOP54" s="556"/>
      <c r="GOQ54" s="556"/>
      <c r="GOR54" s="556"/>
      <c r="GOS54" s="556"/>
      <c r="GOT54" s="556"/>
      <c r="GOU54" s="556"/>
      <c r="GOV54" s="556"/>
      <c r="GOW54" s="556"/>
      <c r="GOX54" s="556"/>
      <c r="GOY54" s="556"/>
      <c r="GOZ54" s="556"/>
      <c r="GPA54" s="556"/>
      <c r="GPB54" s="556"/>
      <c r="GPC54" s="556"/>
      <c r="GPD54" s="556"/>
      <c r="GPE54" s="556"/>
      <c r="GPF54" s="556"/>
      <c r="GPG54" s="556"/>
      <c r="GPH54" s="556"/>
      <c r="GPI54" s="556"/>
      <c r="GPJ54" s="556"/>
      <c r="GPK54" s="556"/>
      <c r="GPL54" s="556"/>
      <c r="GPM54" s="556"/>
      <c r="GPN54" s="556"/>
      <c r="GPO54" s="556"/>
      <c r="GPP54" s="556"/>
      <c r="GPQ54" s="556"/>
      <c r="GPR54" s="556"/>
      <c r="GPS54" s="556"/>
      <c r="GPT54" s="556"/>
      <c r="GPU54" s="556"/>
      <c r="GPV54" s="556"/>
      <c r="GPW54" s="556"/>
      <c r="GPX54" s="556"/>
      <c r="GPY54" s="556"/>
      <c r="GPZ54" s="556"/>
      <c r="GQA54" s="556"/>
      <c r="GQB54" s="556"/>
      <c r="GQC54" s="556"/>
      <c r="GQD54" s="556"/>
      <c r="GQE54" s="556"/>
      <c r="GQF54" s="556"/>
      <c r="GQG54" s="556"/>
      <c r="GQH54" s="556"/>
      <c r="GQI54" s="556"/>
      <c r="GQJ54" s="556"/>
      <c r="GQK54" s="556"/>
      <c r="GQL54" s="556"/>
      <c r="GQM54" s="556"/>
      <c r="GQN54" s="556"/>
      <c r="GQO54" s="556"/>
      <c r="GQP54" s="556"/>
      <c r="GQQ54" s="556"/>
      <c r="GQR54" s="556"/>
      <c r="GQS54" s="556"/>
      <c r="GQT54" s="556"/>
      <c r="GQU54" s="556"/>
      <c r="GQV54" s="556"/>
      <c r="GQW54" s="556"/>
      <c r="GQX54" s="556"/>
      <c r="GQY54" s="556"/>
      <c r="GQZ54" s="556"/>
      <c r="GRA54" s="556"/>
      <c r="GRB54" s="556"/>
      <c r="GRC54" s="556"/>
      <c r="GRD54" s="556"/>
      <c r="GRE54" s="556"/>
      <c r="GRF54" s="556"/>
      <c r="GRG54" s="556"/>
      <c r="GRH54" s="556"/>
      <c r="GRI54" s="556"/>
      <c r="GRJ54" s="556"/>
      <c r="GRK54" s="556"/>
      <c r="GRL54" s="556"/>
      <c r="GRM54" s="556"/>
      <c r="GRN54" s="556"/>
      <c r="GRO54" s="556"/>
      <c r="GRP54" s="556"/>
      <c r="GRQ54" s="556"/>
      <c r="GRR54" s="556"/>
      <c r="GRS54" s="556"/>
      <c r="GRT54" s="556"/>
      <c r="GRU54" s="556"/>
      <c r="GRV54" s="556"/>
      <c r="GRW54" s="556"/>
      <c r="GRX54" s="556"/>
      <c r="GRY54" s="556"/>
      <c r="GRZ54" s="556"/>
      <c r="GSA54" s="556"/>
      <c r="GSB54" s="556"/>
      <c r="GSC54" s="556"/>
      <c r="GSD54" s="556"/>
      <c r="GSE54" s="556"/>
      <c r="GSF54" s="556"/>
      <c r="GSG54" s="556"/>
      <c r="GSH54" s="556"/>
      <c r="GSI54" s="556"/>
      <c r="GSJ54" s="556"/>
      <c r="GSK54" s="556"/>
      <c r="GSL54" s="556"/>
      <c r="GSM54" s="556"/>
      <c r="GSN54" s="556"/>
      <c r="GSO54" s="556"/>
      <c r="GSP54" s="556"/>
      <c r="GSQ54" s="556"/>
      <c r="GSR54" s="556"/>
      <c r="GSS54" s="556"/>
      <c r="GST54" s="556"/>
      <c r="GSU54" s="556"/>
      <c r="GSV54" s="556"/>
      <c r="GSW54" s="556"/>
      <c r="GSX54" s="556"/>
      <c r="GSY54" s="556"/>
      <c r="GSZ54" s="556"/>
      <c r="GTA54" s="556"/>
      <c r="GTB54" s="556"/>
      <c r="GTC54" s="556"/>
      <c r="GTD54" s="556"/>
      <c r="GTE54" s="556"/>
      <c r="GTF54" s="556"/>
      <c r="GTG54" s="556"/>
      <c r="GTH54" s="556"/>
      <c r="GTI54" s="556"/>
      <c r="GTJ54" s="556"/>
      <c r="GTK54" s="556"/>
      <c r="GTL54" s="556"/>
      <c r="GTM54" s="556"/>
      <c r="GTN54" s="556"/>
      <c r="GTO54" s="556"/>
      <c r="GTP54" s="556"/>
      <c r="GTQ54" s="556"/>
      <c r="GTR54" s="556"/>
      <c r="GTS54" s="556"/>
      <c r="GTT54" s="556"/>
      <c r="GTU54" s="556"/>
      <c r="GTV54" s="556"/>
      <c r="GTW54" s="556"/>
      <c r="GTX54" s="556"/>
      <c r="GTY54" s="556"/>
      <c r="GTZ54" s="556"/>
      <c r="GUA54" s="556"/>
      <c r="GUB54" s="556"/>
      <c r="GUC54" s="556"/>
      <c r="GUD54" s="556"/>
      <c r="GUE54" s="556"/>
      <c r="GUF54" s="556"/>
      <c r="GUG54" s="556"/>
      <c r="GUH54" s="556"/>
      <c r="GUI54" s="556"/>
      <c r="GUJ54" s="556"/>
      <c r="GUK54" s="556"/>
      <c r="GUL54" s="556"/>
      <c r="GUM54" s="556"/>
      <c r="GUN54" s="556"/>
      <c r="GUO54" s="556"/>
      <c r="GUP54" s="556"/>
      <c r="GUQ54" s="556"/>
      <c r="GUR54" s="556"/>
      <c r="GUS54" s="556"/>
      <c r="GUT54" s="556"/>
      <c r="GUU54" s="556"/>
      <c r="GUV54" s="556"/>
      <c r="GUW54" s="556"/>
      <c r="GUX54" s="556"/>
      <c r="GUY54" s="556"/>
      <c r="GUZ54" s="556"/>
      <c r="GVA54" s="556"/>
      <c r="GVB54" s="556"/>
      <c r="GVC54" s="556"/>
      <c r="GVD54" s="556"/>
      <c r="GVE54" s="556"/>
      <c r="GVF54" s="556"/>
      <c r="GVG54" s="556"/>
      <c r="GVH54" s="556"/>
      <c r="GVI54" s="556"/>
      <c r="GVJ54" s="556"/>
      <c r="GVK54" s="556"/>
      <c r="GVL54" s="556"/>
      <c r="GVM54" s="556"/>
      <c r="GVN54" s="556"/>
      <c r="GVO54" s="556"/>
      <c r="GVP54" s="556"/>
      <c r="GVQ54" s="556"/>
      <c r="GVR54" s="556"/>
      <c r="GVS54" s="556"/>
      <c r="GVT54" s="556"/>
      <c r="GVU54" s="556"/>
      <c r="GVV54" s="556"/>
      <c r="GVW54" s="556"/>
      <c r="GVX54" s="556"/>
      <c r="GVY54" s="556"/>
      <c r="GVZ54" s="556"/>
      <c r="GWA54" s="556"/>
      <c r="GWB54" s="556"/>
      <c r="GWC54" s="556"/>
      <c r="GWD54" s="556"/>
      <c r="GWE54" s="556"/>
      <c r="GWF54" s="556"/>
      <c r="GWG54" s="556"/>
      <c r="GWH54" s="556"/>
      <c r="GWI54" s="556"/>
      <c r="GWJ54" s="556"/>
      <c r="GWK54" s="556"/>
      <c r="GWL54" s="556"/>
      <c r="GWM54" s="556"/>
      <c r="GWN54" s="556"/>
      <c r="GWO54" s="556"/>
      <c r="GWP54" s="556"/>
      <c r="GWQ54" s="556"/>
      <c r="GWR54" s="556"/>
      <c r="GWS54" s="556"/>
      <c r="GWT54" s="556"/>
      <c r="GWU54" s="556"/>
      <c r="GWV54" s="556"/>
      <c r="GWW54" s="556"/>
      <c r="GWX54" s="556"/>
      <c r="GWY54" s="556"/>
      <c r="GWZ54" s="556"/>
      <c r="GXA54" s="556"/>
      <c r="GXB54" s="556"/>
      <c r="GXC54" s="556"/>
      <c r="GXD54" s="556"/>
      <c r="GXE54" s="556"/>
      <c r="GXF54" s="556"/>
      <c r="GXG54" s="556"/>
      <c r="GXH54" s="556"/>
      <c r="GXI54" s="556"/>
      <c r="GXJ54" s="556"/>
      <c r="GXK54" s="556"/>
      <c r="GXL54" s="556"/>
      <c r="GXM54" s="556"/>
      <c r="GXN54" s="556"/>
      <c r="GXO54" s="556"/>
      <c r="GXP54" s="556"/>
      <c r="GXQ54" s="556"/>
      <c r="GXR54" s="556"/>
      <c r="GXS54" s="556"/>
      <c r="GXT54" s="556"/>
      <c r="GXU54" s="556"/>
      <c r="GXV54" s="556"/>
      <c r="GXW54" s="556"/>
      <c r="GXX54" s="556"/>
      <c r="GXY54" s="556"/>
      <c r="GXZ54" s="556"/>
      <c r="GYA54" s="556"/>
      <c r="GYB54" s="556"/>
      <c r="GYC54" s="556"/>
      <c r="GYD54" s="556"/>
      <c r="GYE54" s="556"/>
      <c r="GYF54" s="556"/>
      <c r="GYG54" s="556"/>
      <c r="GYH54" s="556"/>
      <c r="GYI54" s="556"/>
      <c r="GYJ54" s="556"/>
      <c r="GYK54" s="556"/>
      <c r="GYL54" s="556"/>
      <c r="GYM54" s="556"/>
      <c r="GYN54" s="556"/>
      <c r="GYO54" s="556"/>
      <c r="GYP54" s="556"/>
      <c r="GYQ54" s="556"/>
      <c r="GYR54" s="556"/>
      <c r="GYS54" s="556"/>
      <c r="GYT54" s="556"/>
      <c r="GYU54" s="556"/>
      <c r="GYV54" s="556"/>
      <c r="GYW54" s="556"/>
      <c r="GYX54" s="556"/>
      <c r="GYY54" s="556"/>
      <c r="GYZ54" s="556"/>
      <c r="GZA54" s="556"/>
      <c r="GZB54" s="556"/>
      <c r="GZC54" s="556"/>
      <c r="GZD54" s="556"/>
      <c r="GZE54" s="556"/>
      <c r="GZF54" s="556"/>
      <c r="GZG54" s="556"/>
      <c r="GZH54" s="556"/>
      <c r="GZI54" s="556"/>
      <c r="GZJ54" s="556"/>
      <c r="GZK54" s="556"/>
      <c r="GZL54" s="556"/>
      <c r="GZM54" s="556"/>
      <c r="GZN54" s="556"/>
      <c r="GZO54" s="556"/>
      <c r="GZP54" s="556"/>
      <c r="GZQ54" s="556"/>
      <c r="GZR54" s="556"/>
      <c r="GZS54" s="556"/>
      <c r="GZT54" s="556"/>
      <c r="GZU54" s="556"/>
      <c r="GZV54" s="556"/>
      <c r="GZW54" s="556"/>
      <c r="GZX54" s="556"/>
      <c r="GZY54" s="556"/>
      <c r="GZZ54" s="556"/>
      <c r="HAA54" s="556"/>
      <c r="HAB54" s="556"/>
      <c r="HAC54" s="556"/>
      <c r="HAD54" s="556"/>
      <c r="HAE54" s="556"/>
      <c r="HAF54" s="556"/>
      <c r="HAG54" s="556"/>
      <c r="HAH54" s="556"/>
      <c r="HAI54" s="556"/>
      <c r="HAJ54" s="556"/>
      <c r="HAK54" s="556"/>
      <c r="HAL54" s="556"/>
      <c r="HAM54" s="556"/>
      <c r="HAN54" s="556"/>
      <c r="HAO54" s="556"/>
      <c r="HAP54" s="556"/>
      <c r="HAQ54" s="556"/>
      <c r="HAR54" s="556"/>
      <c r="HAS54" s="556"/>
      <c r="HAT54" s="556"/>
      <c r="HAU54" s="556"/>
      <c r="HAV54" s="556"/>
      <c r="HAW54" s="556"/>
      <c r="HAX54" s="556"/>
      <c r="HAY54" s="556"/>
      <c r="HAZ54" s="556"/>
      <c r="HBA54" s="556"/>
      <c r="HBB54" s="556"/>
      <c r="HBC54" s="556"/>
      <c r="HBD54" s="556"/>
      <c r="HBE54" s="556"/>
      <c r="HBF54" s="556"/>
      <c r="HBG54" s="556"/>
      <c r="HBH54" s="556"/>
      <c r="HBI54" s="556"/>
      <c r="HBJ54" s="556"/>
      <c r="HBK54" s="556"/>
      <c r="HBL54" s="556"/>
      <c r="HBM54" s="556"/>
      <c r="HBN54" s="556"/>
      <c r="HBO54" s="556"/>
      <c r="HBP54" s="556"/>
      <c r="HBQ54" s="556"/>
      <c r="HBR54" s="556"/>
      <c r="HBS54" s="556"/>
      <c r="HBT54" s="556"/>
      <c r="HBU54" s="556"/>
      <c r="HBV54" s="556"/>
      <c r="HBW54" s="556"/>
      <c r="HBX54" s="556"/>
      <c r="HBY54" s="556"/>
      <c r="HBZ54" s="556"/>
      <c r="HCA54" s="556"/>
      <c r="HCB54" s="556"/>
      <c r="HCC54" s="556"/>
      <c r="HCD54" s="556"/>
      <c r="HCE54" s="556"/>
      <c r="HCF54" s="556"/>
      <c r="HCG54" s="556"/>
      <c r="HCH54" s="556"/>
      <c r="HCI54" s="556"/>
      <c r="HCJ54" s="556"/>
      <c r="HCK54" s="556"/>
      <c r="HCL54" s="556"/>
      <c r="HCM54" s="556"/>
      <c r="HCN54" s="556"/>
      <c r="HCO54" s="556"/>
      <c r="HCP54" s="556"/>
      <c r="HCQ54" s="556"/>
      <c r="HCR54" s="556"/>
      <c r="HCS54" s="556"/>
      <c r="HCT54" s="556"/>
      <c r="HCU54" s="556"/>
      <c r="HCV54" s="556"/>
      <c r="HCW54" s="556"/>
      <c r="HCX54" s="556"/>
      <c r="HCY54" s="556"/>
      <c r="HCZ54" s="556"/>
      <c r="HDA54" s="556"/>
      <c r="HDB54" s="556"/>
      <c r="HDC54" s="556"/>
      <c r="HDD54" s="556"/>
      <c r="HDE54" s="556"/>
      <c r="HDF54" s="556"/>
      <c r="HDG54" s="556"/>
      <c r="HDH54" s="556"/>
      <c r="HDI54" s="556"/>
      <c r="HDJ54" s="556"/>
      <c r="HDK54" s="556"/>
      <c r="HDL54" s="556"/>
      <c r="HDM54" s="556"/>
      <c r="HDN54" s="556"/>
      <c r="HDO54" s="556"/>
      <c r="HDP54" s="556"/>
      <c r="HDQ54" s="556"/>
      <c r="HDR54" s="556"/>
      <c r="HDS54" s="556"/>
      <c r="HDT54" s="556"/>
      <c r="HDU54" s="556"/>
      <c r="HDV54" s="556"/>
      <c r="HDW54" s="556"/>
      <c r="HDX54" s="556"/>
      <c r="HDY54" s="556"/>
      <c r="HDZ54" s="556"/>
      <c r="HEA54" s="556"/>
      <c r="HEB54" s="556"/>
      <c r="HEC54" s="556"/>
      <c r="HED54" s="556"/>
      <c r="HEE54" s="556"/>
      <c r="HEF54" s="556"/>
      <c r="HEG54" s="556"/>
      <c r="HEH54" s="556"/>
      <c r="HEI54" s="556"/>
      <c r="HEJ54" s="556"/>
      <c r="HEK54" s="556"/>
      <c r="HEL54" s="556"/>
      <c r="HEM54" s="556"/>
      <c r="HEN54" s="556"/>
      <c r="HEO54" s="556"/>
      <c r="HEP54" s="556"/>
      <c r="HEQ54" s="556"/>
      <c r="HER54" s="556"/>
      <c r="HES54" s="556"/>
      <c r="HET54" s="556"/>
      <c r="HEU54" s="556"/>
      <c r="HEV54" s="556"/>
      <c r="HEW54" s="556"/>
      <c r="HEX54" s="556"/>
      <c r="HEY54" s="556"/>
      <c r="HEZ54" s="556"/>
      <c r="HFA54" s="556"/>
      <c r="HFB54" s="556"/>
      <c r="HFC54" s="556"/>
      <c r="HFD54" s="556"/>
      <c r="HFE54" s="556"/>
      <c r="HFF54" s="556"/>
      <c r="HFG54" s="556"/>
      <c r="HFH54" s="556"/>
      <c r="HFI54" s="556"/>
      <c r="HFJ54" s="556"/>
      <c r="HFK54" s="556"/>
      <c r="HFL54" s="556"/>
      <c r="HFM54" s="556"/>
      <c r="HFN54" s="556"/>
      <c r="HFO54" s="556"/>
      <c r="HFP54" s="556"/>
      <c r="HFQ54" s="556"/>
      <c r="HFR54" s="556"/>
      <c r="HFS54" s="556"/>
      <c r="HFT54" s="556"/>
      <c r="HFU54" s="556"/>
      <c r="HFV54" s="556"/>
      <c r="HFW54" s="556"/>
      <c r="HFX54" s="556"/>
      <c r="HFY54" s="556"/>
      <c r="HFZ54" s="556"/>
      <c r="HGA54" s="556"/>
      <c r="HGB54" s="556"/>
      <c r="HGC54" s="556"/>
      <c r="HGD54" s="556"/>
      <c r="HGE54" s="556"/>
      <c r="HGF54" s="556"/>
      <c r="HGG54" s="556"/>
      <c r="HGH54" s="556"/>
      <c r="HGI54" s="556"/>
      <c r="HGJ54" s="556"/>
      <c r="HGK54" s="556"/>
      <c r="HGL54" s="556"/>
      <c r="HGM54" s="556"/>
      <c r="HGN54" s="556"/>
      <c r="HGO54" s="556"/>
      <c r="HGP54" s="556"/>
      <c r="HGQ54" s="556"/>
      <c r="HGR54" s="556"/>
      <c r="HGS54" s="556"/>
      <c r="HGT54" s="556"/>
      <c r="HGU54" s="556"/>
      <c r="HGV54" s="556"/>
      <c r="HGW54" s="556"/>
      <c r="HGX54" s="556"/>
      <c r="HGY54" s="556"/>
      <c r="HGZ54" s="556"/>
      <c r="HHA54" s="556"/>
      <c r="HHB54" s="556"/>
      <c r="HHC54" s="556"/>
      <c r="HHD54" s="556"/>
      <c r="HHE54" s="556"/>
      <c r="HHF54" s="556"/>
      <c r="HHG54" s="556"/>
      <c r="HHH54" s="556"/>
      <c r="HHI54" s="556"/>
      <c r="HHJ54" s="556"/>
      <c r="HHK54" s="556"/>
      <c r="HHL54" s="556"/>
      <c r="HHM54" s="556"/>
      <c r="HHN54" s="556"/>
      <c r="HHO54" s="556"/>
      <c r="HHP54" s="556"/>
      <c r="HHQ54" s="556"/>
      <c r="HHR54" s="556"/>
      <c r="HHS54" s="556"/>
      <c r="HHT54" s="556"/>
      <c r="HHU54" s="556"/>
      <c r="HHV54" s="556"/>
      <c r="HHW54" s="556"/>
      <c r="HHX54" s="556"/>
      <c r="HHY54" s="556"/>
      <c r="HHZ54" s="556"/>
      <c r="HIA54" s="556"/>
      <c r="HIB54" s="556"/>
      <c r="HIC54" s="556"/>
      <c r="HID54" s="556"/>
      <c r="HIE54" s="556"/>
      <c r="HIF54" s="556"/>
      <c r="HIG54" s="556"/>
      <c r="HIH54" s="556"/>
      <c r="HII54" s="556"/>
      <c r="HIJ54" s="556"/>
      <c r="HIK54" s="556"/>
      <c r="HIL54" s="556"/>
      <c r="HIM54" s="556"/>
      <c r="HIN54" s="556"/>
      <c r="HIO54" s="556"/>
      <c r="HIP54" s="556"/>
      <c r="HIQ54" s="556"/>
      <c r="HIR54" s="556"/>
      <c r="HIS54" s="556"/>
      <c r="HIT54" s="556"/>
      <c r="HIU54" s="556"/>
      <c r="HIV54" s="556"/>
      <c r="HIW54" s="556"/>
      <c r="HIX54" s="556"/>
      <c r="HIY54" s="556"/>
      <c r="HIZ54" s="556"/>
      <c r="HJA54" s="556"/>
      <c r="HJB54" s="556"/>
      <c r="HJC54" s="556"/>
      <c r="HJD54" s="556"/>
      <c r="HJE54" s="556"/>
      <c r="HJF54" s="556"/>
      <c r="HJG54" s="556"/>
      <c r="HJH54" s="556"/>
      <c r="HJI54" s="556"/>
      <c r="HJJ54" s="556"/>
      <c r="HJK54" s="556"/>
      <c r="HJL54" s="556"/>
      <c r="HJM54" s="556"/>
      <c r="HJN54" s="556"/>
      <c r="HJO54" s="556"/>
      <c r="HJP54" s="556"/>
      <c r="HJQ54" s="556"/>
      <c r="HJR54" s="556"/>
      <c r="HJS54" s="556"/>
      <c r="HJT54" s="556"/>
      <c r="HJU54" s="556"/>
      <c r="HJV54" s="556"/>
      <c r="HJW54" s="556"/>
      <c r="HJX54" s="556"/>
      <c r="HJY54" s="556"/>
      <c r="HJZ54" s="556"/>
      <c r="HKA54" s="556"/>
      <c r="HKB54" s="556"/>
      <c r="HKC54" s="556"/>
      <c r="HKD54" s="556"/>
      <c r="HKE54" s="556"/>
      <c r="HKF54" s="556"/>
      <c r="HKG54" s="556"/>
      <c r="HKH54" s="556"/>
      <c r="HKI54" s="556"/>
      <c r="HKJ54" s="556"/>
      <c r="HKK54" s="556"/>
      <c r="HKL54" s="556"/>
      <c r="HKM54" s="556"/>
      <c r="HKN54" s="556"/>
      <c r="HKO54" s="556"/>
      <c r="HKP54" s="556"/>
      <c r="HKQ54" s="556"/>
      <c r="HKR54" s="556"/>
      <c r="HKS54" s="556"/>
      <c r="HKT54" s="556"/>
      <c r="HKU54" s="556"/>
      <c r="HKV54" s="556"/>
      <c r="HKW54" s="556"/>
      <c r="HKX54" s="556"/>
      <c r="HKY54" s="556"/>
      <c r="HKZ54" s="556"/>
      <c r="HLA54" s="556"/>
      <c r="HLB54" s="556"/>
      <c r="HLC54" s="556"/>
      <c r="HLD54" s="556"/>
      <c r="HLE54" s="556"/>
      <c r="HLF54" s="556"/>
      <c r="HLG54" s="556"/>
      <c r="HLH54" s="556"/>
      <c r="HLI54" s="556"/>
      <c r="HLJ54" s="556"/>
      <c r="HLK54" s="556"/>
      <c r="HLL54" s="556"/>
      <c r="HLM54" s="556"/>
      <c r="HLN54" s="556"/>
      <c r="HLO54" s="556"/>
      <c r="HLP54" s="556"/>
      <c r="HLQ54" s="556"/>
      <c r="HLR54" s="556"/>
      <c r="HLS54" s="556"/>
      <c r="HLT54" s="556"/>
      <c r="HLU54" s="556"/>
      <c r="HLV54" s="556"/>
      <c r="HLW54" s="556"/>
      <c r="HLX54" s="556"/>
      <c r="HLY54" s="556"/>
      <c r="HLZ54" s="556"/>
      <c r="HMA54" s="556"/>
      <c r="HMB54" s="556"/>
      <c r="HMC54" s="556"/>
      <c r="HMD54" s="556"/>
      <c r="HME54" s="556"/>
      <c r="HMF54" s="556"/>
      <c r="HMG54" s="556"/>
      <c r="HMH54" s="556"/>
      <c r="HMI54" s="556"/>
      <c r="HMJ54" s="556"/>
      <c r="HMK54" s="556"/>
      <c r="HML54" s="556"/>
      <c r="HMM54" s="556"/>
      <c r="HMN54" s="556"/>
      <c r="HMO54" s="556"/>
      <c r="HMP54" s="556"/>
      <c r="HMQ54" s="556"/>
      <c r="HMR54" s="556"/>
      <c r="HMS54" s="556"/>
      <c r="HMT54" s="556"/>
      <c r="HMU54" s="556"/>
      <c r="HMV54" s="556"/>
      <c r="HMW54" s="556"/>
      <c r="HMX54" s="556"/>
      <c r="HMY54" s="556"/>
      <c r="HMZ54" s="556"/>
      <c r="HNA54" s="556"/>
      <c r="HNB54" s="556"/>
      <c r="HNC54" s="556"/>
      <c r="HND54" s="556"/>
      <c r="HNE54" s="556"/>
      <c r="HNF54" s="556"/>
      <c r="HNG54" s="556"/>
      <c r="HNH54" s="556"/>
      <c r="HNI54" s="556"/>
      <c r="HNJ54" s="556"/>
      <c r="HNK54" s="556"/>
      <c r="HNL54" s="556"/>
      <c r="HNM54" s="556"/>
      <c r="HNN54" s="556"/>
      <c r="HNO54" s="556"/>
      <c r="HNP54" s="556"/>
      <c r="HNQ54" s="556"/>
      <c r="HNR54" s="556"/>
      <c r="HNS54" s="556"/>
      <c r="HNT54" s="556"/>
      <c r="HNU54" s="556"/>
      <c r="HNV54" s="556"/>
      <c r="HNW54" s="556"/>
      <c r="HNX54" s="556"/>
      <c r="HNY54" s="556"/>
      <c r="HNZ54" s="556"/>
      <c r="HOA54" s="556"/>
      <c r="HOB54" s="556"/>
      <c r="HOC54" s="556"/>
      <c r="HOD54" s="556"/>
      <c r="HOE54" s="556"/>
      <c r="HOF54" s="556"/>
      <c r="HOG54" s="556"/>
      <c r="HOH54" s="556"/>
      <c r="HOI54" s="556"/>
      <c r="HOJ54" s="556"/>
      <c r="HOK54" s="556"/>
      <c r="HOL54" s="556"/>
      <c r="HOM54" s="556"/>
      <c r="HON54" s="556"/>
      <c r="HOO54" s="556"/>
      <c r="HOP54" s="556"/>
      <c r="HOQ54" s="556"/>
      <c r="HOR54" s="556"/>
      <c r="HOS54" s="556"/>
      <c r="HOT54" s="556"/>
      <c r="HOU54" s="556"/>
      <c r="HOV54" s="556"/>
      <c r="HOW54" s="556"/>
      <c r="HOX54" s="556"/>
      <c r="HOY54" s="556"/>
      <c r="HOZ54" s="556"/>
      <c r="HPA54" s="556"/>
      <c r="HPB54" s="556"/>
      <c r="HPC54" s="556"/>
      <c r="HPD54" s="556"/>
      <c r="HPE54" s="556"/>
      <c r="HPF54" s="556"/>
      <c r="HPG54" s="556"/>
      <c r="HPH54" s="556"/>
      <c r="HPI54" s="556"/>
      <c r="HPJ54" s="556"/>
      <c r="HPK54" s="556"/>
      <c r="HPL54" s="556"/>
      <c r="HPM54" s="556"/>
      <c r="HPN54" s="556"/>
      <c r="HPO54" s="556"/>
      <c r="HPP54" s="556"/>
      <c r="HPQ54" s="556"/>
      <c r="HPR54" s="556"/>
      <c r="HPS54" s="556"/>
      <c r="HPT54" s="556"/>
      <c r="HPU54" s="556"/>
      <c r="HPV54" s="556"/>
      <c r="HPW54" s="556"/>
      <c r="HPX54" s="556"/>
      <c r="HPY54" s="556"/>
      <c r="HPZ54" s="556"/>
      <c r="HQA54" s="556"/>
      <c r="HQB54" s="556"/>
      <c r="HQC54" s="556"/>
      <c r="HQD54" s="556"/>
      <c r="HQE54" s="556"/>
      <c r="HQF54" s="556"/>
      <c r="HQG54" s="556"/>
      <c r="HQH54" s="556"/>
      <c r="HQI54" s="556"/>
      <c r="HQJ54" s="556"/>
      <c r="HQK54" s="556"/>
      <c r="HQL54" s="556"/>
      <c r="HQM54" s="556"/>
      <c r="HQN54" s="556"/>
      <c r="HQO54" s="556"/>
      <c r="HQP54" s="556"/>
      <c r="HQQ54" s="556"/>
      <c r="HQR54" s="556"/>
      <c r="HQS54" s="556"/>
      <c r="HQT54" s="556"/>
      <c r="HQU54" s="556"/>
      <c r="HQV54" s="556"/>
      <c r="HQW54" s="556"/>
      <c r="HQX54" s="556"/>
      <c r="HQY54" s="556"/>
      <c r="HQZ54" s="556"/>
      <c r="HRA54" s="556"/>
      <c r="HRB54" s="556"/>
      <c r="HRC54" s="556"/>
      <c r="HRD54" s="556"/>
      <c r="HRE54" s="556"/>
      <c r="HRF54" s="556"/>
      <c r="HRG54" s="556"/>
      <c r="HRH54" s="556"/>
      <c r="HRI54" s="556"/>
      <c r="HRJ54" s="556"/>
      <c r="HRK54" s="556"/>
      <c r="HRL54" s="556"/>
      <c r="HRM54" s="556"/>
      <c r="HRN54" s="556"/>
      <c r="HRO54" s="556"/>
      <c r="HRP54" s="556"/>
      <c r="HRQ54" s="556"/>
      <c r="HRR54" s="556"/>
      <c r="HRS54" s="556"/>
      <c r="HRT54" s="556"/>
      <c r="HRU54" s="556"/>
      <c r="HRV54" s="556"/>
      <c r="HRW54" s="556"/>
      <c r="HRX54" s="556"/>
      <c r="HRY54" s="556"/>
      <c r="HRZ54" s="556"/>
      <c r="HSA54" s="556"/>
      <c r="HSB54" s="556"/>
      <c r="HSC54" s="556"/>
      <c r="HSD54" s="556"/>
      <c r="HSE54" s="556"/>
      <c r="HSF54" s="556"/>
      <c r="HSG54" s="556"/>
      <c r="HSH54" s="556"/>
      <c r="HSI54" s="556"/>
      <c r="HSJ54" s="556"/>
      <c r="HSK54" s="556"/>
      <c r="HSL54" s="556"/>
      <c r="HSM54" s="556"/>
      <c r="HSN54" s="556"/>
      <c r="HSO54" s="556"/>
      <c r="HSP54" s="556"/>
      <c r="HSQ54" s="556"/>
      <c r="HSR54" s="556"/>
      <c r="HSS54" s="556"/>
      <c r="HST54" s="556"/>
      <c r="HSU54" s="556"/>
      <c r="HSV54" s="556"/>
      <c r="HSW54" s="556"/>
      <c r="HSX54" s="556"/>
      <c r="HSY54" s="556"/>
      <c r="HSZ54" s="556"/>
      <c r="HTA54" s="556"/>
      <c r="HTB54" s="556"/>
      <c r="HTC54" s="556"/>
      <c r="HTD54" s="556"/>
      <c r="HTE54" s="556"/>
      <c r="HTF54" s="556"/>
      <c r="HTG54" s="556"/>
      <c r="HTH54" s="556"/>
      <c r="HTI54" s="556"/>
      <c r="HTJ54" s="556"/>
      <c r="HTK54" s="556"/>
      <c r="HTL54" s="556"/>
      <c r="HTM54" s="556"/>
      <c r="HTN54" s="556"/>
      <c r="HTO54" s="556"/>
      <c r="HTP54" s="556"/>
      <c r="HTQ54" s="556"/>
      <c r="HTR54" s="556"/>
      <c r="HTS54" s="556"/>
      <c r="HTT54" s="556"/>
      <c r="HTU54" s="556"/>
      <c r="HTV54" s="556"/>
      <c r="HTW54" s="556"/>
      <c r="HTX54" s="556"/>
      <c r="HTY54" s="556"/>
      <c r="HTZ54" s="556"/>
      <c r="HUA54" s="556"/>
      <c r="HUB54" s="556"/>
      <c r="HUC54" s="556"/>
      <c r="HUD54" s="556"/>
      <c r="HUE54" s="556"/>
      <c r="HUF54" s="556"/>
      <c r="HUG54" s="556"/>
      <c r="HUH54" s="556"/>
      <c r="HUI54" s="556"/>
      <c r="HUJ54" s="556"/>
      <c r="HUK54" s="556"/>
      <c r="HUL54" s="556"/>
      <c r="HUM54" s="556"/>
      <c r="HUN54" s="556"/>
      <c r="HUO54" s="556"/>
      <c r="HUP54" s="556"/>
      <c r="HUQ54" s="556"/>
      <c r="HUR54" s="556"/>
      <c r="HUS54" s="556"/>
      <c r="HUT54" s="556"/>
      <c r="HUU54" s="556"/>
      <c r="HUV54" s="556"/>
      <c r="HUW54" s="556"/>
      <c r="HUX54" s="556"/>
      <c r="HUY54" s="556"/>
      <c r="HUZ54" s="556"/>
      <c r="HVA54" s="556"/>
      <c r="HVB54" s="556"/>
      <c r="HVC54" s="556"/>
      <c r="HVD54" s="556"/>
      <c r="HVE54" s="556"/>
      <c r="HVF54" s="556"/>
      <c r="HVG54" s="556"/>
      <c r="HVH54" s="556"/>
      <c r="HVI54" s="556"/>
      <c r="HVJ54" s="556"/>
      <c r="HVK54" s="556"/>
      <c r="HVL54" s="556"/>
      <c r="HVM54" s="556"/>
      <c r="HVN54" s="556"/>
      <c r="HVO54" s="556"/>
      <c r="HVP54" s="556"/>
      <c r="HVQ54" s="556"/>
      <c r="HVR54" s="556"/>
      <c r="HVS54" s="556"/>
      <c r="HVT54" s="556"/>
      <c r="HVU54" s="556"/>
      <c r="HVV54" s="556"/>
      <c r="HVW54" s="556"/>
      <c r="HVX54" s="556"/>
      <c r="HVY54" s="556"/>
      <c r="HVZ54" s="556"/>
      <c r="HWA54" s="556"/>
      <c r="HWB54" s="556"/>
      <c r="HWC54" s="556"/>
      <c r="HWD54" s="556"/>
      <c r="HWE54" s="556"/>
      <c r="HWF54" s="556"/>
      <c r="HWG54" s="556"/>
      <c r="HWH54" s="556"/>
      <c r="HWI54" s="556"/>
      <c r="HWJ54" s="556"/>
      <c r="HWK54" s="556"/>
      <c r="HWL54" s="556"/>
      <c r="HWM54" s="556"/>
      <c r="HWN54" s="556"/>
      <c r="HWO54" s="556"/>
      <c r="HWP54" s="556"/>
      <c r="HWQ54" s="556"/>
      <c r="HWR54" s="556"/>
      <c r="HWS54" s="556"/>
      <c r="HWT54" s="556"/>
      <c r="HWU54" s="556"/>
      <c r="HWV54" s="556"/>
      <c r="HWW54" s="556"/>
      <c r="HWX54" s="556"/>
      <c r="HWY54" s="556"/>
      <c r="HWZ54" s="556"/>
      <c r="HXA54" s="556"/>
      <c r="HXB54" s="556"/>
      <c r="HXC54" s="556"/>
      <c r="HXD54" s="556"/>
      <c r="HXE54" s="556"/>
      <c r="HXF54" s="556"/>
      <c r="HXG54" s="556"/>
      <c r="HXH54" s="556"/>
      <c r="HXI54" s="556"/>
      <c r="HXJ54" s="556"/>
      <c r="HXK54" s="556"/>
      <c r="HXL54" s="556"/>
      <c r="HXM54" s="556"/>
      <c r="HXN54" s="556"/>
      <c r="HXO54" s="556"/>
      <c r="HXP54" s="556"/>
      <c r="HXQ54" s="556"/>
      <c r="HXR54" s="556"/>
      <c r="HXS54" s="556"/>
      <c r="HXT54" s="556"/>
      <c r="HXU54" s="556"/>
      <c r="HXV54" s="556"/>
      <c r="HXW54" s="556"/>
      <c r="HXX54" s="556"/>
      <c r="HXY54" s="556"/>
      <c r="HXZ54" s="556"/>
      <c r="HYA54" s="556"/>
      <c r="HYB54" s="556"/>
      <c r="HYC54" s="556"/>
      <c r="HYD54" s="556"/>
      <c r="HYE54" s="556"/>
      <c r="HYF54" s="556"/>
      <c r="HYG54" s="556"/>
      <c r="HYH54" s="556"/>
      <c r="HYI54" s="556"/>
      <c r="HYJ54" s="556"/>
      <c r="HYK54" s="556"/>
      <c r="HYL54" s="556"/>
      <c r="HYM54" s="556"/>
      <c r="HYN54" s="556"/>
      <c r="HYO54" s="556"/>
      <c r="HYP54" s="556"/>
      <c r="HYQ54" s="556"/>
      <c r="HYR54" s="556"/>
      <c r="HYS54" s="556"/>
      <c r="HYT54" s="556"/>
      <c r="HYU54" s="556"/>
      <c r="HYV54" s="556"/>
      <c r="HYW54" s="556"/>
      <c r="HYX54" s="556"/>
      <c r="HYY54" s="556"/>
      <c r="HYZ54" s="556"/>
      <c r="HZA54" s="556"/>
      <c r="HZB54" s="556"/>
      <c r="HZC54" s="556"/>
      <c r="HZD54" s="556"/>
      <c r="HZE54" s="556"/>
      <c r="HZF54" s="556"/>
      <c r="HZG54" s="556"/>
      <c r="HZH54" s="556"/>
      <c r="HZI54" s="556"/>
      <c r="HZJ54" s="556"/>
      <c r="HZK54" s="556"/>
      <c r="HZL54" s="556"/>
      <c r="HZM54" s="556"/>
      <c r="HZN54" s="556"/>
      <c r="HZO54" s="556"/>
      <c r="HZP54" s="556"/>
      <c r="HZQ54" s="556"/>
      <c r="HZR54" s="556"/>
      <c r="HZS54" s="556"/>
      <c r="HZT54" s="556"/>
      <c r="HZU54" s="556"/>
      <c r="HZV54" s="556"/>
      <c r="HZW54" s="556"/>
      <c r="HZX54" s="556"/>
      <c r="HZY54" s="556"/>
      <c r="HZZ54" s="556"/>
      <c r="IAA54" s="556"/>
      <c r="IAB54" s="556"/>
      <c r="IAC54" s="556"/>
      <c r="IAD54" s="556"/>
      <c r="IAE54" s="556"/>
      <c r="IAF54" s="556"/>
      <c r="IAG54" s="556"/>
      <c r="IAH54" s="556"/>
      <c r="IAI54" s="556"/>
      <c r="IAJ54" s="556"/>
      <c r="IAK54" s="556"/>
      <c r="IAL54" s="556"/>
      <c r="IAM54" s="556"/>
      <c r="IAN54" s="556"/>
      <c r="IAO54" s="556"/>
      <c r="IAP54" s="556"/>
      <c r="IAQ54" s="556"/>
      <c r="IAR54" s="556"/>
      <c r="IAS54" s="556"/>
      <c r="IAT54" s="556"/>
      <c r="IAU54" s="556"/>
      <c r="IAV54" s="556"/>
      <c r="IAW54" s="556"/>
      <c r="IAX54" s="556"/>
      <c r="IAY54" s="556"/>
      <c r="IAZ54" s="556"/>
      <c r="IBA54" s="556"/>
      <c r="IBB54" s="556"/>
      <c r="IBC54" s="556"/>
      <c r="IBD54" s="556"/>
      <c r="IBE54" s="556"/>
      <c r="IBF54" s="556"/>
      <c r="IBG54" s="556"/>
      <c r="IBH54" s="556"/>
      <c r="IBI54" s="556"/>
      <c r="IBJ54" s="556"/>
      <c r="IBK54" s="556"/>
      <c r="IBL54" s="556"/>
      <c r="IBM54" s="556"/>
      <c r="IBN54" s="556"/>
      <c r="IBO54" s="556"/>
      <c r="IBP54" s="556"/>
      <c r="IBQ54" s="556"/>
      <c r="IBR54" s="556"/>
      <c r="IBS54" s="556"/>
      <c r="IBT54" s="556"/>
      <c r="IBU54" s="556"/>
      <c r="IBV54" s="556"/>
      <c r="IBW54" s="556"/>
      <c r="IBX54" s="556"/>
      <c r="IBY54" s="556"/>
      <c r="IBZ54" s="556"/>
      <c r="ICA54" s="556"/>
      <c r="ICB54" s="556"/>
      <c r="ICC54" s="556"/>
      <c r="ICD54" s="556"/>
      <c r="ICE54" s="556"/>
      <c r="ICF54" s="556"/>
      <c r="ICG54" s="556"/>
      <c r="ICH54" s="556"/>
      <c r="ICI54" s="556"/>
      <c r="ICJ54" s="556"/>
      <c r="ICK54" s="556"/>
      <c r="ICL54" s="556"/>
      <c r="ICM54" s="556"/>
      <c r="ICN54" s="556"/>
      <c r="ICO54" s="556"/>
      <c r="ICP54" s="556"/>
      <c r="ICQ54" s="556"/>
      <c r="ICR54" s="556"/>
      <c r="ICS54" s="556"/>
      <c r="ICT54" s="556"/>
      <c r="ICU54" s="556"/>
      <c r="ICV54" s="556"/>
      <c r="ICW54" s="556"/>
      <c r="ICX54" s="556"/>
      <c r="ICY54" s="556"/>
      <c r="ICZ54" s="556"/>
      <c r="IDA54" s="556"/>
      <c r="IDB54" s="556"/>
      <c r="IDC54" s="556"/>
      <c r="IDD54" s="556"/>
      <c r="IDE54" s="556"/>
      <c r="IDF54" s="556"/>
      <c r="IDG54" s="556"/>
      <c r="IDH54" s="556"/>
      <c r="IDI54" s="556"/>
      <c r="IDJ54" s="556"/>
      <c r="IDK54" s="556"/>
      <c r="IDL54" s="556"/>
      <c r="IDM54" s="556"/>
      <c r="IDN54" s="556"/>
      <c r="IDO54" s="556"/>
      <c r="IDP54" s="556"/>
      <c r="IDQ54" s="556"/>
      <c r="IDR54" s="556"/>
      <c r="IDS54" s="556"/>
      <c r="IDT54" s="556"/>
      <c r="IDU54" s="556"/>
      <c r="IDV54" s="556"/>
      <c r="IDW54" s="556"/>
      <c r="IDX54" s="556"/>
      <c r="IDY54" s="556"/>
      <c r="IDZ54" s="556"/>
      <c r="IEA54" s="556"/>
      <c r="IEB54" s="556"/>
      <c r="IEC54" s="556"/>
      <c r="IED54" s="556"/>
      <c r="IEE54" s="556"/>
      <c r="IEF54" s="556"/>
      <c r="IEG54" s="556"/>
      <c r="IEH54" s="556"/>
      <c r="IEI54" s="556"/>
      <c r="IEJ54" s="556"/>
      <c r="IEK54" s="556"/>
      <c r="IEL54" s="556"/>
      <c r="IEM54" s="556"/>
      <c r="IEN54" s="556"/>
      <c r="IEO54" s="556"/>
      <c r="IEP54" s="556"/>
      <c r="IEQ54" s="556"/>
      <c r="IER54" s="556"/>
      <c r="IES54" s="556"/>
      <c r="IET54" s="556"/>
      <c r="IEU54" s="556"/>
      <c r="IEV54" s="556"/>
      <c r="IEW54" s="556"/>
      <c r="IEX54" s="556"/>
      <c r="IEY54" s="556"/>
      <c r="IEZ54" s="556"/>
      <c r="IFA54" s="556"/>
      <c r="IFB54" s="556"/>
      <c r="IFC54" s="556"/>
      <c r="IFD54" s="556"/>
      <c r="IFE54" s="556"/>
      <c r="IFF54" s="556"/>
      <c r="IFG54" s="556"/>
      <c r="IFH54" s="556"/>
      <c r="IFI54" s="556"/>
      <c r="IFJ54" s="556"/>
      <c r="IFK54" s="556"/>
      <c r="IFL54" s="556"/>
      <c r="IFM54" s="556"/>
      <c r="IFN54" s="556"/>
      <c r="IFO54" s="556"/>
      <c r="IFP54" s="556"/>
      <c r="IFQ54" s="556"/>
      <c r="IFR54" s="556"/>
      <c r="IFS54" s="556"/>
      <c r="IFT54" s="556"/>
      <c r="IFU54" s="556"/>
      <c r="IFV54" s="556"/>
      <c r="IFW54" s="556"/>
      <c r="IFX54" s="556"/>
      <c r="IFY54" s="556"/>
      <c r="IFZ54" s="556"/>
      <c r="IGA54" s="556"/>
      <c r="IGB54" s="556"/>
      <c r="IGC54" s="556"/>
      <c r="IGD54" s="556"/>
      <c r="IGE54" s="556"/>
      <c r="IGF54" s="556"/>
      <c r="IGG54" s="556"/>
      <c r="IGH54" s="556"/>
      <c r="IGI54" s="556"/>
      <c r="IGJ54" s="556"/>
      <c r="IGK54" s="556"/>
      <c r="IGL54" s="556"/>
      <c r="IGM54" s="556"/>
      <c r="IGN54" s="556"/>
      <c r="IGO54" s="556"/>
      <c r="IGP54" s="556"/>
      <c r="IGQ54" s="556"/>
      <c r="IGR54" s="556"/>
      <c r="IGS54" s="556"/>
      <c r="IGT54" s="556"/>
      <c r="IGU54" s="556"/>
      <c r="IGV54" s="556"/>
      <c r="IGW54" s="556"/>
      <c r="IGX54" s="556"/>
      <c r="IGY54" s="556"/>
      <c r="IGZ54" s="556"/>
      <c r="IHA54" s="556"/>
      <c r="IHB54" s="556"/>
      <c r="IHC54" s="556"/>
      <c r="IHD54" s="556"/>
      <c r="IHE54" s="556"/>
      <c r="IHF54" s="556"/>
      <c r="IHG54" s="556"/>
      <c r="IHH54" s="556"/>
      <c r="IHI54" s="556"/>
      <c r="IHJ54" s="556"/>
      <c r="IHK54" s="556"/>
      <c r="IHL54" s="556"/>
      <c r="IHM54" s="556"/>
      <c r="IHN54" s="556"/>
      <c r="IHO54" s="556"/>
      <c r="IHP54" s="556"/>
      <c r="IHQ54" s="556"/>
      <c r="IHR54" s="556"/>
      <c r="IHS54" s="556"/>
      <c r="IHT54" s="556"/>
      <c r="IHU54" s="556"/>
      <c r="IHV54" s="556"/>
      <c r="IHW54" s="556"/>
      <c r="IHX54" s="556"/>
      <c r="IHY54" s="556"/>
      <c r="IHZ54" s="556"/>
      <c r="IIA54" s="556"/>
      <c r="IIB54" s="556"/>
      <c r="IIC54" s="556"/>
      <c r="IID54" s="556"/>
      <c r="IIE54" s="556"/>
      <c r="IIF54" s="556"/>
      <c r="IIG54" s="556"/>
      <c r="IIH54" s="556"/>
      <c r="III54" s="556"/>
      <c r="IIJ54" s="556"/>
      <c r="IIK54" s="556"/>
      <c r="IIL54" s="556"/>
      <c r="IIM54" s="556"/>
      <c r="IIN54" s="556"/>
      <c r="IIO54" s="556"/>
      <c r="IIP54" s="556"/>
      <c r="IIQ54" s="556"/>
      <c r="IIR54" s="556"/>
      <c r="IIS54" s="556"/>
      <c r="IIT54" s="556"/>
      <c r="IIU54" s="556"/>
      <c r="IIV54" s="556"/>
      <c r="IIW54" s="556"/>
      <c r="IIX54" s="556"/>
      <c r="IIY54" s="556"/>
      <c r="IIZ54" s="556"/>
      <c r="IJA54" s="556"/>
      <c r="IJB54" s="556"/>
      <c r="IJC54" s="556"/>
      <c r="IJD54" s="556"/>
      <c r="IJE54" s="556"/>
      <c r="IJF54" s="556"/>
      <c r="IJG54" s="556"/>
      <c r="IJH54" s="556"/>
      <c r="IJI54" s="556"/>
      <c r="IJJ54" s="556"/>
      <c r="IJK54" s="556"/>
      <c r="IJL54" s="556"/>
      <c r="IJM54" s="556"/>
      <c r="IJN54" s="556"/>
      <c r="IJO54" s="556"/>
      <c r="IJP54" s="556"/>
      <c r="IJQ54" s="556"/>
      <c r="IJR54" s="556"/>
      <c r="IJS54" s="556"/>
      <c r="IJT54" s="556"/>
      <c r="IJU54" s="556"/>
      <c r="IJV54" s="556"/>
      <c r="IJW54" s="556"/>
      <c r="IJX54" s="556"/>
      <c r="IJY54" s="556"/>
      <c r="IJZ54" s="556"/>
      <c r="IKA54" s="556"/>
      <c r="IKB54" s="556"/>
      <c r="IKC54" s="556"/>
      <c r="IKD54" s="556"/>
      <c r="IKE54" s="556"/>
      <c r="IKF54" s="556"/>
      <c r="IKG54" s="556"/>
      <c r="IKH54" s="556"/>
      <c r="IKI54" s="556"/>
      <c r="IKJ54" s="556"/>
      <c r="IKK54" s="556"/>
      <c r="IKL54" s="556"/>
      <c r="IKM54" s="556"/>
      <c r="IKN54" s="556"/>
      <c r="IKO54" s="556"/>
      <c r="IKP54" s="556"/>
      <c r="IKQ54" s="556"/>
      <c r="IKR54" s="556"/>
      <c r="IKS54" s="556"/>
      <c r="IKT54" s="556"/>
      <c r="IKU54" s="556"/>
      <c r="IKV54" s="556"/>
      <c r="IKW54" s="556"/>
      <c r="IKX54" s="556"/>
      <c r="IKY54" s="556"/>
      <c r="IKZ54" s="556"/>
      <c r="ILA54" s="556"/>
      <c r="ILB54" s="556"/>
      <c r="ILC54" s="556"/>
      <c r="ILD54" s="556"/>
      <c r="ILE54" s="556"/>
      <c r="ILF54" s="556"/>
      <c r="ILG54" s="556"/>
      <c r="ILH54" s="556"/>
      <c r="ILI54" s="556"/>
      <c r="ILJ54" s="556"/>
      <c r="ILK54" s="556"/>
      <c r="ILL54" s="556"/>
      <c r="ILM54" s="556"/>
      <c r="ILN54" s="556"/>
      <c r="ILO54" s="556"/>
      <c r="ILP54" s="556"/>
      <c r="ILQ54" s="556"/>
      <c r="ILR54" s="556"/>
      <c r="ILS54" s="556"/>
      <c r="ILT54" s="556"/>
      <c r="ILU54" s="556"/>
      <c r="ILV54" s="556"/>
      <c r="ILW54" s="556"/>
      <c r="ILX54" s="556"/>
      <c r="ILY54" s="556"/>
      <c r="ILZ54" s="556"/>
      <c r="IMA54" s="556"/>
      <c r="IMB54" s="556"/>
      <c r="IMC54" s="556"/>
      <c r="IMD54" s="556"/>
      <c r="IME54" s="556"/>
      <c r="IMF54" s="556"/>
      <c r="IMG54" s="556"/>
      <c r="IMH54" s="556"/>
      <c r="IMI54" s="556"/>
      <c r="IMJ54" s="556"/>
      <c r="IMK54" s="556"/>
      <c r="IML54" s="556"/>
      <c r="IMM54" s="556"/>
      <c r="IMN54" s="556"/>
      <c r="IMO54" s="556"/>
      <c r="IMP54" s="556"/>
      <c r="IMQ54" s="556"/>
      <c r="IMR54" s="556"/>
      <c r="IMS54" s="556"/>
      <c r="IMT54" s="556"/>
      <c r="IMU54" s="556"/>
      <c r="IMV54" s="556"/>
      <c r="IMW54" s="556"/>
      <c r="IMX54" s="556"/>
      <c r="IMY54" s="556"/>
      <c r="IMZ54" s="556"/>
      <c r="INA54" s="556"/>
      <c r="INB54" s="556"/>
      <c r="INC54" s="556"/>
      <c r="IND54" s="556"/>
      <c r="INE54" s="556"/>
      <c r="INF54" s="556"/>
      <c r="ING54" s="556"/>
      <c r="INH54" s="556"/>
      <c r="INI54" s="556"/>
      <c r="INJ54" s="556"/>
      <c r="INK54" s="556"/>
      <c r="INL54" s="556"/>
      <c r="INM54" s="556"/>
      <c r="INN54" s="556"/>
      <c r="INO54" s="556"/>
      <c r="INP54" s="556"/>
      <c r="INQ54" s="556"/>
      <c r="INR54" s="556"/>
      <c r="INS54" s="556"/>
      <c r="INT54" s="556"/>
      <c r="INU54" s="556"/>
      <c r="INV54" s="556"/>
      <c r="INW54" s="556"/>
      <c r="INX54" s="556"/>
      <c r="INY54" s="556"/>
      <c r="INZ54" s="556"/>
      <c r="IOA54" s="556"/>
      <c r="IOB54" s="556"/>
      <c r="IOC54" s="556"/>
      <c r="IOD54" s="556"/>
      <c r="IOE54" s="556"/>
      <c r="IOF54" s="556"/>
      <c r="IOG54" s="556"/>
      <c r="IOH54" s="556"/>
      <c r="IOI54" s="556"/>
      <c r="IOJ54" s="556"/>
      <c r="IOK54" s="556"/>
      <c r="IOL54" s="556"/>
      <c r="IOM54" s="556"/>
      <c r="ION54" s="556"/>
      <c r="IOO54" s="556"/>
      <c r="IOP54" s="556"/>
      <c r="IOQ54" s="556"/>
      <c r="IOR54" s="556"/>
      <c r="IOS54" s="556"/>
      <c r="IOT54" s="556"/>
      <c r="IOU54" s="556"/>
      <c r="IOV54" s="556"/>
      <c r="IOW54" s="556"/>
      <c r="IOX54" s="556"/>
      <c r="IOY54" s="556"/>
      <c r="IOZ54" s="556"/>
      <c r="IPA54" s="556"/>
      <c r="IPB54" s="556"/>
      <c r="IPC54" s="556"/>
      <c r="IPD54" s="556"/>
      <c r="IPE54" s="556"/>
      <c r="IPF54" s="556"/>
      <c r="IPG54" s="556"/>
      <c r="IPH54" s="556"/>
      <c r="IPI54" s="556"/>
      <c r="IPJ54" s="556"/>
      <c r="IPK54" s="556"/>
      <c r="IPL54" s="556"/>
      <c r="IPM54" s="556"/>
      <c r="IPN54" s="556"/>
      <c r="IPO54" s="556"/>
      <c r="IPP54" s="556"/>
      <c r="IPQ54" s="556"/>
      <c r="IPR54" s="556"/>
      <c r="IPS54" s="556"/>
      <c r="IPT54" s="556"/>
      <c r="IPU54" s="556"/>
      <c r="IPV54" s="556"/>
      <c r="IPW54" s="556"/>
      <c r="IPX54" s="556"/>
      <c r="IPY54" s="556"/>
      <c r="IPZ54" s="556"/>
      <c r="IQA54" s="556"/>
      <c r="IQB54" s="556"/>
      <c r="IQC54" s="556"/>
      <c r="IQD54" s="556"/>
      <c r="IQE54" s="556"/>
      <c r="IQF54" s="556"/>
      <c r="IQG54" s="556"/>
      <c r="IQH54" s="556"/>
      <c r="IQI54" s="556"/>
      <c r="IQJ54" s="556"/>
      <c r="IQK54" s="556"/>
      <c r="IQL54" s="556"/>
      <c r="IQM54" s="556"/>
      <c r="IQN54" s="556"/>
      <c r="IQO54" s="556"/>
      <c r="IQP54" s="556"/>
      <c r="IQQ54" s="556"/>
      <c r="IQR54" s="556"/>
      <c r="IQS54" s="556"/>
      <c r="IQT54" s="556"/>
      <c r="IQU54" s="556"/>
      <c r="IQV54" s="556"/>
      <c r="IQW54" s="556"/>
      <c r="IQX54" s="556"/>
      <c r="IQY54" s="556"/>
      <c r="IQZ54" s="556"/>
      <c r="IRA54" s="556"/>
      <c r="IRB54" s="556"/>
      <c r="IRC54" s="556"/>
      <c r="IRD54" s="556"/>
      <c r="IRE54" s="556"/>
      <c r="IRF54" s="556"/>
      <c r="IRG54" s="556"/>
      <c r="IRH54" s="556"/>
      <c r="IRI54" s="556"/>
      <c r="IRJ54" s="556"/>
      <c r="IRK54" s="556"/>
      <c r="IRL54" s="556"/>
      <c r="IRM54" s="556"/>
      <c r="IRN54" s="556"/>
      <c r="IRO54" s="556"/>
      <c r="IRP54" s="556"/>
      <c r="IRQ54" s="556"/>
      <c r="IRR54" s="556"/>
      <c r="IRS54" s="556"/>
      <c r="IRT54" s="556"/>
      <c r="IRU54" s="556"/>
      <c r="IRV54" s="556"/>
      <c r="IRW54" s="556"/>
      <c r="IRX54" s="556"/>
      <c r="IRY54" s="556"/>
      <c r="IRZ54" s="556"/>
      <c r="ISA54" s="556"/>
      <c r="ISB54" s="556"/>
      <c r="ISC54" s="556"/>
      <c r="ISD54" s="556"/>
      <c r="ISE54" s="556"/>
      <c r="ISF54" s="556"/>
      <c r="ISG54" s="556"/>
      <c r="ISH54" s="556"/>
      <c r="ISI54" s="556"/>
      <c r="ISJ54" s="556"/>
      <c r="ISK54" s="556"/>
      <c r="ISL54" s="556"/>
      <c r="ISM54" s="556"/>
      <c r="ISN54" s="556"/>
      <c r="ISO54" s="556"/>
      <c r="ISP54" s="556"/>
      <c r="ISQ54" s="556"/>
      <c r="ISR54" s="556"/>
      <c r="ISS54" s="556"/>
      <c r="IST54" s="556"/>
      <c r="ISU54" s="556"/>
      <c r="ISV54" s="556"/>
      <c r="ISW54" s="556"/>
      <c r="ISX54" s="556"/>
      <c r="ISY54" s="556"/>
      <c r="ISZ54" s="556"/>
      <c r="ITA54" s="556"/>
      <c r="ITB54" s="556"/>
      <c r="ITC54" s="556"/>
      <c r="ITD54" s="556"/>
      <c r="ITE54" s="556"/>
      <c r="ITF54" s="556"/>
      <c r="ITG54" s="556"/>
      <c r="ITH54" s="556"/>
      <c r="ITI54" s="556"/>
      <c r="ITJ54" s="556"/>
      <c r="ITK54" s="556"/>
      <c r="ITL54" s="556"/>
      <c r="ITM54" s="556"/>
      <c r="ITN54" s="556"/>
      <c r="ITO54" s="556"/>
      <c r="ITP54" s="556"/>
      <c r="ITQ54" s="556"/>
      <c r="ITR54" s="556"/>
      <c r="ITS54" s="556"/>
      <c r="ITT54" s="556"/>
      <c r="ITU54" s="556"/>
      <c r="ITV54" s="556"/>
      <c r="ITW54" s="556"/>
      <c r="ITX54" s="556"/>
      <c r="ITY54" s="556"/>
      <c r="ITZ54" s="556"/>
      <c r="IUA54" s="556"/>
      <c r="IUB54" s="556"/>
      <c r="IUC54" s="556"/>
      <c r="IUD54" s="556"/>
      <c r="IUE54" s="556"/>
      <c r="IUF54" s="556"/>
      <c r="IUG54" s="556"/>
      <c r="IUH54" s="556"/>
      <c r="IUI54" s="556"/>
      <c r="IUJ54" s="556"/>
      <c r="IUK54" s="556"/>
      <c r="IUL54" s="556"/>
      <c r="IUM54" s="556"/>
      <c r="IUN54" s="556"/>
      <c r="IUO54" s="556"/>
      <c r="IUP54" s="556"/>
      <c r="IUQ54" s="556"/>
      <c r="IUR54" s="556"/>
      <c r="IUS54" s="556"/>
      <c r="IUT54" s="556"/>
      <c r="IUU54" s="556"/>
      <c r="IUV54" s="556"/>
      <c r="IUW54" s="556"/>
      <c r="IUX54" s="556"/>
      <c r="IUY54" s="556"/>
      <c r="IUZ54" s="556"/>
      <c r="IVA54" s="556"/>
      <c r="IVB54" s="556"/>
      <c r="IVC54" s="556"/>
      <c r="IVD54" s="556"/>
      <c r="IVE54" s="556"/>
      <c r="IVF54" s="556"/>
      <c r="IVG54" s="556"/>
      <c r="IVH54" s="556"/>
      <c r="IVI54" s="556"/>
      <c r="IVJ54" s="556"/>
      <c r="IVK54" s="556"/>
      <c r="IVL54" s="556"/>
      <c r="IVM54" s="556"/>
      <c r="IVN54" s="556"/>
      <c r="IVO54" s="556"/>
      <c r="IVP54" s="556"/>
      <c r="IVQ54" s="556"/>
      <c r="IVR54" s="556"/>
      <c r="IVS54" s="556"/>
      <c r="IVT54" s="556"/>
      <c r="IVU54" s="556"/>
      <c r="IVV54" s="556"/>
      <c r="IVW54" s="556"/>
      <c r="IVX54" s="556"/>
      <c r="IVY54" s="556"/>
      <c r="IVZ54" s="556"/>
      <c r="IWA54" s="556"/>
      <c r="IWB54" s="556"/>
      <c r="IWC54" s="556"/>
      <c r="IWD54" s="556"/>
      <c r="IWE54" s="556"/>
      <c r="IWF54" s="556"/>
      <c r="IWG54" s="556"/>
      <c r="IWH54" s="556"/>
      <c r="IWI54" s="556"/>
      <c r="IWJ54" s="556"/>
      <c r="IWK54" s="556"/>
      <c r="IWL54" s="556"/>
      <c r="IWM54" s="556"/>
      <c r="IWN54" s="556"/>
      <c r="IWO54" s="556"/>
      <c r="IWP54" s="556"/>
      <c r="IWQ54" s="556"/>
      <c r="IWR54" s="556"/>
      <c r="IWS54" s="556"/>
      <c r="IWT54" s="556"/>
      <c r="IWU54" s="556"/>
      <c r="IWV54" s="556"/>
      <c r="IWW54" s="556"/>
      <c r="IWX54" s="556"/>
      <c r="IWY54" s="556"/>
      <c r="IWZ54" s="556"/>
      <c r="IXA54" s="556"/>
      <c r="IXB54" s="556"/>
      <c r="IXC54" s="556"/>
      <c r="IXD54" s="556"/>
      <c r="IXE54" s="556"/>
      <c r="IXF54" s="556"/>
      <c r="IXG54" s="556"/>
      <c r="IXH54" s="556"/>
      <c r="IXI54" s="556"/>
      <c r="IXJ54" s="556"/>
      <c r="IXK54" s="556"/>
      <c r="IXL54" s="556"/>
      <c r="IXM54" s="556"/>
      <c r="IXN54" s="556"/>
      <c r="IXO54" s="556"/>
      <c r="IXP54" s="556"/>
      <c r="IXQ54" s="556"/>
      <c r="IXR54" s="556"/>
      <c r="IXS54" s="556"/>
      <c r="IXT54" s="556"/>
      <c r="IXU54" s="556"/>
      <c r="IXV54" s="556"/>
      <c r="IXW54" s="556"/>
      <c r="IXX54" s="556"/>
      <c r="IXY54" s="556"/>
      <c r="IXZ54" s="556"/>
      <c r="IYA54" s="556"/>
      <c r="IYB54" s="556"/>
      <c r="IYC54" s="556"/>
      <c r="IYD54" s="556"/>
      <c r="IYE54" s="556"/>
      <c r="IYF54" s="556"/>
      <c r="IYG54" s="556"/>
      <c r="IYH54" s="556"/>
      <c r="IYI54" s="556"/>
      <c r="IYJ54" s="556"/>
      <c r="IYK54" s="556"/>
      <c r="IYL54" s="556"/>
      <c r="IYM54" s="556"/>
      <c r="IYN54" s="556"/>
      <c r="IYO54" s="556"/>
      <c r="IYP54" s="556"/>
      <c r="IYQ54" s="556"/>
      <c r="IYR54" s="556"/>
      <c r="IYS54" s="556"/>
      <c r="IYT54" s="556"/>
      <c r="IYU54" s="556"/>
      <c r="IYV54" s="556"/>
      <c r="IYW54" s="556"/>
      <c r="IYX54" s="556"/>
      <c r="IYY54" s="556"/>
      <c r="IYZ54" s="556"/>
      <c r="IZA54" s="556"/>
      <c r="IZB54" s="556"/>
      <c r="IZC54" s="556"/>
      <c r="IZD54" s="556"/>
      <c r="IZE54" s="556"/>
      <c r="IZF54" s="556"/>
      <c r="IZG54" s="556"/>
      <c r="IZH54" s="556"/>
      <c r="IZI54" s="556"/>
      <c r="IZJ54" s="556"/>
      <c r="IZK54" s="556"/>
      <c r="IZL54" s="556"/>
      <c r="IZM54" s="556"/>
      <c r="IZN54" s="556"/>
      <c r="IZO54" s="556"/>
      <c r="IZP54" s="556"/>
      <c r="IZQ54" s="556"/>
      <c r="IZR54" s="556"/>
      <c r="IZS54" s="556"/>
      <c r="IZT54" s="556"/>
      <c r="IZU54" s="556"/>
      <c r="IZV54" s="556"/>
      <c r="IZW54" s="556"/>
      <c r="IZX54" s="556"/>
      <c r="IZY54" s="556"/>
      <c r="IZZ54" s="556"/>
      <c r="JAA54" s="556"/>
      <c r="JAB54" s="556"/>
      <c r="JAC54" s="556"/>
      <c r="JAD54" s="556"/>
      <c r="JAE54" s="556"/>
      <c r="JAF54" s="556"/>
      <c r="JAG54" s="556"/>
      <c r="JAH54" s="556"/>
      <c r="JAI54" s="556"/>
      <c r="JAJ54" s="556"/>
      <c r="JAK54" s="556"/>
      <c r="JAL54" s="556"/>
      <c r="JAM54" s="556"/>
      <c r="JAN54" s="556"/>
      <c r="JAO54" s="556"/>
      <c r="JAP54" s="556"/>
      <c r="JAQ54" s="556"/>
      <c r="JAR54" s="556"/>
      <c r="JAS54" s="556"/>
      <c r="JAT54" s="556"/>
      <c r="JAU54" s="556"/>
      <c r="JAV54" s="556"/>
      <c r="JAW54" s="556"/>
      <c r="JAX54" s="556"/>
      <c r="JAY54" s="556"/>
      <c r="JAZ54" s="556"/>
      <c r="JBA54" s="556"/>
      <c r="JBB54" s="556"/>
      <c r="JBC54" s="556"/>
      <c r="JBD54" s="556"/>
      <c r="JBE54" s="556"/>
      <c r="JBF54" s="556"/>
      <c r="JBG54" s="556"/>
      <c r="JBH54" s="556"/>
      <c r="JBI54" s="556"/>
      <c r="JBJ54" s="556"/>
      <c r="JBK54" s="556"/>
      <c r="JBL54" s="556"/>
      <c r="JBM54" s="556"/>
      <c r="JBN54" s="556"/>
      <c r="JBO54" s="556"/>
      <c r="JBP54" s="556"/>
      <c r="JBQ54" s="556"/>
      <c r="JBR54" s="556"/>
      <c r="JBS54" s="556"/>
      <c r="JBT54" s="556"/>
      <c r="JBU54" s="556"/>
      <c r="JBV54" s="556"/>
      <c r="JBW54" s="556"/>
      <c r="JBX54" s="556"/>
      <c r="JBY54" s="556"/>
      <c r="JBZ54" s="556"/>
      <c r="JCA54" s="556"/>
      <c r="JCB54" s="556"/>
      <c r="JCC54" s="556"/>
      <c r="JCD54" s="556"/>
      <c r="JCE54" s="556"/>
      <c r="JCF54" s="556"/>
      <c r="JCG54" s="556"/>
      <c r="JCH54" s="556"/>
      <c r="JCI54" s="556"/>
      <c r="JCJ54" s="556"/>
      <c r="JCK54" s="556"/>
      <c r="JCL54" s="556"/>
      <c r="JCM54" s="556"/>
      <c r="JCN54" s="556"/>
      <c r="JCO54" s="556"/>
      <c r="JCP54" s="556"/>
      <c r="JCQ54" s="556"/>
      <c r="JCR54" s="556"/>
      <c r="JCS54" s="556"/>
      <c r="JCT54" s="556"/>
      <c r="JCU54" s="556"/>
      <c r="JCV54" s="556"/>
      <c r="JCW54" s="556"/>
      <c r="JCX54" s="556"/>
      <c r="JCY54" s="556"/>
      <c r="JCZ54" s="556"/>
      <c r="JDA54" s="556"/>
      <c r="JDB54" s="556"/>
      <c r="JDC54" s="556"/>
      <c r="JDD54" s="556"/>
      <c r="JDE54" s="556"/>
      <c r="JDF54" s="556"/>
      <c r="JDG54" s="556"/>
      <c r="JDH54" s="556"/>
      <c r="JDI54" s="556"/>
      <c r="JDJ54" s="556"/>
      <c r="JDK54" s="556"/>
      <c r="JDL54" s="556"/>
      <c r="JDM54" s="556"/>
      <c r="JDN54" s="556"/>
      <c r="JDO54" s="556"/>
      <c r="JDP54" s="556"/>
      <c r="JDQ54" s="556"/>
      <c r="JDR54" s="556"/>
      <c r="JDS54" s="556"/>
      <c r="JDT54" s="556"/>
      <c r="JDU54" s="556"/>
      <c r="JDV54" s="556"/>
      <c r="JDW54" s="556"/>
      <c r="JDX54" s="556"/>
      <c r="JDY54" s="556"/>
      <c r="JDZ54" s="556"/>
      <c r="JEA54" s="556"/>
      <c r="JEB54" s="556"/>
      <c r="JEC54" s="556"/>
      <c r="JED54" s="556"/>
      <c r="JEE54" s="556"/>
      <c r="JEF54" s="556"/>
      <c r="JEG54" s="556"/>
      <c r="JEH54" s="556"/>
      <c r="JEI54" s="556"/>
      <c r="JEJ54" s="556"/>
      <c r="JEK54" s="556"/>
      <c r="JEL54" s="556"/>
      <c r="JEM54" s="556"/>
      <c r="JEN54" s="556"/>
      <c r="JEO54" s="556"/>
      <c r="JEP54" s="556"/>
      <c r="JEQ54" s="556"/>
      <c r="JER54" s="556"/>
      <c r="JES54" s="556"/>
      <c r="JET54" s="556"/>
      <c r="JEU54" s="556"/>
      <c r="JEV54" s="556"/>
      <c r="JEW54" s="556"/>
      <c r="JEX54" s="556"/>
      <c r="JEY54" s="556"/>
      <c r="JEZ54" s="556"/>
      <c r="JFA54" s="556"/>
      <c r="JFB54" s="556"/>
      <c r="JFC54" s="556"/>
      <c r="JFD54" s="556"/>
      <c r="JFE54" s="556"/>
      <c r="JFF54" s="556"/>
      <c r="JFG54" s="556"/>
      <c r="JFH54" s="556"/>
      <c r="JFI54" s="556"/>
      <c r="JFJ54" s="556"/>
      <c r="JFK54" s="556"/>
      <c r="JFL54" s="556"/>
      <c r="JFM54" s="556"/>
      <c r="JFN54" s="556"/>
      <c r="JFO54" s="556"/>
      <c r="JFP54" s="556"/>
      <c r="JFQ54" s="556"/>
      <c r="JFR54" s="556"/>
      <c r="JFS54" s="556"/>
      <c r="JFT54" s="556"/>
      <c r="JFU54" s="556"/>
      <c r="JFV54" s="556"/>
      <c r="JFW54" s="556"/>
      <c r="JFX54" s="556"/>
      <c r="JFY54" s="556"/>
      <c r="JFZ54" s="556"/>
      <c r="JGA54" s="556"/>
      <c r="JGB54" s="556"/>
      <c r="JGC54" s="556"/>
      <c r="JGD54" s="556"/>
      <c r="JGE54" s="556"/>
      <c r="JGF54" s="556"/>
      <c r="JGG54" s="556"/>
      <c r="JGH54" s="556"/>
      <c r="JGI54" s="556"/>
      <c r="JGJ54" s="556"/>
      <c r="JGK54" s="556"/>
      <c r="JGL54" s="556"/>
      <c r="JGM54" s="556"/>
      <c r="JGN54" s="556"/>
      <c r="JGO54" s="556"/>
      <c r="JGP54" s="556"/>
      <c r="JGQ54" s="556"/>
      <c r="JGR54" s="556"/>
      <c r="JGS54" s="556"/>
      <c r="JGT54" s="556"/>
      <c r="JGU54" s="556"/>
      <c r="JGV54" s="556"/>
      <c r="JGW54" s="556"/>
      <c r="JGX54" s="556"/>
      <c r="JGY54" s="556"/>
      <c r="JGZ54" s="556"/>
      <c r="JHA54" s="556"/>
      <c r="JHB54" s="556"/>
      <c r="JHC54" s="556"/>
      <c r="JHD54" s="556"/>
      <c r="JHE54" s="556"/>
      <c r="JHF54" s="556"/>
      <c r="JHG54" s="556"/>
      <c r="JHH54" s="556"/>
      <c r="JHI54" s="556"/>
      <c r="JHJ54" s="556"/>
      <c r="JHK54" s="556"/>
      <c r="JHL54" s="556"/>
      <c r="JHM54" s="556"/>
      <c r="JHN54" s="556"/>
      <c r="JHO54" s="556"/>
      <c r="JHP54" s="556"/>
      <c r="JHQ54" s="556"/>
      <c r="JHR54" s="556"/>
      <c r="JHS54" s="556"/>
      <c r="JHT54" s="556"/>
      <c r="JHU54" s="556"/>
      <c r="JHV54" s="556"/>
      <c r="JHW54" s="556"/>
      <c r="JHX54" s="556"/>
      <c r="JHY54" s="556"/>
      <c r="JHZ54" s="556"/>
      <c r="JIA54" s="556"/>
      <c r="JIB54" s="556"/>
      <c r="JIC54" s="556"/>
      <c r="JID54" s="556"/>
      <c r="JIE54" s="556"/>
      <c r="JIF54" s="556"/>
      <c r="JIG54" s="556"/>
      <c r="JIH54" s="556"/>
      <c r="JII54" s="556"/>
      <c r="JIJ54" s="556"/>
      <c r="JIK54" s="556"/>
      <c r="JIL54" s="556"/>
      <c r="JIM54" s="556"/>
      <c r="JIN54" s="556"/>
      <c r="JIO54" s="556"/>
      <c r="JIP54" s="556"/>
      <c r="JIQ54" s="556"/>
      <c r="JIR54" s="556"/>
      <c r="JIS54" s="556"/>
      <c r="JIT54" s="556"/>
      <c r="JIU54" s="556"/>
      <c r="JIV54" s="556"/>
      <c r="JIW54" s="556"/>
      <c r="JIX54" s="556"/>
      <c r="JIY54" s="556"/>
      <c r="JIZ54" s="556"/>
      <c r="JJA54" s="556"/>
      <c r="JJB54" s="556"/>
      <c r="JJC54" s="556"/>
      <c r="JJD54" s="556"/>
      <c r="JJE54" s="556"/>
      <c r="JJF54" s="556"/>
      <c r="JJG54" s="556"/>
      <c r="JJH54" s="556"/>
      <c r="JJI54" s="556"/>
      <c r="JJJ54" s="556"/>
      <c r="JJK54" s="556"/>
      <c r="JJL54" s="556"/>
      <c r="JJM54" s="556"/>
      <c r="JJN54" s="556"/>
      <c r="JJO54" s="556"/>
      <c r="JJP54" s="556"/>
      <c r="JJQ54" s="556"/>
      <c r="JJR54" s="556"/>
      <c r="JJS54" s="556"/>
      <c r="JJT54" s="556"/>
      <c r="JJU54" s="556"/>
      <c r="JJV54" s="556"/>
      <c r="JJW54" s="556"/>
      <c r="JJX54" s="556"/>
      <c r="JJY54" s="556"/>
      <c r="JJZ54" s="556"/>
      <c r="JKA54" s="556"/>
      <c r="JKB54" s="556"/>
      <c r="JKC54" s="556"/>
      <c r="JKD54" s="556"/>
      <c r="JKE54" s="556"/>
      <c r="JKF54" s="556"/>
      <c r="JKG54" s="556"/>
      <c r="JKH54" s="556"/>
      <c r="JKI54" s="556"/>
      <c r="JKJ54" s="556"/>
      <c r="JKK54" s="556"/>
      <c r="JKL54" s="556"/>
      <c r="JKM54" s="556"/>
      <c r="JKN54" s="556"/>
      <c r="JKO54" s="556"/>
      <c r="JKP54" s="556"/>
      <c r="JKQ54" s="556"/>
      <c r="JKR54" s="556"/>
      <c r="JKS54" s="556"/>
      <c r="JKT54" s="556"/>
      <c r="JKU54" s="556"/>
      <c r="JKV54" s="556"/>
      <c r="JKW54" s="556"/>
      <c r="JKX54" s="556"/>
      <c r="JKY54" s="556"/>
      <c r="JKZ54" s="556"/>
      <c r="JLA54" s="556"/>
      <c r="JLB54" s="556"/>
      <c r="JLC54" s="556"/>
      <c r="JLD54" s="556"/>
      <c r="JLE54" s="556"/>
      <c r="JLF54" s="556"/>
      <c r="JLG54" s="556"/>
      <c r="JLH54" s="556"/>
      <c r="JLI54" s="556"/>
      <c r="JLJ54" s="556"/>
      <c r="JLK54" s="556"/>
      <c r="JLL54" s="556"/>
      <c r="JLM54" s="556"/>
      <c r="JLN54" s="556"/>
      <c r="JLO54" s="556"/>
      <c r="JLP54" s="556"/>
      <c r="JLQ54" s="556"/>
      <c r="JLR54" s="556"/>
      <c r="JLS54" s="556"/>
      <c r="JLT54" s="556"/>
      <c r="JLU54" s="556"/>
      <c r="JLV54" s="556"/>
      <c r="JLW54" s="556"/>
      <c r="JLX54" s="556"/>
      <c r="JLY54" s="556"/>
      <c r="JLZ54" s="556"/>
      <c r="JMA54" s="556"/>
      <c r="JMB54" s="556"/>
      <c r="JMC54" s="556"/>
      <c r="JMD54" s="556"/>
      <c r="JME54" s="556"/>
      <c r="JMF54" s="556"/>
      <c r="JMG54" s="556"/>
      <c r="JMH54" s="556"/>
      <c r="JMI54" s="556"/>
      <c r="JMJ54" s="556"/>
      <c r="JMK54" s="556"/>
      <c r="JML54" s="556"/>
      <c r="JMM54" s="556"/>
      <c r="JMN54" s="556"/>
      <c r="JMO54" s="556"/>
      <c r="JMP54" s="556"/>
      <c r="JMQ54" s="556"/>
      <c r="JMR54" s="556"/>
      <c r="JMS54" s="556"/>
      <c r="JMT54" s="556"/>
      <c r="JMU54" s="556"/>
      <c r="JMV54" s="556"/>
      <c r="JMW54" s="556"/>
      <c r="JMX54" s="556"/>
      <c r="JMY54" s="556"/>
      <c r="JMZ54" s="556"/>
      <c r="JNA54" s="556"/>
      <c r="JNB54" s="556"/>
      <c r="JNC54" s="556"/>
      <c r="JND54" s="556"/>
      <c r="JNE54" s="556"/>
      <c r="JNF54" s="556"/>
      <c r="JNG54" s="556"/>
      <c r="JNH54" s="556"/>
      <c r="JNI54" s="556"/>
      <c r="JNJ54" s="556"/>
      <c r="JNK54" s="556"/>
      <c r="JNL54" s="556"/>
      <c r="JNM54" s="556"/>
      <c r="JNN54" s="556"/>
      <c r="JNO54" s="556"/>
      <c r="JNP54" s="556"/>
      <c r="JNQ54" s="556"/>
      <c r="JNR54" s="556"/>
      <c r="JNS54" s="556"/>
      <c r="JNT54" s="556"/>
      <c r="JNU54" s="556"/>
      <c r="JNV54" s="556"/>
      <c r="JNW54" s="556"/>
      <c r="JNX54" s="556"/>
      <c r="JNY54" s="556"/>
      <c r="JNZ54" s="556"/>
      <c r="JOA54" s="556"/>
      <c r="JOB54" s="556"/>
      <c r="JOC54" s="556"/>
      <c r="JOD54" s="556"/>
      <c r="JOE54" s="556"/>
      <c r="JOF54" s="556"/>
      <c r="JOG54" s="556"/>
      <c r="JOH54" s="556"/>
      <c r="JOI54" s="556"/>
      <c r="JOJ54" s="556"/>
      <c r="JOK54" s="556"/>
      <c r="JOL54" s="556"/>
      <c r="JOM54" s="556"/>
      <c r="JON54" s="556"/>
      <c r="JOO54" s="556"/>
      <c r="JOP54" s="556"/>
      <c r="JOQ54" s="556"/>
      <c r="JOR54" s="556"/>
      <c r="JOS54" s="556"/>
      <c r="JOT54" s="556"/>
      <c r="JOU54" s="556"/>
      <c r="JOV54" s="556"/>
      <c r="JOW54" s="556"/>
      <c r="JOX54" s="556"/>
      <c r="JOY54" s="556"/>
      <c r="JOZ54" s="556"/>
      <c r="JPA54" s="556"/>
      <c r="JPB54" s="556"/>
      <c r="JPC54" s="556"/>
      <c r="JPD54" s="556"/>
      <c r="JPE54" s="556"/>
      <c r="JPF54" s="556"/>
      <c r="JPG54" s="556"/>
      <c r="JPH54" s="556"/>
      <c r="JPI54" s="556"/>
      <c r="JPJ54" s="556"/>
      <c r="JPK54" s="556"/>
      <c r="JPL54" s="556"/>
      <c r="JPM54" s="556"/>
      <c r="JPN54" s="556"/>
      <c r="JPO54" s="556"/>
      <c r="JPP54" s="556"/>
      <c r="JPQ54" s="556"/>
      <c r="JPR54" s="556"/>
      <c r="JPS54" s="556"/>
      <c r="JPT54" s="556"/>
      <c r="JPU54" s="556"/>
      <c r="JPV54" s="556"/>
      <c r="JPW54" s="556"/>
      <c r="JPX54" s="556"/>
      <c r="JPY54" s="556"/>
      <c r="JPZ54" s="556"/>
      <c r="JQA54" s="556"/>
      <c r="JQB54" s="556"/>
      <c r="JQC54" s="556"/>
      <c r="JQD54" s="556"/>
      <c r="JQE54" s="556"/>
      <c r="JQF54" s="556"/>
      <c r="JQG54" s="556"/>
      <c r="JQH54" s="556"/>
      <c r="JQI54" s="556"/>
      <c r="JQJ54" s="556"/>
      <c r="JQK54" s="556"/>
      <c r="JQL54" s="556"/>
      <c r="JQM54" s="556"/>
      <c r="JQN54" s="556"/>
      <c r="JQO54" s="556"/>
      <c r="JQP54" s="556"/>
      <c r="JQQ54" s="556"/>
      <c r="JQR54" s="556"/>
      <c r="JQS54" s="556"/>
      <c r="JQT54" s="556"/>
      <c r="JQU54" s="556"/>
      <c r="JQV54" s="556"/>
      <c r="JQW54" s="556"/>
      <c r="JQX54" s="556"/>
      <c r="JQY54" s="556"/>
      <c r="JQZ54" s="556"/>
      <c r="JRA54" s="556"/>
      <c r="JRB54" s="556"/>
      <c r="JRC54" s="556"/>
      <c r="JRD54" s="556"/>
      <c r="JRE54" s="556"/>
      <c r="JRF54" s="556"/>
      <c r="JRG54" s="556"/>
      <c r="JRH54" s="556"/>
      <c r="JRI54" s="556"/>
      <c r="JRJ54" s="556"/>
      <c r="JRK54" s="556"/>
      <c r="JRL54" s="556"/>
      <c r="JRM54" s="556"/>
      <c r="JRN54" s="556"/>
      <c r="JRO54" s="556"/>
      <c r="JRP54" s="556"/>
      <c r="JRQ54" s="556"/>
      <c r="JRR54" s="556"/>
      <c r="JRS54" s="556"/>
      <c r="JRT54" s="556"/>
      <c r="JRU54" s="556"/>
      <c r="JRV54" s="556"/>
      <c r="JRW54" s="556"/>
      <c r="JRX54" s="556"/>
      <c r="JRY54" s="556"/>
      <c r="JRZ54" s="556"/>
      <c r="JSA54" s="556"/>
      <c r="JSB54" s="556"/>
      <c r="JSC54" s="556"/>
      <c r="JSD54" s="556"/>
      <c r="JSE54" s="556"/>
      <c r="JSF54" s="556"/>
      <c r="JSG54" s="556"/>
      <c r="JSH54" s="556"/>
      <c r="JSI54" s="556"/>
      <c r="JSJ54" s="556"/>
      <c r="JSK54" s="556"/>
      <c r="JSL54" s="556"/>
      <c r="JSM54" s="556"/>
      <c r="JSN54" s="556"/>
      <c r="JSO54" s="556"/>
      <c r="JSP54" s="556"/>
      <c r="JSQ54" s="556"/>
      <c r="JSR54" s="556"/>
      <c r="JSS54" s="556"/>
      <c r="JST54" s="556"/>
      <c r="JSU54" s="556"/>
      <c r="JSV54" s="556"/>
      <c r="JSW54" s="556"/>
      <c r="JSX54" s="556"/>
      <c r="JSY54" s="556"/>
      <c r="JSZ54" s="556"/>
      <c r="JTA54" s="556"/>
      <c r="JTB54" s="556"/>
      <c r="JTC54" s="556"/>
      <c r="JTD54" s="556"/>
      <c r="JTE54" s="556"/>
      <c r="JTF54" s="556"/>
      <c r="JTG54" s="556"/>
      <c r="JTH54" s="556"/>
      <c r="JTI54" s="556"/>
      <c r="JTJ54" s="556"/>
      <c r="JTK54" s="556"/>
      <c r="JTL54" s="556"/>
      <c r="JTM54" s="556"/>
      <c r="JTN54" s="556"/>
      <c r="JTO54" s="556"/>
      <c r="JTP54" s="556"/>
      <c r="JTQ54" s="556"/>
      <c r="JTR54" s="556"/>
      <c r="JTS54" s="556"/>
      <c r="JTT54" s="556"/>
      <c r="JTU54" s="556"/>
      <c r="JTV54" s="556"/>
      <c r="JTW54" s="556"/>
      <c r="JTX54" s="556"/>
      <c r="JTY54" s="556"/>
      <c r="JTZ54" s="556"/>
      <c r="JUA54" s="556"/>
      <c r="JUB54" s="556"/>
      <c r="JUC54" s="556"/>
      <c r="JUD54" s="556"/>
      <c r="JUE54" s="556"/>
      <c r="JUF54" s="556"/>
      <c r="JUG54" s="556"/>
      <c r="JUH54" s="556"/>
      <c r="JUI54" s="556"/>
      <c r="JUJ54" s="556"/>
      <c r="JUK54" s="556"/>
      <c r="JUL54" s="556"/>
      <c r="JUM54" s="556"/>
      <c r="JUN54" s="556"/>
      <c r="JUO54" s="556"/>
      <c r="JUP54" s="556"/>
      <c r="JUQ54" s="556"/>
      <c r="JUR54" s="556"/>
      <c r="JUS54" s="556"/>
      <c r="JUT54" s="556"/>
      <c r="JUU54" s="556"/>
      <c r="JUV54" s="556"/>
      <c r="JUW54" s="556"/>
      <c r="JUX54" s="556"/>
      <c r="JUY54" s="556"/>
      <c r="JUZ54" s="556"/>
      <c r="JVA54" s="556"/>
      <c r="JVB54" s="556"/>
      <c r="JVC54" s="556"/>
      <c r="JVD54" s="556"/>
      <c r="JVE54" s="556"/>
      <c r="JVF54" s="556"/>
      <c r="JVG54" s="556"/>
      <c r="JVH54" s="556"/>
      <c r="JVI54" s="556"/>
      <c r="JVJ54" s="556"/>
      <c r="JVK54" s="556"/>
      <c r="JVL54" s="556"/>
      <c r="JVM54" s="556"/>
      <c r="JVN54" s="556"/>
      <c r="JVO54" s="556"/>
      <c r="JVP54" s="556"/>
      <c r="JVQ54" s="556"/>
      <c r="JVR54" s="556"/>
      <c r="JVS54" s="556"/>
      <c r="JVT54" s="556"/>
      <c r="JVU54" s="556"/>
      <c r="JVV54" s="556"/>
      <c r="JVW54" s="556"/>
      <c r="JVX54" s="556"/>
      <c r="JVY54" s="556"/>
      <c r="JVZ54" s="556"/>
      <c r="JWA54" s="556"/>
      <c r="JWB54" s="556"/>
      <c r="JWC54" s="556"/>
      <c r="JWD54" s="556"/>
      <c r="JWE54" s="556"/>
      <c r="JWF54" s="556"/>
      <c r="JWG54" s="556"/>
      <c r="JWH54" s="556"/>
      <c r="JWI54" s="556"/>
      <c r="JWJ54" s="556"/>
      <c r="JWK54" s="556"/>
      <c r="JWL54" s="556"/>
      <c r="JWM54" s="556"/>
      <c r="JWN54" s="556"/>
      <c r="JWO54" s="556"/>
      <c r="JWP54" s="556"/>
      <c r="JWQ54" s="556"/>
      <c r="JWR54" s="556"/>
      <c r="JWS54" s="556"/>
      <c r="JWT54" s="556"/>
      <c r="JWU54" s="556"/>
      <c r="JWV54" s="556"/>
      <c r="JWW54" s="556"/>
      <c r="JWX54" s="556"/>
      <c r="JWY54" s="556"/>
      <c r="JWZ54" s="556"/>
      <c r="JXA54" s="556"/>
      <c r="JXB54" s="556"/>
      <c r="JXC54" s="556"/>
      <c r="JXD54" s="556"/>
      <c r="JXE54" s="556"/>
      <c r="JXF54" s="556"/>
      <c r="JXG54" s="556"/>
      <c r="JXH54" s="556"/>
      <c r="JXI54" s="556"/>
      <c r="JXJ54" s="556"/>
      <c r="JXK54" s="556"/>
      <c r="JXL54" s="556"/>
      <c r="JXM54" s="556"/>
      <c r="JXN54" s="556"/>
      <c r="JXO54" s="556"/>
      <c r="JXP54" s="556"/>
      <c r="JXQ54" s="556"/>
      <c r="JXR54" s="556"/>
      <c r="JXS54" s="556"/>
      <c r="JXT54" s="556"/>
      <c r="JXU54" s="556"/>
      <c r="JXV54" s="556"/>
      <c r="JXW54" s="556"/>
      <c r="JXX54" s="556"/>
      <c r="JXY54" s="556"/>
      <c r="JXZ54" s="556"/>
      <c r="JYA54" s="556"/>
      <c r="JYB54" s="556"/>
      <c r="JYC54" s="556"/>
      <c r="JYD54" s="556"/>
      <c r="JYE54" s="556"/>
      <c r="JYF54" s="556"/>
      <c r="JYG54" s="556"/>
      <c r="JYH54" s="556"/>
      <c r="JYI54" s="556"/>
      <c r="JYJ54" s="556"/>
      <c r="JYK54" s="556"/>
      <c r="JYL54" s="556"/>
      <c r="JYM54" s="556"/>
      <c r="JYN54" s="556"/>
      <c r="JYO54" s="556"/>
      <c r="JYP54" s="556"/>
      <c r="JYQ54" s="556"/>
      <c r="JYR54" s="556"/>
      <c r="JYS54" s="556"/>
      <c r="JYT54" s="556"/>
      <c r="JYU54" s="556"/>
      <c r="JYV54" s="556"/>
      <c r="JYW54" s="556"/>
      <c r="JYX54" s="556"/>
      <c r="JYY54" s="556"/>
      <c r="JYZ54" s="556"/>
      <c r="JZA54" s="556"/>
      <c r="JZB54" s="556"/>
      <c r="JZC54" s="556"/>
      <c r="JZD54" s="556"/>
      <c r="JZE54" s="556"/>
      <c r="JZF54" s="556"/>
      <c r="JZG54" s="556"/>
      <c r="JZH54" s="556"/>
      <c r="JZI54" s="556"/>
      <c r="JZJ54" s="556"/>
      <c r="JZK54" s="556"/>
      <c r="JZL54" s="556"/>
      <c r="JZM54" s="556"/>
      <c r="JZN54" s="556"/>
      <c r="JZO54" s="556"/>
      <c r="JZP54" s="556"/>
      <c r="JZQ54" s="556"/>
      <c r="JZR54" s="556"/>
      <c r="JZS54" s="556"/>
      <c r="JZT54" s="556"/>
      <c r="JZU54" s="556"/>
      <c r="JZV54" s="556"/>
      <c r="JZW54" s="556"/>
      <c r="JZX54" s="556"/>
      <c r="JZY54" s="556"/>
      <c r="JZZ54" s="556"/>
      <c r="KAA54" s="556"/>
      <c r="KAB54" s="556"/>
      <c r="KAC54" s="556"/>
      <c r="KAD54" s="556"/>
      <c r="KAE54" s="556"/>
      <c r="KAF54" s="556"/>
      <c r="KAG54" s="556"/>
      <c r="KAH54" s="556"/>
      <c r="KAI54" s="556"/>
      <c r="KAJ54" s="556"/>
      <c r="KAK54" s="556"/>
      <c r="KAL54" s="556"/>
      <c r="KAM54" s="556"/>
      <c r="KAN54" s="556"/>
      <c r="KAO54" s="556"/>
      <c r="KAP54" s="556"/>
      <c r="KAQ54" s="556"/>
      <c r="KAR54" s="556"/>
      <c r="KAS54" s="556"/>
      <c r="KAT54" s="556"/>
      <c r="KAU54" s="556"/>
      <c r="KAV54" s="556"/>
      <c r="KAW54" s="556"/>
      <c r="KAX54" s="556"/>
      <c r="KAY54" s="556"/>
      <c r="KAZ54" s="556"/>
      <c r="KBA54" s="556"/>
      <c r="KBB54" s="556"/>
      <c r="KBC54" s="556"/>
      <c r="KBD54" s="556"/>
      <c r="KBE54" s="556"/>
      <c r="KBF54" s="556"/>
      <c r="KBG54" s="556"/>
      <c r="KBH54" s="556"/>
      <c r="KBI54" s="556"/>
      <c r="KBJ54" s="556"/>
      <c r="KBK54" s="556"/>
      <c r="KBL54" s="556"/>
      <c r="KBM54" s="556"/>
      <c r="KBN54" s="556"/>
      <c r="KBO54" s="556"/>
      <c r="KBP54" s="556"/>
      <c r="KBQ54" s="556"/>
      <c r="KBR54" s="556"/>
      <c r="KBS54" s="556"/>
      <c r="KBT54" s="556"/>
      <c r="KBU54" s="556"/>
      <c r="KBV54" s="556"/>
      <c r="KBW54" s="556"/>
      <c r="KBX54" s="556"/>
      <c r="KBY54" s="556"/>
      <c r="KBZ54" s="556"/>
      <c r="KCA54" s="556"/>
      <c r="KCB54" s="556"/>
      <c r="KCC54" s="556"/>
      <c r="KCD54" s="556"/>
      <c r="KCE54" s="556"/>
      <c r="KCF54" s="556"/>
      <c r="KCG54" s="556"/>
      <c r="KCH54" s="556"/>
      <c r="KCI54" s="556"/>
      <c r="KCJ54" s="556"/>
      <c r="KCK54" s="556"/>
      <c r="KCL54" s="556"/>
      <c r="KCM54" s="556"/>
      <c r="KCN54" s="556"/>
      <c r="KCO54" s="556"/>
      <c r="KCP54" s="556"/>
      <c r="KCQ54" s="556"/>
      <c r="KCR54" s="556"/>
      <c r="KCS54" s="556"/>
      <c r="KCT54" s="556"/>
      <c r="KCU54" s="556"/>
      <c r="KCV54" s="556"/>
      <c r="KCW54" s="556"/>
      <c r="KCX54" s="556"/>
      <c r="KCY54" s="556"/>
      <c r="KCZ54" s="556"/>
      <c r="KDA54" s="556"/>
      <c r="KDB54" s="556"/>
      <c r="KDC54" s="556"/>
      <c r="KDD54" s="556"/>
      <c r="KDE54" s="556"/>
      <c r="KDF54" s="556"/>
      <c r="KDG54" s="556"/>
      <c r="KDH54" s="556"/>
      <c r="KDI54" s="556"/>
      <c r="KDJ54" s="556"/>
      <c r="KDK54" s="556"/>
      <c r="KDL54" s="556"/>
      <c r="KDM54" s="556"/>
      <c r="KDN54" s="556"/>
      <c r="KDO54" s="556"/>
      <c r="KDP54" s="556"/>
      <c r="KDQ54" s="556"/>
      <c r="KDR54" s="556"/>
      <c r="KDS54" s="556"/>
      <c r="KDT54" s="556"/>
      <c r="KDU54" s="556"/>
      <c r="KDV54" s="556"/>
      <c r="KDW54" s="556"/>
      <c r="KDX54" s="556"/>
      <c r="KDY54" s="556"/>
      <c r="KDZ54" s="556"/>
      <c r="KEA54" s="556"/>
      <c r="KEB54" s="556"/>
      <c r="KEC54" s="556"/>
      <c r="KED54" s="556"/>
      <c r="KEE54" s="556"/>
      <c r="KEF54" s="556"/>
      <c r="KEG54" s="556"/>
      <c r="KEH54" s="556"/>
      <c r="KEI54" s="556"/>
      <c r="KEJ54" s="556"/>
      <c r="KEK54" s="556"/>
      <c r="KEL54" s="556"/>
      <c r="KEM54" s="556"/>
      <c r="KEN54" s="556"/>
      <c r="KEO54" s="556"/>
      <c r="KEP54" s="556"/>
      <c r="KEQ54" s="556"/>
      <c r="KER54" s="556"/>
      <c r="KES54" s="556"/>
      <c r="KET54" s="556"/>
      <c r="KEU54" s="556"/>
      <c r="KEV54" s="556"/>
      <c r="KEW54" s="556"/>
      <c r="KEX54" s="556"/>
      <c r="KEY54" s="556"/>
      <c r="KEZ54" s="556"/>
      <c r="KFA54" s="556"/>
      <c r="KFB54" s="556"/>
      <c r="KFC54" s="556"/>
      <c r="KFD54" s="556"/>
      <c r="KFE54" s="556"/>
      <c r="KFF54" s="556"/>
      <c r="KFG54" s="556"/>
      <c r="KFH54" s="556"/>
      <c r="KFI54" s="556"/>
      <c r="KFJ54" s="556"/>
      <c r="KFK54" s="556"/>
      <c r="KFL54" s="556"/>
      <c r="KFM54" s="556"/>
      <c r="KFN54" s="556"/>
      <c r="KFO54" s="556"/>
      <c r="KFP54" s="556"/>
      <c r="KFQ54" s="556"/>
      <c r="KFR54" s="556"/>
      <c r="KFS54" s="556"/>
      <c r="KFT54" s="556"/>
      <c r="KFU54" s="556"/>
      <c r="KFV54" s="556"/>
      <c r="KFW54" s="556"/>
      <c r="KFX54" s="556"/>
      <c r="KFY54" s="556"/>
      <c r="KFZ54" s="556"/>
      <c r="KGA54" s="556"/>
      <c r="KGB54" s="556"/>
      <c r="KGC54" s="556"/>
      <c r="KGD54" s="556"/>
      <c r="KGE54" s="556"/>
      <c r="KGF54" s="556"/>
      <c r="KGG54" s="556"/>
      <c r="KGH54" s="556"/>
      <c r="KGI54" s="556"/>
      <c r="KGJ54" s="556"/>
      <c r="KGK54" s="556"/>
      <c r="KGL54" s="556"/>
      <c r="KGM54" s="556"/>
      <c r="KGN54" s="556"/>
      <c r="KGO54" s="556"/>
      <c r="KGP54" s="556"/>
      <c r="KGQ54" s="556"/>
      <c r="KGR54" s="556"/>
      <c r="KGS54" s="556"/>
      <c r="KGT54" s="556"/>
      <c r="KGU54" s="556"/>
      <c r="KGV54" s="556"/>
      <c r="KGW54" s="556"/>
      <c r="KGX54" s="556"/>
      <c r="KGY54" s="556"/>
      <c r="KGZ54" s="556"/>
      <c r="KHA54" s="556"/>
      <c r="KHB54" s="556"/>
      <c r="KHC54" s="556"/>
      <c r="KHD54" s="556"/>
      <c r="KHE54" s="556"/>
      <c r="KHF54" s="556"/>
      <c r="KHG54" s="556"/>
      <c r="KHH54" s="556"/>
      <c r="KHI54" s="556"/>
      <c r="KHJ54" s="556"/>
      <c r="KHK54" s="556"/>
      <c r="KHL54" s="556"/>
      <c r="KHM54" s="556"/>
      <c r="KHN54" s="556"/>
      <c r="KHO54" s="556"/>
      <c r="KHP54" s="556"/>
      <c r="KHQ54" s="556"/>
      <c r="KHR54" s="556"/>
      <c r="KHS54" s="556"/>
      <c r="KHT54" s="556"/>
      <c r="KHU54" s="556"/>
      <c r="KHV54" s="556"/>
      <c r="KHW54" s="556"/>
      <c r="KHX54" s="556"/>
      <c r="KHY54" s="556"/>
      <c r="KHZ54" s="556"/>
      <c r="KIA54" s="556"/>
      <c r="KIB54" s="556"/>
      <c r="KIC54" s="556"/>
      <c r="KID54" s="556"/>
      <c r="KIE54" s="556"/>
      <c r="KIF54" s="556"/>
      <c r="KIG54" s="556"/>
      <c r="KIH54" s="556"/>
      <c r="KII54" s="556"/>
      <c r="KIJ54" s="556"/>
      <c r="KIK54" s="556"/>
      <c r="KIL54" s="556"/>
      <c r="KIM54" s="556"/>
      <c r="KIN54" s="556"/>
      <c r="KIO54" s="556"/>
      <c r="KIP54" s="556"/>
      <c r="KIQ54" s="556"/>
      <c r="KIR54" s="556"/>
      <c r="KIS54" s="556"/>
      <c r="KIT54" s="556"/>
      <c r="KIU54" s="556"/>
      <c r="KIV54" s="556"/>
      <c r="KIW54" s="556"/>
      <c r="KIX54" s="556"/>
      <c r="KIY54" s="556"/>
      <c r="KIZ54" s="556"/>
      <c r="KJA54" s="556"/>
      <c r="KJB54" s="556"/>
      <c r="KJC54" s="556"/>
      <c r="KJD54" s="556"/>
      <c r="KJE54" s="556"/>
      <c r="KJF54" s="556"/>
      <c r="KJG54" s="556"/>
      <c r="KJH54" s="556"/>
      <c r="KJI54" s="556"/>
      <c r="KJJ54" s="556"/>
      <c r="KJK54" s="556"/>
      <c r="KJL54" s="556"/>
      <c r="KJM54" s="556"/>
      <c r="KJN54" s="556"/>
      <c r="KJO54" s="556"/>
      <c r="KJP54" s="556"/>
      <c r="KJQ54" s="556"/>
      <c r="KJR54" s="556"/>
      <c r="KJS54" s="556"/>
      <c r="KJT54" s="556"/>
      <c r="KJU54" s="556"/>
      <c r="KJV54" s="556"/>
      <c r="KJW54" s="556"/>
      <c r="KJX54" s="556"/>
      <c r="KJY54" s="556"/>
      <c r="KJZ54" s="556"/>
      <c r="KKA54" s="556"/>
      <c r="KKB54" s="556"/>
      <c r="KKC54" s="556"/>
      <c r="KKD54" s="556"/>
      <c r="KKE54" s="556"/>
      <c r="KKF54" s="556"/>
      <c r="KKG54" s="556"/>
      <c r="KKH54" s="556"/>
      <c r="KKI54" s="556"/>
      <c r="KKJ54" s="556"/>
      <c r="KKK54" s="556"/>
      <c r="KKL54" s="556"/>
      <c r="KKM54" s="556"/>
      <c r="KKN54" s="556"/>
      <c r="KKO54" s="556"/>
      <c r="KKP54" s="556"/>
      <c r="KKQ54" s="556"/>
      <c r="KKR54" s="556"/>
      <c r="KKS54" s="556"/>
      <c r="KKT54" s="556"/>
      <c r="KKU54" s="556"/>
      <c r="KKV54" s="556"/>
      <c r="KKW54" s="556"/>
      <c r="KKX54" s="556"/>
      <c r="KKY54" s="556"/>
      <c r="KKZ54" s="556"/>
      <c r="KLA54" s="556"/>
      <c r="KLB54" s="556"/>
      <c r="KLC54" s="556"/>
      <c r="KLD54" s="556"/>
      <c r="KLE54" s="556"/>
      <c r="KLF54" s="556"/>
      <c r="KLG54" s="556"/>
      <c r="KLH54" s="556"/>
      <c r="KLI54" s="556"/>
      <c r="KLJ54" s="556"/>
      <c r="KLK54" s="556"/>
      <c r="KLL54" s="556"/>
      <c r="KLM54" s="556"/>
      <c r="KLN54" s="556"/>
      <c r="KLO54" s="556"/>
      <c r="KLP54" s="556"/>
      <c r="KLQ54" s="556"/>
      <c r="KLR54" s="556"/>
      <c r="KLS54" s="556"/>
      <c r="KLT54" s="556"/>
      <c r="KLU54" s="556"/>
      <c r="KLV54" s="556"/>
      <c r="KLW54" s="556"/>
      <c r="KLX54" s="556"/>
      <c r="KLY54" s="556"/>
      <c r="KLZ54" s="556"/>
      <c r="KMA54" s="556"/>
      <c r="KMB54" s="556"/>
      <c r="KMC54" s="556"/>
      <c r="KMD54" s="556"/>
      <c r="KME54" s="556"/>
      <c r="KMF54" s="556"/>
      <c r="KMG54" s="556"/>
      <c r="KMH54" s="556"/>
      <c r="KMI54" s="556"/>
      <c r="KMJ54" s="556"/>
      <c r="KMK54" s="556"/>
      <c r="KML54" s="556"/>
      <c r="KMM54" s="556"/>
      <c r="KMN54" s="556"/>
      <c r="KMO54" s="556"/>
      <c r="KMP54" s="556"/>
      <c r="KMQ54" s="556"/>
      <c r="KMR54" s="556"/>
      <c r="KMS54" s="556"/>
      <c r="KMT54" s="556"/>
      <c r="KMU54" s="556"/>
      <c r="KMV54" s="556"/>
      <c r="KMW54" s="556"/>
      <c r="KMX54" s="556"/>
      <c r="KMY54" s="556"/>
      <c r="KMZ54" s="556"/>
      <c r="KNA54" s="556"/>
      <c r="KNB54" s="556"/>
      <c r="KNC54" s="556"/>
      <c r="KND54" s="556"/>
      <c r="KNE54" s="556"/>
      <c r="KNF54" s="556"/>
      <c r="KNG54" s="556"/>
      <c r="KNH54" s="556"/>
      <c r="KNI54" s="556"/>
      <c r="KNJ54" s="556"/>
      <c r="KNK54" s="556"/>
      <c r="KNL54" s="556"/>
      <c r="KNM54" s="556"/>
      <c r="KNN54" s="556"/>
      <c r="KNO54" s="556"/>
      <c r="KNP54" s="556"/>
      <c r="KNQ54" s="556"/>
      <c r="KNR54" s="556"/>
      <c r="KNS54" s="556"/>
      <c r="KNT54" s="556"/>
      <c r="KNU54" s="556"/>
      <c r="KNV54" s="556"/>
      <c r="KNW54" s="556"/>
      <c r="KNX54" s="556"/>
      <c r="KNY54" s="556"/>
      <c r="KNZ54" s="556"/>
      <c r="KOA54" s="556"/>
      <c r="KOB54" s="556"/>
      <c r="KOC54" s="556"/>
      <c r="KOD54" s="556"/>
      <c r="KOE54" s="556"/>
      <c r="KOF54" s="556"/>
      <c r="KOG54" s="556"/>
      <c r="KOH54" s="556"/>
      <c r="KOI54" s="556"/>
      <c r="KOJ54" s="556"/>
      <c r="KOK54" s="556"/>
      <c r="KOL54" s="556"/>
      <c r="KOM54" s="556"/>
      <c r="KON54" s="556"/>
      <c r="KOO54" s="556"/>
      <c r="KOP54" s="556"/>
      <c r="KOQ54" s="556"/>
      <c r="KOR54" s="556"/>
      <c r="KOS54" s="556"/>
      <c r="KOT54" s="556"/>
      <c r="KOU54" s="556"/>
      <c r="KOV54" s="556"/>
      <c r="KOW54" s="556"/>
      <c r="KOX54" s="556"/>
      <c r="KOY54" s="556"/>
      <c r="KOZ54" s="556"/>
      <c r="KPA54" s="556"/>
      <c r="KPB54" s="556"/>
      <c r="KPC54" s="556"/>
      <c r="KPD54" s="556"/>
      <c r="KPE54" s="556"/>
      <c r="KPF54" s="556"/>
      <c r="KPG54" s="556"/>
      <c r="KPH54" s="556"/>
      <c r="KPI54" s="556"/>
      <c r="KPJ54" s="556"/>
      <c r="KPK54" s="556"/>
      <c r="KPL54" s="556"/>
      <c r="KPM54" s="556"/>
      <c r="KPN54" s="556"/>
      <c r="KPO54" s="556"/>
      <c r="KPP54" s="556"/>
      <c r="KPQ54" s="556"/>
      <c r="KPR54" s="556"/>
      <c r="KPS54" s="556"/>
      <c r="KPT54" s="556"/>
      <c r="KPU54" s="556"/>
      <c r="KPV54" s="556"/>
      <c r="KPW54" s="556"/>
      <c r="KPX54" s="556"/>
      <c r="KPY54" s="556"/>
      <c r="KPZ54" s="556"/>
      <c r="KQA54" s="556"/>
      <c r="KQB54" s="556"/>
      <c r="KQC54" s="556"/>
      <c r="KQD54" s="556"/>
      <c r="KQE54" s="556"/>
      <c r="KQF54" s="556"/>
      <c r="KQG54" s="556"/>
      <c r="KQH54" s="556"/>
      <c r="KQI54" s="556"/>
      <c r="KQJ54" s="556"/>
      <c r="KQK54" s="556"/>
      <c r="KQL54" s="556"/>
      <c r="KQM54" s="556"/>
      <c r="KQN54" s="556"/>
      <c r="KQO54" s="556"/>
      <c r="KQP54" s="556"/>
      <c r="KQQ54" s="556"/>
      <c r="KQR54" s="556"/>
      <c r="KQS54" s="556"/>
      <c r="KQT54" s="556"/>
      <c r="KQU54" s="556"/>
      <c r="KQV54" s="556"/>
      <c r="KQW54" s="556"/>
      <c r="KQX54" s="556"/>
      <c r="KQY54" s="556"/>
      <c r="KQZ54" s="556"/>
      <c r="KRA54" s="556"/>
      <c r="KRB54" s="556"/>
      <c r="KRC54" s="556"/>
      <c r="KRD54" s="556"/>
      <c r="KRE54" s="556"/>
      <c r="KRF54" s="556"/>
      <c r="KRG54" s="556"/>
      <c r="KRH54" s="556"/>
      <c r="KRI54" s="556"/>
      <c r="KRJ54" s="556"/>
      <c r="KRK54" s="556"/>
      <c r="KRL54" s="556"/>
      <c r="KRM54" s="556"/>
      <c r="KRN54" s="556"/>
      <c r="KRO54" s="556"/>
      <c r="KRP54" s="556"/>
      <c r="KRQ54" s="556"/>
      <c r="KRR54" s="556"/>
      <c r="KRS54" s="556"/>
      <c r="KRT54" s="556"/>
      <c r="KRU54" s="556"/>
      <c r="KRV54" s="556"/>
      <c r="KRW54" s="556"/>
      <c r="KRX54" s="556"/>
      <c r="KRY54" s="556"/>
      <c r="KRZ54" s="556"/>
      <c r="KSA54" s="556"/>
      <c r="KSB54" s="556"/>
      <c r="KSC54" s="556"/>
      <c r="KSD54" s="556"/>
      <c r="KSE54" s="556"/>
      <c r="KSF54" s="556"/>
      <c r="KSG54" s="556"/>
      <c r="KSH54" s="556"/>
      <c r="KSI54" s="556"/>
      <c r="KSJ54" s="556"/>
      <c r="KSK54" s="556"/>
      <c r="KSL54" s="556"/>
      <c r="KSM54" s="556"/>
      <c r="KSN54" s="556"/>
      <c r="KSO54" s="556"/>
      <c r="KSP54" s="556"/>
      <c r="KSQ54" s="556"/>
      <c r="KSR54" s="556"/>
      <c r="KSS54" s="556"/>
      <c r="KST54" s="556"/>
      <c r="KSU54" s="556"/>
      <c r="KSV54" s="556"/>
      <c r="KSW54" s="556"/>
      <c r="KSX54" s="556"/>
      <c r="KSY54" s="556"/>
      <c r="KSZ54" s="556"/>
      <c r="KTA54" s="556"/>
      <c r="KTB54" s="556"/>
      <c r="KTC54" s="556"/>
      <c r="KTD54" s="556"/>
      <c r="KTE54" s="556"/>
      <c r="KTF54" s="556"/>
      <c r="KTG54" s="556"/>
      <c r="KTH54" s="556"/>
      <c r="KTI54" s="556"/>
      <c r="KTJ54" s="556"/>
      <c r="KTK54" s="556"/>
      <c r="KTL54" s="556"/>
      <c r="KTM54" s="556"/>
      <c r="KTN54" s="556"/>
      <c r="KTO54" s="556"/>
      <c r="KTP54" s="556"/>
      <c r="KTQ54" s="556"/>
      <c r="KTR54" s="556"/>
      <c r="KTS54" s="556"/>
      <c r="KTT54" s="556"/>
      <c r="KTU54" s="556"/>
      <c r="KTV54" s="556"/>
      <c r="KTW54" s="556"/>
      <c r="KTX54" s="556"/>
      <c r="KTY54" s="556"/>
      <c r="KTZ54" s="556"/>
      <c r="KUA54" s="556"/>
      <c r="KUB54" s="556"/>
      <c r="KUC54" s="556"/>
      <c r="KUD54" s="556"/>
      <c r="KUE54" s="556"/>
      <c r="KUF54" s="556"/>
      <c r="KUG54" s="556"/>
      <c r="KUH54" s="556"/>
      <c r="KUI54" s="556"/>
      <c r="KUJ54" s="556"/>
      <c r="KUK54" s="556"/>
      <c r="KUL54" s="556"/>
      <c r="KUM54" s="556"/>
      <c r="KUN54" s="556"/>
      <c r="KUO54" s="556"/>
      <c r="KUP54" s="556"/>
      <c r="KUQ54" s="556"/>
      <c r="KUR54" s="556"/>
      <c r="KUS54" s="556"/>
      <c r="KUT54" s="556"/>
      <c r="KUU54" s="556"/>
      <c r="KUV54" s="556"/>
      <c r="KUW54" s="556"/>
      <c r="KUX54" s="556"/>
      <c r="KUY54" s="556"/>
      <c r="KUZ54" s="556"/>
      <c r="KVA54" s="556"/>
      <c r="KVB54" s="556"/>
      <c r="KVC54" s="556"/>
      <c r="KVD54" s="556"/>
      <c r="KVE54" s="556"/>
      <c r="KVF54" s="556"/>
      <c r="KVG54" s="556"/>
      <c r="KVH54" s="556"/>
      <c r="KVI54" s="556"/>
      <c r="KVJ54" s="556"/>
      <c r="KVK54" s="556"/>
      <c r="KVL54" s="556"/>
      <c r="KVM54" s="556"/>
      <c r="KVN54" s="556"/>
      <c r="KVO54" s="556"/>
      <c r="KVP54" s="556"/>
      <c r="KVQ54" s="556"/>
      <c r="KVR54" s="556"/>
      <c r="KVS54" s="556"/>
      <c r="KVT54" s="556"/>
      <c r="KVU54" s="556"/>
      <c r="KVV54" s="556"/>
      <c r="KVW54" s="556"/>
      <c r="KVX54" s="556"/>
      <c r="KVY54" s="556"/>
      <c r="KVZ54" s="556"/>
      <c r="KWA54" s="556"/>
      <c r="KWB54" s="556"/>
      <c r="KWC54" s="556"/>
      <c r="KWD54" s="556"/>
      <c r="KWE54" s="556"/>
      <c r="KWF54" s="556"/>
      <c r="KWG54" s="556"/>
      <c r="KWH54" s="556"/>
      <c r="KWI54" s="556"/>
      <c r="KWJ54" s="556"/>
      <c r="KWK54" s="556"/>
      <c r="KWL54" s="556"/>
      <c r="KWM54" s="556"/>
      <c r="KWN54" s="556"/>
      <c r="KWO54" s="556"/>
      <c r="KWP54" s="556"/>
      <c r="KWQ54" s="556"/>
      <c r="KWR54" s="556"/>
      <c r="KWS54" s="556"/>
      <c r="KWT54" s="556"/>
      <c r="KWU54" s="556"/>
      <c r="KWV54" s="556"/>
      <c r="KWW54" s="556"/>
      <c r="KWX54" s="556"/>
      <c r="KWY54" s="556"/>
      <c r="KWZ54" s="556"/>
      <c r="KXA54" s="556"/>
      <c r="KXB54" s="556"/>
      <c r="KXC54" s="556"/>
      <c r="KXD54" s="556"/>
      <c r="KXE54" s="556"/>
      <c r="KXF54" s="556"/>
      <c r="KXG54" s="556"/>
      <c r="KXH54" s="556"/>
      <c r="KXI54" s="556"/>
      <c r="KXJ54" s="556"/>
      <c r="KXK54" s="556"/>
      <c r="KXL54" s="556"/>
      <c r="KXM54" s="556"/>
      <c r="KXN54" s="556"/>
      <c r="KXO54" s="556"/>
      <c r="KXP54" s="556"/>
      <c r="KXQ54" s="556"/>
      <c r="KXR54" s="556"/>
      <c r="KXS54" s="556"/>
      <c r="KXT54" s="556"/>
      <c r="KXU54" s="556"/>
      <c r="KXV54" s="556"/>
      <c r="KXW54" s="556"/>
      <c r="KXX54" s="556"/>
      <c r="KXY54" s="556"/>
      <c r="KXZ54" s="556"/>
      <c r="KYA54" s="556"/>
      <c r="KYB54" s="556"/>
      <c r="KYC54" s="556"/>
      <c r="KYD54" s="556"/>
      <c r="KYE54" s="556"/>
      <c r="KYF54" s="556"/>
      <c r="KYG54" s="556"/>
      <c r="KYH54" s="556"/>
      <c r="KYI54" s="556"/>
      <c r="KYJ54" s="556"/>
      <c r="KYK54" s="556"/>
      <c r="KYL54" s="556"/>
      <c r="KYM54" s="556"/>
      <c r="KYN54" s="556"/>
      <c r="KYO54" s="556"/>
      <c r="KYP54" s="556"/>
      <c r="KYQ54" s="556"/>
      <c r="KYR54" s="556"/>
      <c r="KYS54" s="556"/>
      <c r="KYT54" s="556"/>
      <c r="KYU54" s="556"/>
      <c r="KYV54" s="556"/>
      <c r="KYW54" s="556"/>
      <c r="KYX54" s="556"/>
      <c r="KYY54" s="556"/>
      <c r="KYZ54" s="556"/>
      <c r="KZA54" s="556"/>
      <c r="KZB54" s="556"/>
      <c r="KZC54" s="556"/>
      <c r="KZD54" s="556"/>
      <c r="KZE54" s="556"/>
      <c r="KZF54" s="556"/>
      <c r="KZG54" s="556"/>
      <c r="KZH54" s="556"/>
      <c r="KZI54" s="556"/>
      <c r="KZJ54" s="556"/>
      <c r="KZK54" s="556"/>
      <c r="KZL54" s="556"/>
      <c r="KZM54" s="556"/>
      <c r="KZN54" s="556"/>
      <c r="KZO54" s="556"/>
      <c r="KZP54" s="556"/>
      <c r="KZQ54" s="556"/>
      <c r="KZR54" s="556"/>
      <c r="KZS54" s="556"/>
      <c r="KZT54" s="556"/>
      <c r="KZU54" s="556"/>
      <c r="KZV54" s="556"/>
      <c r="KZW54" s="556"/>
      <c r="KZX54" s="556"/>
      <c r="KZY54" s="556"/>
      <c r="KZZ54" s="556"/>
      <c r="LAA54" s="556"/>
      <c r="LAB54" s="556"/>
      <c r="LAC54" s="556"/>
      <c r="LAD54" s="556"/>
      <c r="LAE54" s="556"/>
      <c r="LAF54" s="556"/>
      <c r="LAG54" s="556"/>
      <c r="LAH54" s="556"/>
      <c r="LAI54" s="556"/>
      <c r="LAJ54" s="556"/>
      <c r="LAK54" s="556"/>
      <c r="LAL54" s="556"/>
      <c r="LAM54" s="556"/>
      <c r="LAN54" s="556"/>
      <c r="LAO54" s="556"/>
      <c r="LAP54" s="556"/>
      <c r="LAQ54" s="556"/>
      <c r="LAR54" s="556"/>
      <c r="LAS54" s="556"/>
      <c r="LAT54" s="556"/>
      <c r="LAU54" s="556"/>
      <c r="LAV54" s="556"/>
      <c r="LAW54" s="556"/>
      <c r="LAX54" s="556"/>
      <c r="LAY54" s="556"/>
      <c r="LAZ54" s="556"/>
      <c r="LBA54" s="556"/>
      <c r="LBB54" s="556"/>
      <c r="LBC54" s="556"/>
      <c r="LBD54" s="556"/>
      <c r="LBE54" s="556"/>
      <c r="LBF54" s="556"/>
      <c r="LBG54" s="556"/>
      <c r="LBH54" s="556"/>
      <c r="LBI54" s="556"/>
      <c r="LBJ54" s="556"/>
      <c r="LBK54" s="556"/>
      <c r="LBL54" s="556"/>
      <c r="LBM54" s="556"/>
      <c r="LBN54" s="556"/>
      <c r="LBO54" s="556"/>
      <c r="LBP54" s="556"/>
      <c r="LBQ54" s="556"/>
      <c r="LBR54" s="556"/>
      <c r="LBS54" s="556"/>
      <c r="LBT54" s="556"/>
      <c r="LBU54" s="556"/>
      <c r="LBV54" s="556"/>
      <c r="LBW54" s="556"/>
      <c r="LBX54" s="556"/>
      <c r="LBY54" s="556"/>
      <c r="LBZ54" s="556"/>
      <c r="LCA54" s="556"/>
      <c r="LCB54" s="556"/>
      <c r="LCC54" s="556"/>
      <c r="LCD54" s="556"/>
      <c r="LCE54" s="556"/>
      <c r="LCF54" s="556"/>
      <c r="LCG54" s="556"/>
      <c r="LCH54" s="556"/>
      <c r="LCI54" s="556"/>
      <c r="LCJ54" s="556"/>
      <c r="LCK54" s="556"/>
      <c r="LCL54" s="556"/>
      <c r="LCM54" s="556"/>
      <c r="LCN54" s="556"/>
      <c r="LCO54" s="556"/>
      <c r="LCP54" s="556"/>
      <c r="LCQ54" s="556"/>
      <c r="LCR54" s="556"/>
      <c r="LCS54" s="556"/>
      <c r="LCT54" s="556"/>
      <c r="LCU54" s="556"/>
      <c r="LCV54" s="556"/>
      <c r="LCW54" s="556"/>
      <c r="LCX54" s="556"/>
      <c r="LCY54" s="556"/>
      <c r="LCZ54" s="556"/>
      <c r="LDA54" s="556"/>
      <c r="LDB54" s="556"/>
      <c r="LDC54" s="556"/>
      <c r="LDD54" s="556"/>
      <c r="LDE54" s="556"/>
      <c r="LDF54" s="556"/>
      <c r="LDG54" s="556"/>
      <c r="LDH54" s="556"/>
      <c r="LDI54" s="556"/>
      <c r="LDJ54" s="556"/>
      <c r="LDK54" s="556"/>
      <c r="LDL54" s="556"/>
      <c r="LDM54" s="556"/>
      <c r="LDN54" s="556"/>
      <c r="LDO54" s="556"/>
      <c r="LDP54" s="556"/>
      <c r="LDQ54" s="556"/>
      <c r="LDR54" s="556"/>
      <c r="LDS54" s="556"/>
      <c r="LDT54" s="556"/>
      <c r="LDU54" s="556"/>
      <c r="LDV54" s="556"/>
      <c r="LDW54" s="556"/>
      <c r="LDX54" s="556"/>
      <c r="LDY54" s="556"/>
      <c r="LDZ54" s="556"/>
      <c r="LEA54" s="556"/>
      <c r="LEB54" s="556"/>
      <c r="LEC54" s="556"/>
      <c r="LED54" s="556"/>
      <c r="LEE54" s="556"/>
      <c r="LEF54" s="556"/>
      <c r="LEG54" s="556"/>
      <c r="LEH54" s="556"/>
      <c r="LEI54" s="556"/>
      <c r="LEJ54" s="556"/>
      <c r="LEK54" s="556"/>
      <c r="LEL54" s="556"/>
      <c r="LEM54" s="556"/>
      <c r="LEN54" s="556"/>
      <c r="LEO54" s="556"/>
      <c r="LEP54" s="556"/>
      <c r="LEQ54" s="556"/>
      <c r="LER54" s="556"/>
      <c r="LES54" s="556"/>
      <c r="LET54" s="556"/>
      <c r="LEU54" s="556"/>
      <c r="LEV54" s="556"/>
      <c r="LEW54" s="556"/>
      <c r="LEX54" s="556"/>
      <c r="LEY54" s="556"/>
      <c r="LEZ54" s="556"/>
      <c r="LFA54" s="556"/>
      <c r="LFB54" s="556"/>
      <c r="LFC54" s="556"/>
      <c r="LFD54" s="556"/>
      <c r="LFE54" s="556"/>
      <c r="LFF54" s="556"/>
      <c r="LFG54" s="556"/>
      <c r="LFH54" s="556"/>
      <c r="LFI54" s="556"/>
      <c r="LFJ54" s="556"/>
      <c r="LFK54" s="556"/>
      <c r="LFL54" s="556"/>
      <c r="LFM54" s="556"/>
      <c r="LFN54" s="556"/>
      <c r="LFO54" s="556"/>
      <c r="LFP54" s="556"/>
      <c r="LFQ54" s="556"/>
      <c r="LFR54" s="556"/>
      <c r="LFS54" s="556"/>
      <c r="LFT54" s="556"/>
      <c r="LFU54" s="556"/>
      <c r="LFV54" s="556"/>
      <c r="LFW54" s="556"/>
      <c r="LFX54" s="556"/>
      <c r="LFY54" s="556"/>
      <c r="LFZ54" s="556"/>
      <c r="LGA54" s="556"/>
      <c r="LGB54" s="556"/>
      <c r="LGC54" s="556"/>
      <c r="LGD54" s="556"/>
      <c r="LGE54" s="556"/>
      <c r="LGF54" s="556"/>
      <c r="LGG54" s="556"/>
      <c r="LGH54" s="556"/>
      <c r="LGI54" s="556"/>
      <c r="LGJ54" s="556"/>
      <c r="LGK54" s="556"/>
      <c r="LGL54" s="556"/>
      <c r="LGM54" s="556"/>
      <c r="LGN54" s="556"/>
      <c r="LGO54" s="556"/>
      <c r="LGP54" s="556"/>
      <c r="LGQ54" s="556"/>
      <c r="LGR54" s="556"/>
      <c r="LGS54" s="556"/>
      <c r="LGT54" s="556"/>
      <c r="LGU54" s="556"/>
      <c r="LGV54" s="556"/>
      <c r="LGW54" s="556"/>
      <c r="LGX54" s="556"/>
      <c r="LGY54" s="556"/>
      <c r="LGZ54" s="556"/>
      <c r="LHA54" s="556"/>
      <c r="LHB54" s="556"/>
      <c r="LHC54" s="556"/>
      <c r="LHD54" s="556"/>
      <c r="LHE54" s="556"/>
      <c r="LHF54" s="556"/>
      <c r="LHG54" s="556"/>
      <c r="LHH54" s="556"/>
      <c r="LHI54" s="556"/>
      <c r="LHJ54" s="556"/>
      <c r="LHK54" s="556"/>
      <c r="LHL54" s="556"/>
      <c r="LHM54" s="556"/>
      <c r="LHN54" s="556"/>
      <c r="LHO54" s="556"/>
      <c r="LHP54" s="556"/>
      <c r="LHQ54" s="556"/>
      <c r="LHR54" s="556"/>
      <c r="LHS54" s="556"/>
      <c r="LHT54" s="556"/>
      <c r="LHU54" s="556"/>
      <c r="LHV54" s="556"/>
      <c r="LHW54" s="556"/>
      <c r="LHX54" s="556"/>
      <c r="LHY54" s="556"/>
      <c r="LHZ54" s="556"/>
      <c r="LIA54" s="556"/>
      <c r="LIB54" s="556"/>
      <c r="LIC54" s="556"/>
      <c r="LID54" s="556"/>
      <c r="LIE54" s="556"/>
      <c r="LIF54" s="556"/>
      <c r="LIG54" s="556"/>
      <c r="LIH54" s="556"/>
      <c r="LII54" s="556"/>
      <c r="LIJ54" s="556"/>
      <c r="LIK54" s="556"/>
      <c r="LIL54" s="556"/>
      <c r="LIM54" s="556"/>
      <c r="LIN54" s="556"/>
      <c r="LIO54" s="556"/>
      <c r="LIP54" s="556"/>
      <c r="LIQ54" s="556"/>
      <c r="LIR54" s="556"/>
      <c r="LIS54" s="556"/>
      <c r="LIT54" s="556"/>
      <c r="LIU54" s="556"/>
      <c r="LIV54" s="556"/>
      <c r="LIW54" s="556"/>
      <c r="LIX54" s="556"/>
      <c r="LIY54" s="556"/>
      <c r="LIZ54" s="556"/>
      <c r="LJA54" s="556"/>
      <c r="LJB54" s="556"/>
      <c r="LJC54" s="556"/>
      <c r="LJD54" s="556"/>
      <c r="LJE54" s="556"/>
      <c r="LJF54" s="556"/>
      <c r="LJG54" s="556"/>
      <c r="LJH54" s="556"/>
      <c r="LJI54" s="556"/>
      <c r="LJJ54" s="556"/>
      <c r="LJK54" s="556"/>
      <c r="LJL54" s="556"/>
      <c r="LJM54" s="556"/>
      <c r="LJN54" s="556"/>
      <c r="LJO54" s="556"/>
      <c r="LJP54" s="556"/>
      <c r="LJQ54" s="556"/>
      <c r="LJR54" s="556"/>
      <c r="LJS54" s="556"/>
      <c r="LJT54" s="556"/>
      <c r="LJU54" s="556"/>
      <c r="LJV54" s="556"/>
      <c r="LJW54" s="556"/>
      <c r="LJX54" s="556"/>
      <c r="LJY54" s="556"/>
      <c r="LJZ54" s="556"/>
      <c r="LKA54" s="556"/>
      <c r="LKB54" s="556"/>
      <c r="LKC54" s="556"/>
      <c r="LKD54" s="556"/>
      <c r="LKE54" s="556"/>
      <c r="LKF54" s="556"/>
      <c r="LKG54" s="556"/>
      <c r="LKH54" s="556"/>
      <c r="LKI54" s="556"/>
      <c r="LKJ54" s="556"/>
      <c r="LKK54" s="556"/>
      <c r="LKL54" s="556"/>
      <c r="LKM54" s="556"/>
      <c r="LKN54" s="556"/>
      <c r="LKO54" s="556"/>
      <c r="LKP54" s="556"/>
      <c r="LKQ54" s="556"/>
      <c r="LKR54" s="556"/>
      <c r="LKS54" s="556"/>
      <c r="LKT54" s="556"/>
      <c r="LKU54" s="556"/>
      <c r="LKV54" s="556"/>
      <c r="LKW54" s="556"/>
      <c r="LKX54" s="556"/>
      <c r="LKY54" s="556"/>
      <c r="LKZ54" s="556"/>
      <c r="LLA54" s="556"/>
      <c r="LLB54" s="556"/>
      <c r="LLC54" s="556"/>
      <c r="LLD54" s="556"/>
      <c r="LLE54" s="556"/>
      <c r="LLF54" s="556"/>
      <c r="LLG54" s="556"/>
      <c r="LLH54" s="556"/>
      <c r="LLI54" s="556"/>
      <c r="LLJ54" s="556"/>
      <c r="LLK54" s="556"/>
      <c r="LLL54" s="556"/>
      <c r="LLM54" s="556"/>
      <c r="LLN54" s="556"/>
      <c r="LLO54" s="556"/>
      <c r="LLP54" s="556"/>
      <c r="LLQ54" s="556"/>
      <c r="LLR54" s="556"/>
      <c r="LLS54" s="556"/>
      <c r="LLT54" s="556"/>
      <c r="LLU54" s="556"/>
      <c r="LLV54" s="556"/>
      <c r="LLW54" s="556"/>
      <c r="LLX54" s="556"/>
      <c r="LLY54" s="556"/>
      <c r="LLZ54" s="556"/>
      <c r="LMA54" s="556"/>
      <c r="LMB54" s="556"/>
      <c r="LMC54" s="556"/>
      <c r="LMD54" s="556"/>
      <c r="LME54" s="556"/>
      <c r="LMF54" s="556"/>
      <c r="LMG54" s="556"/>
      <c r="LMH54" s="556"/>
      <c r="LMI54" s="556"/>
      <c r="LMJ54" s="556"/>
      <c r="LMK54" s="556"/>
      <c r="LML54" s="556"/>
      <c r="LMM54" s="556"/>
      <c r="LMN54" s="556"/>
      <c r="LMO54" s="556"/>
      <c r="LMP54" s="556"/>
      <c r="LMQ54" s="556"/>
      <c r="LMR54" s="556"/>
      <c r="LMS54" s="556"/>
      <c r="LMT54" s="556"/>
      <c r="LMU54" s="556"/>
      <c r="LMV54" s="556"/>
      <c r="LMW54" s="556"/>
      <c r="LMX54" s="556"/>
      <c r="LMY54" s="556"/>
      <c r="LMZ54" s="556"/>
      <c r="LNA54" s="556"/>
      <c r="LNB54" s="556"/>
      <c r="LNC54" s="556"/>
      <c r="LND54" s="556"/>
      <c r="LNE54" s="556"/>
      <c r="LNF54" s="556"/>
      <c r="LNG54" s="556"/>
      <c r="LNH54" s="556"/>
      <c r="LNI54" s="556"/>
      <c r="LNJ54" s="556"/>
      <c r="LNK54" s="556"/>
      <c r="LNL54" s="556"/>
      <c r="LNM54" s="556"/>
      <c r="LNN54" s="556"/>
      <c r="LNO54" s="556"/>
      <c r="LNP54" s="556"/>
      <c r="LNQ54" s="556"/>
      <c r="LNR54" s="556"/>
      <c r="LNS54" s="556"/>
      <c r="LNT54" s="556"/>
      <c r="LNU54" s="556"/>
      <c r="LNV54" s="556"/>
      <c r="LNW54" s="556"/>
      <c r="LNX54" s="556"/>
      <c r="LNY54" s="556"/>
      <c r="LNZ54" s="556"/>
      <c r="LOA54" s="556"/>
      <c r="LOB54" s="556"/>
      <c r="LOC54" s="556"/>
      <c r="LOD54" s="556"/>
      <c r="LOE54" s="556"/>
      <c r="LOF54" s="556"/>
      <c r="LOG54" s="556"/>
      <c r="LOH54" s="556"/>
      <c r="LOI54" s="556"/>
      <c r="LOJ54" s="556"/>
      <c r="LOK54" s="556"/>
      <c r="LOL54" s="556"/>
      <c r="LOM54" s="556"/>
      <c r="LON54" s="556"/>
      <c r="LOO54" s="556"/>
      <c r="LOP54" s="556"/>
      <c r="LOQ54" s="556"/>
      <c r="LOR54" s="556"/>
      <c r="LOS54" s="556"/>
      <c r="LOT54" s="556"/>
      <c r="LOU54" s="556"/>
      <c r="LOV54" s="556"/>
      <c r="LOW54" s="556"/>
      <c r="LOX54" s="556"/>
      <c r="LOY54" s="556"/>
      <c r="LOZ54" s="556"/>
      <c r="LPA54" s="556"/>
      <c r="LPB54" s="556"/>
      <c r="LPC54" s="556"/>
      <c r="LPD54" s="556"/>
      <c r="LPE54" s="556"/>
      <c r="LPF54" s="556"/>
      <c r="LPG54" s="556"/>
      <c r="LPH54" s="556"/>
      <c r="LPI54" s="556"/>
      <c r="LPJ54" s="556"/>
      <c r="LPK54" s="556"/>
      <c r="LPL54" s="556"/>
      <c r="LPM54" s="556"/>
      <c r="LPN54" s="556"/>
      <c r="LPO54" s="556"/>
      <c r="LPP54" s="556"/>
      <c r="LPQ54" s="556"/>
      <c r="LPR54" s="556"/>
      <c r="LPS54" s="556"/>
      <c r="LPT54" s="556"/>
      <c r="LPU54" s="556"/>
      <c r="LPV54" s="556"/>
      <c r="LPW54" s="556"/>
      <c r="LPX54" s="556"/>
      <c r="LPY54" s="556"/>
      <c r="LPZ54" s="556"/>
      <c r="LQA54" s="556"/>
      <c r="LQB54" s="556"/>
      <c r="LQC54" s="556"/>
      <c r="LQD54" s="556"/>
      <c r="LQE54" s="556"/>
      <c r="LQF54" s="556"/>
      <c r="LQG54" s="556"/>
      <c r="LQH54" s="556"/>
      <c r="LQI54" s="556"/>
      <c r="LQJ54" s="556"/>
      <c r="LQK54" s="556"/>
      <c r="LQL54" s="556"/>
      <c r="LQM54" s="556"/>
      <c r="LQN54" s="556"/>
      <c r="LQO54" s="556"/>
      <c r="LQP54" s="556"/>
      <c r="LQQ54" s="556"/>
      <c r="LQR54" s="556"/>
      <c r="LQS54" s="556"/>
      <c r="LQT54" s="556"/>
      <c r="LQU54" s="556"/>
      <c r="LQV54" s="556"/>
      <c r="LQW54" s="556"/>
      <c r="LQX54" s="556"/>
      <c r="LQY54" s="556"/>
      <c r="LQZ54" s="556"/>
      <c r="LRA54" s="556"/>
      <c r="LRB54" s="556"/>
      <c r="LRC54" s="556"/>
      <c r="LRD54" s="556"/>
      <c r="LRE54" s="556"/>
      <c r="LRF54" s="556"/>
      <c r="LRG54" s="556"/>
      <c r="LRH54" s="556"/>
      <c r="LRI54" s="556"/>
      <c r="LRJ54" s="556"/>
      <c r="LRK54" s="556"/>
      <c r="LRL54" s="556"/>
      <c r="LRM54" s="556"/>
      <c r="LRN54" s="556"/>
      <c r="LRO54" s="556"/>
      <c r="LRP54" s="556"/>
      <c r="LRQ54" s="556"/>
      <c r="LRR54" s="556"/>
      <c r="LRS54" s="556"/>
      <c r="LRT54" s="556"/>
      <c r="LRU54" s="556"/>
      <c r="LRV54" s="556"/>
      <c r="LRW54" s="556"/>
      <c r="LRX54" s="556"/>
      <c r="LRY54" s="556"/>
      <c r="LRZ54" s="556"/>
      <c r="LSA54" s="556"/>
      <c r="LSB54" s="556"/>
      <c r="LSC54" s="556"/>
      <c r="LSD54" s="556"/>
      <c r="LSE54" s="556"/>
      <c r="LSF54" s="556"/>
      <c r="LSG54" s="556"/>
      <c r="LSH54" s="556"/>
      <c r="LSI54" s="556"/>
      <c r="LSJ54" s="556"/>
      <c r="LSK54" s="556"/>
      <c r="LSL54" s="556"/>
      <c r="LSM54" s="556"/>
      <c r="LSN54" s="556"/>
      <c r="LSO54" s="556"/>
      <c r="LSP54" s="556"/>
      <c r="LSQ54" s="556"/>
      <c r="LSR54" s="556"/>
      <c r="LSS54" s="556"/>
      <c r="LST54" s="556"/>
      <c r="LSU54" s="556"/>
      <c r="LSV54" s="556"/>
      <c r="LSW54" s="556"/>
      <c r="LSX54" s="556"/>
      <c r="LSY54" s="556"/>
      <c r="LSZ54" s="556"/>
      <c r="LTA54" s="556"/>
      <c r="LTB54" s="556"/>
      <c r="LTC54" s="556"/>
      <c r="LTD54" s="556"/>
      <c r="LTE54" s="556"/>
      <c r="LTF54" s="556"/>
      <c r="LTG54" s="556"/>
      <c r="LTH54" s="556"/>
      <c r="LTI54" s="556"/>
      <c r="LTJ54" s="556"/>
      <c r="LTK54" s="556"/>
      <c r="LTL54" s="556"/>
      <c r="LTM54" s="556"/>
      <c r="LTN54" s="556"/>
      <c r="LTO54" s="556"/>
      <c r="LTP54" s="556"/>
      <c r="LTQ54" s="556"/>
      <c r="LTR54" s="556"/>
      <c r="LTS54" s="556"/>
      <c r="LTT54" s="556"/>
      <c r="LTU54" s="556"/>
      <c r="LTV54" s="556"/>
      <c r="LTW54" s="556"/>
      <c r="LTX54" s="556"/>
      <c r="LTY54" s="556"/>
      <c r="LTZ54" s="556"/>
      <c r="LUA54" s="556"/>
      <c r="LUB54" s="556"/>
      <c r="LUC54" s="556"/>
      <c r="LUD54" s="556"/>
      <c r="LUE54" s="556"/>
      <c r="LUF54" s="556"/>
      <c r="LUG54" s="556"/>
      <c r="LUH54" s="556"/>
      <c r="LUI54" s="556"/>
      <c r="LUJ54" s="556"/>
      <c r="LUK54" s="556"/>
      <c r="LUL54" s="556"/>
      <c r="LUM54" s="556"/>
      <c r="LUN54" s="556"/>
      <c r="LUO54" s="556"/>
      <c r="LUP54" s="556"/>
      <c r="LUQ54" s="556"/>
      <c r="LUR54" s="556"/>
      <c r="LUS54" s="556"/>
      <c r="LUT54" s="556"/>
      <c r="LUU54" s="556"/>
      <c r="LUV54" s="556"/>
      <c r="LUW54" s="556"/>
      <c r="LUX54" s="556"/>
      <c r="LUY54" s="556"/>
      <c r="LUZ54" s="556"/>
      <c r="LVA54" s="556"/>
      <c r="LVB54" s="556"/>
      <c r="LVC54" s="556"/>
      <c r="LVD54" s="556"/>
      <c r="LVE54" s="556"/>
      <c r="LVF54" s="556"/>
      <c r="LVG54" s="556"/>
      <c r="LVH54" s="556"/>
      <c r="LVI54" s="556"/>
      <c r="LVJ54" s="556"/>
      <c r="LVK54" s="556"/>
      <c r="LVL54" s="556"/>
      <c r="LVM54" s="556"/>
      <c r="LVN54" s="556"/>
      <c r="LVO54" s="556"/>
      <c r="LVP54" s="556"/>
      <c r="LVQ54" s="556"/>
      <c r="LVR54" s="556"/>
      <c r="LVS54" s="556"/>
      <c r="LVT54" s="556"/>
      <c r="LVU54" s="556"/>
      <c r="LVV54" s="556"/>
      <c r="LVW54" s="556"/>
      <c r="LVX54" s="556"/>
      <c r="LVY54" s="556"/>
      <c r="LVZ54" s="556"/>
      <c r="LWA54" s="556"/>
      <c r="LWB54" s="556"/>
      <c r="LWC54" s="556"/>
      <c r="LWD54" s="556"/>
      <c r="LWE54" s="556"/>
      <c r="LWF54" s="556"/>
      <c r="LWG54" s="556"/>
      <c r="LWH54" s="556"/>
      <c r="LWI54" s="556"/>
      <c r="LWJ54" s="556"/>
      <c r="LWK54" s="556"/>
      <c r="LWL54" s="556"/>
      <c r="LWM54" s="556"/>
      <c r="LWN54" s="556"/>
      <c r="LWO54" s="556"/>
      <c r="LWP54" s="556"/>
      <c r="LWQ54" s="556"/>
      <c r="LWR54" s="556"/>
      <c r="LWS54" s="556"/>
      <c r="LWT54" s="556"/>
      <c r="LWU54" s="556"/>
      <c r="LWV54" s="556"/>
      <c r="LWW54" s="556"/>
      <c r="LWX54" s="556"/>
      <c r="LWY54" s="556"/>
      <c r="LWZ54" s="556"/>
      <c r="LXA54" s="556"/>
      <c r="LXB54" s="556"/>
      <c r="LXC54" s="556"/>
      <c r="LXD54" s="556"/>
      <c r="LXE54" s="556"/>
      <c r="LXF54" s="556"/>
      <c r="LXG54" s="556"/>
      <c r="LXH54" s="556"/>
      <c r="LXI54" s="556"/>
      <c r="LXJ54" s="556"/>
      <c r="LXK54" s="556"/>
      <c r="LXL54" s="556"/>
      <c r="LXM54" s="556"/>
      <c r="LXN54" s="556"/>
      <c r="LXO54" s="556"/>
      <c r="LXP54" s="556"/>
      <c r="LXQ54" s="556"/>
      <c r="LXR54" s="556"/>
      <c r="LXS54" s="556"/>
      <c r="LXT54" s="556"/>
      <c r="LXU54" s="556"/>
      <c r="LXV54" s="556"/>
      <c r="LXW54" s="556"/>
      <c r="LXX54" s="556"/>
      <c r="LXY54" s="556"/>
      <c r="LXZ54" s="556"/>
      <c r="LYA54" s="556"/>
      <c r="LYB54" s="556"/>
      <c r="LYC54" s="556"/>
      <c r="LYD54" s="556"/>
      <c r="LYE54" s="556"/>
      <c r="LYF54" s="556"/>
      <c r="LYG54" s="556"/>
      <c r="LYH54" s="556"/>
      <c r="LYI54" s="556"/>
      <c r="LYJ54" s="556"/>
      <c r="LYK54" s="556"/>
      <c r="LYL54" s="556"/>
      <c r="LYM54" s="556"/>
      <c r="LYN54" s="556"/>
      <c r="LYO54" s="556"/>
      <c r="LYP54" s="556"/>
      <c r="LYQ54" s="556"/>
      <c r="LYR54" s="556"/>
      <c r="LYS54" s="556"/>
      <c r="LYT54" s="556"/>
      <c r="LYU54" s="556"/>
      <c r="LYV54" s="556"/>
      <c r="LYW54" s="556"/>
      <c r="LYX54" s="556"/>
      <c r="LYY54" s="556"/>
      <c r="LYZ54" s="556"/>
      <c r="LZA54" s="556"/>
      <c r="LZB54" s="556"/>
      <c r="LZC54" s="556"/>
      <c r="LZD54" s="556"/>
      <c r="LZE54" s="556"/>
      <c r="LZF54" s="556"/>
      <c r="LZG54" s="556"/>
      <c r="LZH54" s="556"/>
      <c r="LZI54" s="556"/>
      <c r="LZJ54" s="556"/>
      <c r="LZK54" s="556"/>
      <c r="LZL54" s="556"/>
      <c r="LZM54" s="556"/>
      <c r="LZN54" s="556"/>
      <c r="LZO54" s="556"/>
      <c r="LZP54" s="556"/>
      <c r="LZQ54" s="556"/>
      <c r="LZR54" s="556"/>
      <c r="LZS54" s="556"/>
      <c r="LZT54" s="556"/>
      <c r="LZU54" s="556"/>
      <c r="LZV54" s="556"/>
      <c r="LZW54" s="556"/>
      <c r="LZX54" s="556"/>
      <c r="LZY54" s="556"/>
      <c r="LZZ54" s="556"/>
      <c r="MAA54" s="556"/>
      <c r="MAB54" s="556"/>
      <c r="MAC54" s="556"/>
      <c r="MAD54" s="556"/>
      <c r="MAE54" s="556"/>
      <c r="MAF54" s="556"/>
      <c r="MAG54" s="556"/>
      <c r="MAH54" s="556"/>
      <c r="MAI54" s="556"/>
      <c r="MAJ54" s="556"/>
      <c r="MAK54" s="556"/>
      <c r="MAL54" s="556"/>
      <c r="MAM54" s="556"/>
      <c r="MAN54" s="556"/>
      <c r="MAO54" s="556"/>
      <c r="MAP54" s="556"/>
      <c r="MAQ54" s="556"/>
      <c r="MAR54" s="556"/>
      <c r="MAS54" s="556"/>
      <c r="MAT54" s="556"/>
      <c r="MAU54" s="556"/>
      <c r="MAV54" s="556"/>
      <c r="MAW54" s="556"/>
      <c r="MAX54" s="556"/>
      <c r="MAY54" s="556"/>
      <c r="MAZ54" s="556"/>
      <c r="MBA54" s="556"/>
      <c r="MBB54" s="556"/>
      <c r="MBC54" s="556"/>
      <c r="MBD54" s="556"/>
      <c r="MBE54" s="556"/>
      <c r="MBF54" s="556"/>
      <c r="MBG54" s="556"/>
      <c r="MBH54" s="556"/>
      <c r="MBI54" s="556"/>
      <c r="MBJ54" s="556"/>
      <c r="MBK54" s="556"/>
      <c r="MBL54" s="556"/>
      <c r="MBM54" s="556"/>
      <c r="MBN54" s="556"/>
      <c r="MBO54" s="556"/>
      <c r="MBP54" s="556"/>
      <c r="MBQ54" s="556"/>
      <c r="MBR54" s="556"/>
      <c r="MBS54" s="556"/>
      <c r="MBT54" s="556"/>
      <c r="MBU54" s="556"/>
      <c r="MBV54" s="556"/>
      <c r="MBW54" s="556"/>
      <c r="MBX54" s="556"/>
      <c r="MBY54" s="556"/>
      <c r="MBZ54" s="556"/>
      <c r="MCA54" s="556"/>
      <c r="MCB54" s="556"/>
      <c r="MCC54" s="556"/>
      <c r="MCD54" s="556"/>
      <c r="MCE54" s="556"/>
      <c r="MCF54" s="556"/>
      <c r="MCG54" s="556"/>
      <c r="MCH54" s="556"/>
      <c r="MCI54" s="556"/>
      <c r="MCJ54" s="556"/>
      <c r="MCK54" s="556"/>
      <c r="MCL54" s="556"/>
      <c r="MCM54" s="556"/>
      <c r="MCN54" s="556"/>
      <c r="MCO54" s="556"/>
      <c r="MCP54" s="556"/>
      <c r="MCQ54" s="556"/>
      <c r="MCR54" s="556"/>
      <c r="MCS54" s="556"/>
      <c r="MCT54" s="556"/>
      <c r="MCU54" s="556"/>
      <c r="MCV54" s="556"/>
      <c r="MCW54" s="556"/>
      <c r="MCX54" s="556"/>
      <c r="MCY54" s="556"/>
      <c r="MCZ54" s="556"/>
      <c r="MDA54" s="556"/>
      <c r="MDB54" s="556"/>
      <c r="MDC54" s="556"/>
      <c r="MDD54" s="556"/>
      <c r="MDE54" s="556"/>
      <c r="MDF54" s="556"/>
      <c r="MDG54" s="556"/>
      <c r="MDH54" s="556"/>
      <c r="MDI54" s="556"/>
      <c r="MDJ54" s="556"/>
      <c r="MDK54" s="556"/>
      <c r="MDL54" s="556"/>
      <c r="MDM54" s="556"/>
      <c r="MDN54" s="556"/>
      <c r="MDO54" s="556"/>
      <c r="MDP54" s="556"/>
      <c r="MDQ54" s="556"/>
      <c r="MDR54" s="556"/>
      <c r="MDS54" s="556"/>
      <c r="MDT54" s="556"/>
      <c r="MDU54" s="556"/>
      <c r="MDV54" s="556"/>
      <c r="MDW54" s="556"/>
      <c r="MDX54" s="556"/>
      <c r="MDY54" s="556"/>
      <c r="MDZ54" s="556"/>
      <c r="MEA54" s="556"/>
      <c r="MEB54" s="556"/>
      <c r="MEC54" s="556"/>
      <c r="MED54" s="556"/>
      <c r="MEE54" s="556"/>
      <c r="MEF54" s="556"/>
      <c r="MEG54" s="556"/>
      <c r="MEH54" s="556"/>
      <c r="MEI54" s="556"/>
      <c r="MEJ54" s="556"/>
      <c r="MEK54" s="556"/>
      <c r="MEL54" s="556"/>
      <c r="MEM54" s="556"/>
      <c r="MEN54" s="556"/>
      <c r="MEO54" s="556"/>
      <c r="MEP54" s="556"/>
      <c r="MEQ54" s="556"/>
      <c r="MER54" s="556"/>
      <c r="MES54" s="556"/>
      <c r="MET54" s="556"/>
      <c r="MEU54" s="556"/>
      <c r="MEV54" s="556"/>
      <c r="MEW54" s="556"/>
      <c r="MEX54" s="556"/>
      <c r="MEY54" s="556"/>
      <c r="MEZ54" s="556"/>
      <c r="MFA54" s="556"/>
      <c r="MFB54" s="556"/>
      <c r="MFC54" s="556"/>
      <c r="MFD54" s="556"/>
      <c r="MFE54" s="556"/>
      <c r="MFF54" s="556"/>
      <c r="MFG54" s="556"/>
      <c r="MFH54" s="556"/>
      <c r="MFI54" s="556"/>
      <c r="MFJ54" s="556"/>
      <c r="MFK54" s="556"/>
      <c r="MFL54" s="556"/>
      <c r="MFM54" s="556"/>
      <c r="MFN54" s="556"/>
      <c r="MFO54" s="556"/>
      <c r="MFP54" s="556"/>
      <c r="MFQ54" s="556"/>
      <c r="MFR54" s="556"/>
      <c r="MFS54" s="556"/>
      <c r="MFT54" s="556"/>
      <c r="MFU54" s="556"/>
      <c r="MFV54" s="556"/>
      <c r="MFW54" s="556"/>
      <c r="MFX54" s="556"/>
      <c r="MFY54" s="556"/>
      <c r="MFZ54" s="556"/>
      <c r="MGA54" s="556"/>
      <c r="MGB54" s="556"/>
      <c r="MGC54" s="556"/>
      <c r="MGD54" s="556"/>
      <c r="MGE54" s="556"/>
      <c r="MGF54" s="556"/>
      <c r="MGG54" s="556"/>
      <c r="MGH54" s="556"/>
      <c r="MGI54" s="556"/>
      <c r="MGJ54" s="556"/>
      <c r="MGK54" s="556"/>
      <c r="MGL54" s="556"/>
      <c r="MGM54" s="556"/>
      <c r="MGN54" s="556"/>
      <c r="MGO54" s="556"/>
      <c r="MGP54" s="556"/>
      <c r="MGQ54" s="556"/>
      <c r="MGR54" s="556"/>
      <c r="MGS54" s="556"/>
      <c r="MGT54" s="556"/>
      <c r="MGU54" s="556"/>
      <c r="MGV54" s="556"/>
      <c r="MGW54" s="556"/>
      <c r="MGX54" s="556"/>
      <c r="MGY54" s="556"/>
      <c r="MGZ54" s="556"/>
      <c r="MHA54" s="556"/>
      <c r="MHB54" s="556"/>
      <c r="MHC54" s="556"/>
      <c r="MHD54" s="556"/>
      <c r="MHE54" s="556"/>
      <c r="MHF54" s="556"/>
      <c r="MHG54" s="556"/>
      <c r="MHH54" s="556"/>
      <c r="MHI54" s="556"/>
      <c r="MHJ54" s="556"/>
      <c r="MHK54" s="556"/>
      <c r="MHL54" s="556"/>
      <c r="MHM54" s="556"/>
      <c r="MHN54" s="556"/>
      <c r="MHO54" s="556"/>
      <c r="MHP54" s="556"/>
      <c r="MHQ54" s="556"/>
      <c r="MHR54" s="556"/>
      <c r="MHS54" s="556"/>
      <c r="MHT54" s="556"/>
      <c r="MHU54" s="556"/>
      <c r="MHV54" s="556"/>
      <c r="MHW54" s="556"/>
      <c r="MHX54" s="556"/>
      <c r="MHY54" s="556"/>
      <c r="MHZ54" s="556"/>
      <c r="MIA54" s="556"/>
      <c r="MIB54" s="556"/>
      <c r="MIC54" s="556"/>
      <c r="MID54" s="556"/>
      <c r="MIE54" s="556"/>
      <c r="MIF54" s="556"/>
      <c r="MIG54" s="556"/>
      <c r="MIH54" s="556"/>
      <c r="MII54" s="556"/>
      <c r="MIJ54" s="556"/>
      <c r="MIK54" s="556"/>
      <c r="MIL54" s="556"/>
      <c r="MIM54" s="556"/>
      <c r="MIN54" s="556"/>
      <c r="MIO54" s="556"/>
      <c r="MIP54" s="556"/>
      <c r="MIQ54" s="556"/>
      <c r="MIR54" s="556"/>
      <c r="MIS54" s="556"/>
      <c r="MIT54" s="556"/>
      <c r="MIU54" s="556"/>
      <c r="MIV54" s="556"/>
      <c r="MIW54" s="556"/>
      <c r="MIX54" s="556"/>
      <c r="MIY54" s="556"/>
      <c r="MIZ54" s="556"/>
      <c r="MJA54" s="556"/>
      <c r="MJB54" s="556"/>
      <c r="MJC54" s="556"/>
      <c r="MJD54" s="556"/>
      <c r="MJE54" s="556"/>
      <c r="MJF54" s="556"/>
      <c r="MJG54" s="556"/>
      <c r="MJH54" s="556"/>
      <c r="MJI54" s="556"/>
      <c r="MJJ54" s="556"/>
      <c r="MJK54" s="556"/>
      <c r="MJL54" s="556"/>
      <c r="MJM54" s="556"/>
      <c r="MJN54" s="556"/>
      <c r="MJO54" s="556"/>
      <c r="MJP54" s="556"/>
      <c r="MJQ54" s="556"/>
      <c r="MJR54" s="556"/>
      <c r="MJS54" s="556"/>
      <c r="MJT54" s="556"/>
      <c r="MJU54" s="556"/>
      <c r="MJV54" s="556"/>
      <c r="MJW54" s="556"/>
      <c r="MJX54" s="556"/>
      <c r="MJY54" s="556"/>
      <c r="MJZ54" s="556"/>
      <c r="MKA54" s="556"/>
      <c r="MKB54" s="556"/>
      <c r="MKC54" s="556"/>
      <c r="MKD54" s="556"/>
      <c r="MKE54" s="556"/>
      <c r="MKF54" s="556"/>
      <c r="MKG54" s="556"/>
      <c r="MKH54" s="556"/>
      <c r="MKI54" s="556"/>
      <c r="MKJ54" s="556"/>
      <c r="MKK54" s="556"/>
      <c r="MKL54" s="556"/>
      <c r="MKM54" s="556"/>
      <c r="MKN54" s="556"/>
      <c r="MKO54" s="556"/>
      <c r="MKP54" s="556"/>
      <c r="MKQ54" s="556"/>
      <c r="MKR54" s="556"/>
      <c r="MKS54" s="556"/>
      <c r="MKT54" s="556"/>
      <c r="MKU54" s="556"/>
      <c r="MKV54" s="556"/>
      <c r="MKW54" s="556"/>
      <c r="MKX54" s="556"/>
      <c r="MKY54" s="556"/>
      <c r="MKZ54" s="556"/>
      <c r="MLA54" s="556"/>
      <c r="MLB54" s="556"/>
      <c r="MLC54" s="556"/>
      <c r="MLD54" s="556"/>
      <c r="MLE54" s="556"/>
      <c r="MLF54" s="556"/>
      <c r="MLG54" s="556"/>
      <c r="MLH54" s="556"/>
      <c r="MLI54" s="556"/>
      <c r="MLJ54" s="556"/>
      <c r="MLK54" s="556"/>
      <c r="MLL54" s="556"/>
      <c r="MLM54" s="556"/>
      <c r="MLN54" s="556"/>
      <c r="MLO54" s="556"/>
      <c r="MLP54" s="556"/>
      <c r="MLQ54" s="556"/>
      <c r="MLR54" s="556"/>
      <c r="MLS54" s="556"/>
      <c r="MLT54" s="556"/>
      <c r="MLU54" s="556"/>
      <c r="MLV54" s="556"/>
      <c r="MLW54" s="556"/>
      <c r="MLX54" s="556"/>
      <c r="MLY54" s="556"/>
      <c r="MLZ54" s="556"/>
      <c r="MMA54" s="556"/>
      <c r="MMB54" s="556"/>
      <c r="MMC54" s="556"/>
      <c r="MMD54" s="556"/>
      <c r="MME54" s="556"/>
      <c r="MMF54" s="556"/>
      <c r="MMG54" s="556"/>
      <c r="MMH54" s="556"/>
      <c r="MMI54" s="556"/>
      <c r="MMJ54" s="556"/>
      <c r="MMK54" s="556"/>
      <c r="MML54" s="556"/>
      <c r="MMM54" s="556"/>
      <c r="MMN54" s="556"/>
      <c r="MMO54" s="556"/>
      <c r="MMP54" s="556"/>
      <c r="MMQ54" s="556"/>
      <c r="MMR54" s="556"/>
      <c r="MMS54" s="556"/>
      <c r="MMT54" s="556"/>
      <c r="MMU54" s="556"/>
      <c r="MMV54" s="556"/>
      <c r="MMW54" s="556"/>
      <c r="MMX54" s="556"/>
      <c r="MMY54" s="556"/>
      <c r="MMZ54" s="556"/>
      <c r="MNA54" s="556"/>
      <c r="MNB54" s="556"/>
      <c r="MNC54" s="556"/>
      <c r="MND54" s="556"/>
      <c r="MNE54" s="556"/>
      <c r="MNF54" s="556"/>
      <c r="MNG54" s="556"/>
      <c r="MNH54" s="556"/>
      <c r="MNI54" s="556"/>
      <c r="MNJ54" s="556"/>
      <c r="MNK54" s="556"/>
      <c r="MNL54" s="556"/>
      <c r="MNM54" s="556"/>
      <c r="MNN54" s="556"/>
      <c r="MNO54" s="556"/>
      <c r="MNP54" s="556"/>
      <c r="MNQ54" s="556"/>
      <c r="MNR54" s="556"/>
      <c r="MNS54" s="556"/>
      <c r="MNT54" s="556"/>
      <c r="MNU54" s="556"/>
      <c r="MNV54" s="556"/>
      <c r="MNW54" s="556"/>
      <c r="MNX54" s="556"/>
      <c r="MNY54" s="556"/>
      <c r="MNZ54" s="556"/>
      <c r="MOA54" s="556"/>
      <c r="MOB54" s="556"/>
      <c r="MOC54" s="556"/>
      <c r="MOD54" s="556"/>
      <c r="MOE54" s="556"/>
      <c r="MOF54" s="556"/>
      <c r="MOG54" s="556"/>
      <c r="MOH54" s="556"/>
      <c r="MOI54" s="556"/>
      <c r="MOJ54" s="556"/>
      <c r="MOK54" s="556"/>
      <c r="MOL54" s="556"/>
      <c r="MOM54" s="556"/>
      <c r="MON54" s="556"/>
      <c r="MOO54" s="556"/>
      <c r="MOP54" s="556"/>
      <c r="MOQ54" s="556"/>
      <c r="MOR54" s="556"/>
      <c r="MOS54" s="556"/>
      <c r="MOT54" s="556"/>
      <c r="MOU54" s="556"/>
      <c r="MOV54" s="556"/>
      <c r="MOW54" s="556"/>
      <c r="MOX54" s="556"/>
      <c r="MOY54" s="556"/>
      <c r="MOZ54" s="556"/>
      <c r="MPA54" s="556"/>
      <c r="MPB54" s="556"/>
      <c r="MPC54" s="556"/>
      <c r="MPD54" s="556"/>
      <c r="MPE54" s="556"/>
      <c r="MPF54" s="556"/>
      <c r="MPG54" s="556"/>
      <c r="MPH54" s="556"/>
      <c r="MPI54" s="556"/>
      <c r="MPJ54" s="556"/>
      <c r="MPK54" s="556"/>
      <c r="MPL54" s="556"/>
      <c r="MPM54" s="556"/>
      <c r="MPN54" s="556"/>
      <c r="MPO54" s="556"/>
      <c r="MPP54" s="556"/>
      <c r="MPQ54" s="556"/>
      <c r="MPR54" s="556"/>
      <c r="MPS54" s="556"/>
      <c r="MPT54" s="556"/>
      <c r="MPU54" s="556"/>
      <c r="MPV54" s="556"/>
      <c r="MPW54" s="556"/>
      <c r="MPX54" s="556"/>
      <c r="MPY54" s="556"/>
      <c r="MPZ54" s="556"/>
      <c r="MQA54" s="556"/>
      <c r="MQB54" s="556"/>
      <c r="MQC54" s="556"/>
      <c r="MQD54" s="556"/>
      <c r="MQE54" s="556"/>
      <c r="MQF54" s="556"/>
      <c r="MQG54" s="556"/>
      <c r="MQH54" s="556"/>
      <c r="MQI54" s="556"/>
      <c r="MQJ54" s="556"/>
      <c r="MQK54" s="556"/>
      <c r="MQL54" s="556"/>
      <c r="MQM54" s="556"/>
      <c r="MQN54" s="556"/>
      <c r="MQO54" s="556"/>
      <c r="MQP54" s="556"/>
      <c r="MQQ54" s="556"/>
      <c r="MQR54" s="556"/>
      <c r="MQS54" s="556"/>
      <c r="MQT54" s="556"/>
      <c r="MQU54" s="556"/>
      <c r="MQV54" s="556"/>
      <c r="MQW54" s="556"/>
      <c r="MQX54" s="556"/>
      <c r="MQY54" s="556"/>
      <c r="MQZ54" s="556"/>
      <c r="MRA54" s="556"/>
      <c r="MRB54" s="556"/>
      <c r="MRC54" s="556"/>
      <c r="MRD54" s="556"/>
      <c r="MRE54" s="556"/>
      <c r="MRF54" s="556"/>
      <c r="MRG54" s="556"/>
      <c r="MRH54" s="556"/>
      <c r="MRI54" s="556"/>
      <c r="MRJ54" s="556"/>
      <c r="MRK54" s="556"/>
      <c r="MRL54" s="556"/>
      <c r="MRM54" s="556"/>
      <c r="MRN54" s="556"/>
      <c r="MRO54" s="556"/>
      <c r="MRP54" s="556"/>
      <c r="MRQ54" s="556"/>
      <c r="MRR54" s="556"/>
      <c r="MRS54" s="556"/>
      <c r="MRT54" s="556"/>
      <c r="MRU54" s="556"/>
      <c r="MRV54" s="556"/>
      <c r="MRW54" s="556"/>
      <c r="MRX54" s="556"/>
      <c r="MRY54" s="556"/>
      <c r="MRZ54" s="556"/>
      <c r="MSA54" s="556"/>
      <c r="MSB54" s="556"/>
      <c r="MSC54" s="556"/>
      <c r="MSD54" s="556"/>
      <c r="MSE54" s="556"/>
      <c r="MSF54" s="556"/>
      <c r="MSG54" s="556"/>
      <c r="MSH54" s="556"/>
      <c r="MSI54" s="556"/>
      <c r="MSJ54" s="556"/>
      <c r="MSK54" s="556"/>
      <c r="MSL54" s="556"/>
      <c r="MSM54" s="556"/>
      <c r="MSN54" s="556"/>
      <c r="MSO54" s="556"/>
      <c r="MSP54" s="556"/>
      <c r="MSQ54" s="556"/>
      <c r="MSR54" s="556"/>
      <c r="MSS54" s="556"/>
      <c r="MST54" s="556"/>
      <c r="MSU54" s="556"/>
      <c r="MSV54" s="556"/>
      <c r="MSW54" s="556"/>
      <c r="MSX54" s="556"/>
      <c r="MSY54" s="556"/>
      <c r="MSZ54" s="556"/>
      <c r="MTA54" s="556"/>
      <c r="MTB54" s="556"/>
      <c r="MTC54" s="556"/>
      <c r="MTD54" s="556"/>
      <c r="MTE54" s="556"/>
      <c r="MTF54" s="556"/>
      <c r="MTG54" s="556"/>
      <c r="MTH54" s="556"/>
      <c r="MTI54" s="556"/>
      <c r="MTJ54" s="556"/>
      <c r="MTK54" s="556"/>
      <c r="MTL54" s="556"/>
      <c r="MTM54" s="556"/>
      <c r="MTN54" s="556"/>
      <c r="MTO54" s="556"/>
      <c r="MTP54" s="556"/>
      <c r="MTQ54" s="556"/>
      <c r="MTR54" s="556"/>
      <c r="MTS54" s="556"/>
      <c r="MTT54" s="556"/>
      <c r="MTU54" s="556"/>
      <c r="MTV54" s="556"/>
      <c r="MTW54" s="556"/>
      <c r="MTX54" s="556"/>
      <c r="MTY54" s="556"/>
      <c r="MTZ54" s="556"/>
      <c r="MUA54" s="556"/>
      <c r="MUB54" s="556"/>
      <c r="MUC54" s="556"/>
      <c r="MUD54" s="556"/>
      <c r="MUE54" s="556"/>
      <c r="MUF54" s="556"/>
      <c r="MUG54" s="556"/>
      <c r="MUH54" s="556"/>
      <c r="MUI54" s="556"/>
      <c r="MUJ54" s="556"/>
      <c r="MUK54" s="556"/>
      <c r="MUL54" s="556"/>
      <c r="MUM54" s="556"/>
      <c r="MUN54" s="556"/>
      <c r="MUO54" s="556"/>
      <c r="MUP54" s="556"/>
      <c r="MUQ54" s="556"/>
      <c r="MUR54" s="556"/>
      <c r="MUS54" s="556"/>
      <c r="MUT54" s="556"/>
      <c r="MUU54" s="556"/>
      <c r="MUV54" s="556"/>
      <c r="MUW54" s="556"/>
      <c r="MUX54" s="556"/>
      <c r="MUY54" s="556"/>
      <c r="MUZ54" s="556"/>
      <c r="MVA54" s="556"/>
      <c r="MVB54" s="556"/>
      <c r="MVC54" s="556"/>
      <c r="MVD54" s="556"/>
      <c r="MVE54" s="556"/>
      <c r="MVF54" s="556"/>
      <c r="MVG54" s="556"/>
      <c r="MVH54" s="556"/>
      <c r="MVI54" s="556"/>
      <c r="MVJ54" s="556"/>
      <c r="MVK54" s="556"/>
      <c r="MVL54" s="556"/>
      <c r="MVM54" s="556"/>
      <c r="MVN54" s="556"/>
      <c r="MVO54" s="556"/>
      <c r="MVP54" s="556"/>
      <c r="MVQ54" s="556"/>
      <c r="MVR54" s="556"/>
      <c r="MVS54" s="556"/>
      <c r="MVT54" s="556"/>
      <c r="MVU54" s="556"/>
      <c r="MVV54" s="556"/>
      <c r="MVW54" s="556"/>
      <c r="MVX54" s="556"/>
      <c r="MVY54" s="556"/>
      <c r="MVZ54" s="556"/>
      <c r="MWA54" s="556"/>
      <c r="MWB54" s="556"/>
      <c r="MWC54" s="556"/>
      <c r="MWD54" s="556"/>
      <c r="MWE54" s="556"/>
      <c r="MWF54" s="556"/>
      <c r="MWG54" s="556"/>
      <c r="MWH54" s="556"/>
      <c r="MWI54" s="556"/>
      <c r="MWJ54" s="556"/>
      <c r="MWK54" s="556"/>
      <c r="MWL54" s="556"/>
      <c r="MWM54" s="556"/>
      <c r="MWN54" s="556"/>
      <c r="MWO54" s="556"/>
      <c r="MWP54" s="556"/>
      <c r="MWQ54" s="556"/>
      <c r="MWR54" s="556"/>
      <c r="MWS54" s="556"/>
      <c r="MWT54" s="556"/>
      <c r="MWU54" s="556"/>
      <c r="MWV54" s="556"/>
      <c r="MWW54" s="556"/>
      <c r="MWX54" s="556"/>
      <c r="MWY54" s="556"/>
      <c r="MWZ54" s="556"/>
      <c r="MXA54" s="556"/>
      <c r="MXB54" s="556"/>
      <c r="MXC54" s="556"/>
      <c r="MXD54" s="556"/>
      <c r="MXE54" s="556"/>
      <c r="MXF54" s="556"/>
      <c r="MXG54" s="556"/>
      <c r="MXH54" s="556"/>
      <c r="MXI54" s="556"/>
      <c r="MXJ54" s="556"/>
      <c r="MXK54" s="556"/>
      <c r="MXL54" s="556"/>
      <c r="MXM54" s="556"/>
      <c r="MXN54" s="556"/>
      <c r="MXO54" s="556"/>
      <c r="MXP54" s="556"/>
      <c r="MXQ54" s="556"/>
      <c r="MXR54" s="556"/>
      <c r="MXS54" s="556"/>
      <c r="MXT54" s="556"/>
      <c r="MXU54" s="556"/>
      <c r="MXV54" s="556"/>
      <c r="MXW54" s="556"/>
      <c r="MXX54" s="556"/>
      <c r="MXY54" s="556"/>
      <c r="MXZ54" s="556"/>
      <c r="MYA54" s="556"/>
      <c r="MYB54" s="556"/>
      <c r="MYC54" s="556"/>
      <c r="MYD54" s="556"/>
      <c r="MYE54" s="556"/>
      <c r="MYF54" s="556"/>
      <c r="MYG54" s="556"/>
      <c r="MYH54" s="556"/>
      <c r="MYI54" s="556"/>
      <c r="MYJ54" s="556"/>
      <c r="MYK54" s="556"/>
      <c r="MYL54" s="556"/>
      <c r="MYM54" s="556"/>
      <c r="MYN54" s="556"/>
      <c r="MYO54" s="556"/>
      <c r="MYP54" s="556"/>
      <c r="MYQ54" s="556"/>
      <c r="MYR54" s="556"/>
      <c r="MYS54" s="556"/>
      <c r="MYT54" s="556"/>
      <c r="MYU54" s="556"/>
      <c r="MYV54" s="556"/>
      <c r="MYW54" s="556"/>
      <c r="MYX54" s="556"/>
      <c r="MYY54" s="556"/>
      <c r="MYZ54" s="556"/>
      <c r="MZA54" s="556"/>
      <c r="MZB54" s="556"/>
      <c r="MZC54" s="556"/>
      <c r="MZD54" s="556"/>
      <c r="MZE54" s="556"/>
      <c r="MZF54" s="556"/>
      <c r="MZG54" s="556"/>
      <c r="MZH54" s="556"/>
      <c r="MZI54" s="556"/>
      <c r="MZJ54" s="556"/>
      <c r="MZK54" s="556"/>
      <c r="MZL54" s="556"/>
      <c r="MZM54" s="556"/>
      <c r="MZN54" s="556"/>
      <c r="MZO54" s="556"/>
      <c r="MZP54" s="556"/>
      <c r="MZQ54" s="556"/>
      <c r="MZR54" s="556"/>
      <c r="MZS54" s="556"/>
      <c r="MZT54" s="556"/>
      <c r="MZU54" s="556"/>
      <c r="MZV54" s="556"/>
      <c r="MZW54" s="556"/>
      <c r="MZX54" s="556"/>
      <c r="MZY54" s="556"/>
      <c r="MZZ54" s="556"/>
      <c r="NAA54" s="556"/>
      <c r="NAB54" s="556"/>
      <c r="NAC54" s="556"/>
      <c r="NAD54" s="556"/>
      <c r="NAE54" s="556"/>
      <c r="NAF54" s="556"/>
      <c r="NAG54" s="556"/>
      <c r="NAH54" s="556"/>
      <c r="NAI54" s="556"/>
      <c r="NAJ54" s="556"/>
      <c r="NAK54" s="556"/>
      <c r="NAL54" s="556"/>
      <c r="NAM54" s="556"/>
      <c r="NAN54" s="556"/>
      <c r="NAO54" s="556"/>
      <c r="NAP54" s="556"/>
      <c r="NAQ54" s="556"/>
      <c r="NAR54" s="556"/>
      <c r="NAS54" s="556"/>
      <c r="NAT54" s="556"/>
      <c r="NAU54" s="556"/>
      <c r="NAV54" s="556"/>
      <c r="NAW54" s="556"/>
      <c r="NAX54" s="556"/>
      <c r="NAY54" s="556"/>
      <c r="NAZ54" s="556"/>
      <c r="NBA54" s="556"/>
      <c r="NBB54" s="556"/>
      <c r="NBC54" s="556"/>
      <c r="NBD54" s="556"/>
      <c r="NBE54" s="556"/>
      <c r="NBF54" s="556"/>
      <c r="NBG54" s="556"/>
      <c r="NBH54" s="556"/>
      <c r="NBI54" s="556"/>
      <c r="NBJ54" s="556"/>
      <c r="NBK54" s="556"/>
      <c r="NBL54" s="556"/>
      <c r="NBM54" s="556"/>
      <c r="NBN54" s="556"/>
      <c r="NBO54" s="556"/>
      <c r="NBP54" s="556"/>
      <c r="NBQ54" s="556"/>
      <c r="NBR54" s="556"/>
      <c r="NBS54" s="556"/>
      <c r="NBT54" s="556"/>
      <c r="NBU54" s="556"/>
      <c r="NBV54" s="556"/>
      <c r="NBW54" s="556"/>
      <c r="NBX54" s="556"/>
      <c r="NBY54" s="556"/>
      <c r="NBZ54" s="556"/>
      <c r="NCA54" s="556"/>
      <c r="NCB54" s="556"/>
      <c r="NCC54" s="556"/>
      <c r="NCD54" s="556"/>
      <c r="NCE54" s="556"/>
      <c r="NCF54" s="556"/>
      <c r="NCG54" s="556"/>
      <c r="NCH54" s="556"/>
      <c r="NCI54" s="556"/>
      <c r="NCJ54" s="556"/>
      <c r="NCK54" s="556"/>
      <c r="NCL54" s="556"/>
      <c r="NCM54" s="556"/>
      <c r="NCN54" s="556"/>
      <c r="NCO54" s="556"/>
      <c r="NCP54" s="556"/>
      <c r="NCQ54" s="556"/>
      <c r="NCR54" s="556"/>
      <c r="NCS54" s="556"/>
      <c r="NCT54" s="556"/>
      <c r="NCU54" s="556"/>
      <c r="NCV54" s="556"/>
      <c r="NCW54" s="556"/>
      <c r="NCX54" s="556"/>
      <c r="NCY54" s="556"/>
      <c r="NCZ54" s="556"/>
      <c r="NDA54" s="556"/>
      <c r="NDB54" s="556"/>
      <c r="NDC54" s="556"/>
      <c r="NDD54" s="556"/>
      <c r="NDE54" s="556"/>
      <c r="NDF54" s="556"/>
      <c r="NDG54" s="556"/>
      <c r="NDH54" s="556"/>
      <c r="NDI54" s="556"/>
      <c r="NDJ54" s="556"/>
      <c r="NDK54" s="556"/>
      <c r="NDL54" s="556"/>
      <c r="NDM54" s="556"/>
      <c r="NDN54" s="556"/>
      <c r="NDO54" s="556"/>
      <c r="NDP54" s="556"/>
      <c r="NDQ54" s="556"/>
      <c r="NDR54" s="556"/>
      <c r="NDS54" s="556"/>
      <c r="NDT54" s="556"/>
      <c r="NDU54" s="556"/>
      <c r="NDV54" s="556"/>
      <c r="NDW54" s="556"/>
      <c r="NDX54" s="556"/>
      <c r="NDY54" s="556"/>
      <c r="NDZ54" s="556"/>
      <c r="NEA54" s="556"/>
      <c r="NEB54" s="556"/>
      <c r="NEC54" s="556"/>
      <c r="NED54" s="556"/>
      <c r="NEE54" s="556"/>
      <c r="NEF54" s="556"/>
      <c r="NEG54" s="556"/>
      <c r="NEH54" s="556"/>
      <c r="NEI54" s="556"/>
      <c r="NEJ54" s="556"/>
      <c r="NEK54" s="556"/>
      <c r="NEL54" s="556"/>
      <c r="NEM54" s="556"/>
      <c r="NEN54" s="556"/>
      <c r="NEO54" s="556"/>
      <c r="NEP54" s="556"/>
      <c r="NEQ54" s="556"/>
      <c r="NER54" s="556"/>
      <c r="NES54" s="556"/>
      <c r="NET54" s="556"/>
      <c r="NEU54" s="556"/>
      <c r="NEV54" s="556"/>
      <c r="NEW54" s="556"/>
      <c r="NEX54" s="556"/>
      <c r="NEY54" s="556"/>
      <c r="NEZ54" s="556"/>
      <c r="NFA54" s="556"/>
      <c r="NFB54" s="556"/>
      <c r="NFC54" s="556"/>
      <c r="NFD54" s="556"/>
      <c r="NFE54" s="556"/>
      <c r="NFF54" s="556"/>
      <c r="NFG54" s="556"/>
      <c r="NFH54" s="556"/>
      <c r="NFI54" s="556"/>
      <c r="NFJ54" s="556"/>
      <c r="NFK54" s="556"/>
      <c r="NFL54" s="556"/>
      <c r="NFM54" s="556"/>
      <c r="NFN54" s="556"/>
      <c r="NFO54" s="556"/>
      <c r="NFP54" s="556"/>
      <c r="NFQ54" s="556"/>
      <c r="NFR54" s="556"/>
      <c r="NFS54" s="556"/>
      <c r="NFT54" s="556"/>
      <c r="NFU54" s="556"/>
      <c r="NFV54" s="556"/>
      <c r="NFW54" s="556"/>
      <c r="NFX54" s="556"/>
      <c r="NFY54" s="556"/>
      <c r="NFZ54" s="556"/>
      <c r="NGA54" s="556"/>
      <c r="NGB54" s="556"/>
      <c r="NGC54" s="556"/>
      <c r="NGD54" s="556"/>
      <c r="NGE54" s="556"/>
      <c r="NGF54" s="556"/>
      <c r="NGG54" s="556"/>
      <c r="NGH54" s="556"/>
      <c r="NGI54" s="556"/>
      <c r="NGJ54" s="556"/>
      <c r="NGK54" s="556"/>
      <c r="NGL54" s="556"/>
      <c r="NGM54" s="556"/>
      <c r="NGN54" s="556"/>
      <c r="NGO54" s="556"/>
      <c r="NGP54" s="556"/>
      <c r="NGQ54" s="556"/>
      <c r="NGR54" s="556"/>
      <c r="NGS54" s="556"/>
      <c r="NGT54" s="556"/>
      <c r="NGU54" s="556"/>
      <c r="NGV54" s="556"/>
      <c r="NGW54" s="556"/>
      <c r="NGX54" s="556"/>
      <c r="NGY54" s="556"/>
      <c r="NGZ54" s="556"/>
      <c r="NHA54" s="556"/>
      <c r="NHB54" s="556"/>
      <c r="NHC54" s="556"/>
      <c r="NHD54" s="556"/>
      <c r="NHE54" s="556"/>
      <c r="NHF54" s="556"/>
      <c r="NHG54" s="556"/>
      <c r="NHH54" s="556"/>
      <c r="NHI54" s="556"/>
      <c r="NHJ54" s="556"/>
      <c r="NHK54" s="556"/>
      <c r="NHL54" s="556"/>
      <c r="NHM54" s="556"/>
      <c r="NHN54" s="556"/>
      <c r="NHO54" s="556"/>
      <c r="NHP54" s="556"/>
      <c r="NHQ54" s="556"/>
      <c r="NHR54" s="556"/>
      <c r="NHS54" s="556"/>
      <c r="NHT54" s="556"/>
      <c r="NHU54" s="556"/>
      <c r="NHV54" s="556"/>
      <c r="NHW54" s="556"/>
      <c r="NHX54" s="556"/>
      <c r="NHY54" s="556"/>
      <c r="NHZ54" s="556"/>
      <c r="NIA54" s="556"/>
      <c r="NIB54" s="556"/>
      <c r="NIC54" s="556"/>
      <c r="NID54" s="556"/>
      <c r="NIE54" s="556"/>
      <c r="NIF54" s="556"/>
      <c r="NIG54" s="556"/>
      <c r="NIH54" s="556"/>
      <c r="NII54" s="556"/>
      <c r="NIJ54" s="556"/>
      <c r="NIK54" s="556"/>
      <c r="NIL54" s="556"/>
      <c r="NIM54" s="556"/>
      <c r="NIN54" s="556"/>
      <c r="NIO54" s="556"/>
      <c r="NIP54" s="556"/>
      <c r="NIQ54" s="556"/>
      <c r="NIR54" s="556"/>
      <c r="NIS54" s="556"/>
      <c r="NIT54" s="556"/>
      <c r="NIU54" s="556"/>
      <c r="NIV54" s="556"/>
      <c r="NIW54" s="556"/>
      <c r="NIX54" s="556"/>
      <c r="NIY54" s="556"/>
      <c r="NIZ54" s="556"/>
      <c r="NJA54" s="556"/>
      <c r="NJB54" s="556"/>
      <c r="NJC54" s="556"/>
      <c r="NJD54" s="556"/>
      <c r="NJE54" s="556"/>
      <c r="NJF54" s="556"/>
      <c r="NJG54" s="556"/>
      <c r="NJH54" s="556"/>
      <c r="NJI54" s="556"/>
      <c r="NJJ54" s="556"/>
      <c r="NJK54" s="556"/>
      <c r="NJL54" s="556"/>
      <c r="NJM54" s="556"/>
      <c r="NJN54" s="556"/>
      <c r="NJO54" s="556"/>
      <c r="NJP54" s="556"/>
      <c r="NJQ54" s="556"/>
      <c r="NJR54" s="556"/>
      <c r="NJS54" s="556"/>
      <c r="NJT54" s="556"/>
      <c r="NJU54" s="556"/>
      <c r="NJV54" s="556"/>
      <c r="NJW54" s="556"/>
      <c r="NJX54" s="556"/>
      <c r="NJY54" s="556"/>
      <c r="NJZ54" s="556"/>
      <c r="NKA54" s="556"/>
      <c r="NKB54" s="556"/>
      <c r="NKC54" s="556"/>
      <c r="NKD54" s="556"/>
      <c r="NKE54" s="556"/>
      <c r="NKF54" s="556"/>
      <c r="NKG54" s="556"/>
      <c r="NKH54" s="556"/>
      <c r="NKI54" s="556"/>
      <c r="NKJ54" s="556"/>
      <c r="NKK54" s="556"/>
      <c r="NKL54" s="556"/>
      <c r="NKM54" s="556"/>
      <c r="NKN54" s="556"/>
      <c r="NKO54" s="556"/>
      <c r="NKP54" s="556"/>
      <c r="NKQ54" s="556"/>
      <c r="NKR54" s="556"/>
      <c r="NKS54" s="556"/>
      <c r="NKT54" s="556"/>
      <c r="NKU54" s="556"/>
      <c r="NKV54" s="556"/>
      <c r="NKW54" s="556"/>
      <c r="NKX54" s="556"/>
      <c r="NKY54" s="556"/>
      <c r="NKZ54" s="556"/>
      <c r="NLA54" s="556"/>
      <c r="NLB54" s="556"/>
      <c r="NLC54" s="556"/>
      <c r="NLD54" s="556"/>
      <c r="NLE54" s="556"/>
      <c r="NLF54" s="556"/>
      <c r="NLG54" s="556"/>
      <c r="NLH54" s="556"/>
      <c r="NLI54" s="556"/>
      <c r="NLJ54" s="556"/>
      <c r="NLK54" s="556"/>
      <c r="NLL54" s="556"/>
      <c r="NLM54" s="556"/>
      <c r="NLN54" s="556"/>
      <c r="NLO54" s="556"/>
      <c r="NLP54" s="556"/>
      <c r="NLQ54" s="556"/>
      <c r="NLR54" s="556"/>
      <c r="NLS54" s="556"/>
      <c r="NLT54" s="556"/>
      <c r="NLU54" s="556"/>
      <c r="NLV54" s="556"/>
      <c r="NLW54" s="556"/>
      <c r="NLX54" s="556"/>
      <c r="NLY54" s="556"/>
      <c r="NLZ54" s="556"/>
      <c r="NMA54" s="556"/>
      <c r="NMB54" s="556"/>
      <c r="NMC54" s="556"/>
      <c r="NMD54" s="556"/>
      <c r="NME54" s="556"/>
      <c r="NMF54" s="556"/>
      <c r="NMG54" s="556"/>
      <c r="NMH54" s="556"/>
      <c r="NMI54" s="556"/>
      <c r="NMJ54" s="556"/>
      <c r="NMK54" s="556"/>
      <c r="NML54" s="556"/>
      <c r="NMM54" s="556"/>
      <c r="NMN54" s="556"/>
      <c r="NMO54" s="556"/>
      <c r="NMP54" s="556"/>
      <c r="NMQ54" s="556"/>
      <c r="NMR54" s="556"/>
      <c r="NMS54" s="556"/>
      <c r="NMT54" s="556"/>
      <c r="NMU54" s="556"/>
      <c r="NMV54" s="556"/>
      <c r="NMW54" s="556"/>
      <c r="NMX54" s="556"/>
      <c r="NMY54" s="556"/>
      <c r="NMZ54" s="556"/>
      <c r="NNA54" s="556"/>
      <c r="NNB54" s="556"/>
      <c r="NNC54" s="556"/>
      <c r="NND54" s="556"/>
      <c r="NNE54" s="556"/>
      <c r="NNF54" s="556"/>
      <c r="NNG54" s="556"/>
      <c r="NNH54" s="556"/>
      <c r="NNI54" s="556"/>
      <c r="NNJ54" s="556"/>
      <c r="NNK54" s="556"/>
      <c r="NNL54" s="556"/>
      <c r="NNM54" s="556"/>
      <c r="NNN54" s="556"/>
      <c r="NNO54" s="556"/>
      <c r="NNP54" s="556"/>
      <c r="NNQ54" s="556"/>
      <c r="NNR54" s="556"/>
      <c r="NNS54" s="556"/>
      <c r="NNT54" s="556"/>
      <c r="NNU54" s="556"/>
      <c r="NNV54" s="556"/>
      <c r="NNW54" s="556"/>
      <c r="NNX54" s="556"/>
      <c r="NNY54" s="556"/>
      <c r="NNZ54" s="556"/>
      <c r="NOA54" s="556"/>
      <c r="NOB54" s="556"/>
      <c r="NOC54" s="556"/>
      <c r="NOD54" s="556"/>
      <c r="NOE54" s="556"/>
      <c r="NOF54" s="556"/>
      <c r="NOG54" s="556"/>
      <c r="NOH54" s="556"/>
      <c r="NOI54" s="556"/>
      <c r="NOJ54" s="556"/>
      <c r="NOK54" s="556"/>
      <c r="NOL54" s="556"/>
      <c r="NOM54" s="556"/>
      <c r="NON54" s="556"/>
      <c r="NOO54" s="556"/>
      <c r="NOP54" s="556"/>
      <c r="NOQ54" s="556"/>
      <c r="NOR54" s="556"/>
      <c r="NOS54" s="556"/>
      <c r="NOT54" s="556"/>
      <c r="NOU54" s="556"/>
      <c r="NOV54" s="556"/>
      <c r="NOW54" s="556"/>
      <c r="NOX54" s="556"/>
      <c r="NOY54" s="556"/>
      <c r="NOZ54" s="556"/>
      <c r="NPA54" s="556"/>
      <c r="NPB54" s="556"/>
      <c r="NPC54" s="556"/>
      <c r="NPD54" s="556"/>
      <c r="NPE54" s="556"/>
      <c r="NPF54" s="556"/>
      <c r="NPG54" s="556"/>
      <c r="NPH54" s="556"/>
      <c r="NPI54" s="556"/>
      <c r="NPJ54" s="556"/>
      <c r="NPK54" s="556"/>
      <c r="NPL54" s="556"/>
      <c r="NPM54" s="556"/>
      <c r="NPN54" s="556"/>
      <c r="NPO54" s="556"/>
      <c r="NPP54" s="556"/>
      <c r="NPQ54" s="556"/>
      <c r="NPR54" s="556"/>
      <c r="NPS54" s="556"/>
      <c r="NPT54" s="556"/>
      <c r="NPU54" s="556"/>
      <c r="NPV54" s="556"/>
      <c r="NPW54" s="556"/>
      <c r="NPX54" s="556"/>
      <c r="NPY54" s="556"/>
      <c r="NPZ54" s="556"/>
      <c r="NQA54" s="556"/>
      <c r="NQB54" s="556"/>
      <c r="NQC54" s="556"/>
      <c r="NQD54" s="556"/>
      <c r="NQE54" s="556"/>
      <c r="NQF54" s="556"/>
      <c r="NQG54" s="556"/>
      <c r="NQH54" s="556"/>
      <c r="NQI54" s="556"/>
      <c r="NQJ54" s="556"/>
      <c r="NQK54" s="556"/>
      <c r="NQL54" s="556"/>
      <c r="NQM54" s="556"/>
      <c r="NQN54" s="556"/>
      <c r="NQO54" s="556"/>
      <c r="NQP54" s="556"/>
      <c r="NQQ54" s="556"/>
      <c r="NQR54" s="556"/>
      <c r="NQS54" s="556"/>
      <c r="NQT54" s="556"/>
      <c r="NQU54" s="556"/>
      <c r="NQV54" s="556"/>
      <c r="NQW54" s="556"/>
      <c r="NQX54" s="556"/>
      <c r="NQY54" s="556"/>
      <c r="NQZ54" s="556"/>
      <c r="NRA54" s="556"/>
      <c r="NRB54" s="556"/>
      <c r="NRC54" s="556"/>
      <c r="NRD54" s="556"/>
      <c r="NRE54" s="556"/>
      <c r="NRF54" s="556"/>
      <c r="NRG54" s="556"/>
      <c r="NRH54" s="556"/>
      <c r="NRI54" s="556"/>
      <c r="NRJ54" s="556"/>
      <c r="NRK54" s="556"/>
      <c r="NRL54" s="556"/>
      <c r="NRM54" s="556"/>
      <c r="NRN54" s="556"/>
      <c r="NRO54" s="556"/>
      <c r="NRP54" s="556"/>
      <c r="NRQ54" s="556"/>
      <c r="NRR54" s="556"/>
      <c r="NRS54" s="556"/>
      <c r="NRT54" s="556"/>
      <c r="NRU54" s="556"/>
      <c r="NRV54" s="556"/>
      <c r="NRW54" s="556"/>
      <c r="NRX54" s="556"/>
      <c r="NRY54" s="556"/>
      <c r="NRZ54" s="556"/>
      <c r="NSA54" s="556"/>
      <c r="NSB54" s="556"/>
      <c r="NSC54" s="556"/>
      <c r="NSD54" s="556"/>
      <c r="NSE54" s="556"/>
      <c r="NSF54" s="556"/>
      <c r="NSG54" s="556"/>
      <c r="NSH54" s="556"/>
      <c r="NSI54" s="556"/>
      <c r="NSJ54" s="556"/>
      <c r="NSK54" s="556"/>
      <c r="NSL54" s="556"/>
      <c r="NSM54" s="556"/>
      <c r="NSN54" s="556"/>
      <c r="NSO54" s="556"/>
      <c r="NSP54" s="556"/>
      <c r="NSQ54" s="556"/>
      <c r="NSR54" s="556"/>
      <c r="NSS54" s="556"/>
      <c r="NST54" s="556"/>
      <c r="NSU54" s="556"/>
      <c r="NSV54" s="556"/>
      <c r="NSW54" s="556"/>
      <c r="NSX54" s="556"/>
      <c r="NSY54" s="556"/>
      <c r="NSZ54" s="556"/>
      <c r="NTA54" s="556"/>
      <c r="NTB54" s="556"/>
      <c r="NTC54" s="556"/>
      <c r="NTD54" s="556"/>
      <c r="NTE54" s="556"/>
      <c r="NTF54" s="556"/>
      <c r="NTG54" s="556"/>
      <c r="NTH54" s="556"/>
      <c r="NTI54" s="556"/>
      <c r="NTJ54" s="556"/>
      <c r="NTK54" s="556"/>
      <c r="NTL54" s="556"/>
      <c r="NTM54" s="556"/>
      <c r="NTN54" s="556"/>
      <c r="NTO54" s="556"/>
      <c r="NTP54" s="556"/>
      <c r="NTQ54" s="556"/>
      <c r="NTR54" s="556"/>
      <c r="NTS54" s="556"/>
      <c r="NTT54" s="556"/>
      <c r="NTU54" s="556"/>
      <c r="NTV54" s="556"/>
      <c r="NTW54" s="556"/>
      <c r="NTX54" s="556"/>
      <c r="NTY54" s="556"/>
      <c r="NTZ54" s="556"/>
      <c r="NUA54" s="556"/>
      <c r="NUB54" s="556"/>
      <c r="NUC54" s="556"/>
      <c r="NUD54" s="556"/>
      <c r="NUE54" s="556"/>
      <c r="NUF54" s="556"/>
      <c r="NUG54" s="556"/>
      <c r="NUH54" s="556"/>
      <c r="NUI54" s="556"/>
      <c r="NUJ54" s="556"/>
      <c r="NUK54" s="556"/>
      <c r="NUL54" s="556"/>
      <c r="NUM54" s="556"/>
      <c r="NUN54" s="556"/>
      <c r="NUO54" s="556"/>
      <c r="NUP54" s="556"/>
      <c r="NUQ54" s="556"/>
      <c r="NUR54" s="556"/>
      <c r="NUS54" s="556"/>
      <c r="NUT54" s="556"/>
      <c r="NUU54" s="556"/>
      <c r="NUV54" s="556"/>
      <c r="NUW54" s="556"/>
      <c r="NUX54" s="556"/>
      <c r="NUY54" s="556"/>
      <c r="NUZ54" s="556"/>
      <c r="NVA54" s="556"/>
      <c r="NVB54" s="556"/>
      <c r="NVC54" s="556"/>
      <c r="NVD54" s="556"/>
      <c r="NVE54" s="556"/>
      <c r="NVF54" s="556"/>
      <c r="NVG54" s="556"/>
      <c r="NVH54" s="556"/>
      <c r="NVI54" s="556"/>
      <c r="NVJ54" s="556"/>
      <c r="NVK54" s="556"/>
      <c r="NVL54" s="556"/>
      <c r="NVM54" s="556"/>
      <c r="NVN54" s="556"/>
      <c r="NVO54" s="556"/>
      <c r="NVP54" s="556"/>
      <c r="NVQ54" s="556"/>
      <c r="NVR54" s="556"/>
      <c r="NVS54" s="556"/>
      <c r="NVT54" s="556"/>
      <c r="NVU54" s="556"/>
      <c r="NVV54" s="556"/>
      <c r="NVW54" s="556"/>
      <c r="NVX54" s="556"/>
      <c r="NVY54" s="556"/>
      <c r="NVZ54" s="556"/>
      <c r="NWA54" s="556"/>
      <c r="NWB54" s="556"/>
      <c r="NWC54" s="556"/>
      <c r="NWD54" s="556"/>
      <c r="NWE54" s="556"/>
      <c r="NWF54" s="556"/>
      <c r="NWG54" s="556"/>
      <c r="NWH54" s="556"/>
      <c r="NWI54" s="556"/>
      <c r="NWJ54" s="556"/>
      <c r="NWK54" s="556"/>
      <c r="NWL54" s="556"/>
      <c r="NWM54" s="556"/>
      <c r="NWN54" s="556"/>
      <c r="NWO54" s="556"/>
      <c r="NWP54" s="556"/>
      <c r="NWQ54" s="556"/>
      <c r="NWR54" s="556"/>
      <c r="NWS54" s="556"/>
      <c r="NWT54" s="556"/>
      <c r="NWU54" s="556"/>
      <c r="NWV54" s="556"/>
      <c r="NWW54" s="556"/>
      <c r="NWX54" s="556"/>
      <c r="NWY54" s="556"/>
      <c r="NWZ54" s="556"/>
      <c r="NXA54" s="556"/>
      <c r="NXB54" s="556"/>
      <c r="NXC54" s="556"/>
      <c r="NXD54" s="556"/>
      <c r="NXE54" s="556"/>
      <c r="NXF54" s="556"/>
      <c r="NXG54" s="556"/>
      <c r="NXH54" s="556"/>
      <c r="NXI54" s="556"/>
      <c r="NXJ54" s="556"/>
      <c r="NXK54" s="556"/>
      <c r="NXL54" s="556"/>
      <c r="NXM54" s="556"/>
      <c r="NXN54" s="556"/>
      <c r="NXO54" s="556"/>
      <c r="NXP54" s="556"/>
      <c r="NXQ54" s="556"/>
      <c r="NXR54" s="556"/>
      <c r="NXS54" s="556"/>
      <c r="NXT54" s="556"/>
      <c r="NXU54" s="556"/>
      <c r="NXV54" s="556"/>
      <c r="NXW54" s="556"/>
      <c r="NXX54" s="556"/>
      <c r="NXY54" s="556"/>
      <c r="NXZ54" s="556"/>
      <c r="NYA54" s="556"/>
      <c r="NYB54" s="556"/>
      <c r="NYC54" s="556"/>
      <c r="NYD54" s="556"/>
      <c r="NYE54" s="556"/>
      <c r="NYF54" s="556"/>
      <c r="NYG54" s="556"/>
      <c r="NYH54" s="556"/>
      <c r="NYI54" s="556"/>
      <c r="NYJ54" s="556"/>
      <c r="NYK54" s="556"/>
      <c r="NYL54" s="556"/>
      <c r="NYM54" s="556"/>
      <c r="NYN54" s="556"/>
      <c r="NYO54" s="556"/>
      <c r="NYP54" s="556"/>
      <c r="NYQ54" s="556"/>
      <c r="NYR54" s="556"/>
      <c r="NYS54" s="556"/>
      <c r="NYT54" s="556"/>
      <c r="NYU54" s="556"/>
      <c r="NYV54" s="556"/>
      <c r="NYW54" s="556"/>
      <c r="NYX54" s="556"/>
      <c r="NYY54" s="556"/>
      <c r="NYZ54" s="556"/>
      <c r="NZA54" s="556"/>
      <c r="NZB54" s="556"/>
      <c r="NZC54" s="556"/>
      <c r="NZD54" s="556"/>
      <c r="NZE54" s="556"/>
      <c r="NZF54" s="556"/>
      <c r="NZG54" s="556"/>
      <c r="NZH54" s="556"/>
      <c r="NZI54" s="556"/>
      <c r="NZJ54" s="556"/>
      <c r="NZK54" s="556"/>
      <c r="NZL54" s="556"/>
      <c r="NZM54" s="556"/>
      <c r="NZN54" s="556"/>
      <c r="NZO54" s="556"/>
      <c r="NZP54" s="556"/>
      <c r="NZQ54" s="556"/>
      <c r="NZR54" s="556"/>
      <c r="NZS54" s="556"/>
      <c r="NZT54" s="556"/>
      <c r="NZU54" s="556"/>
      <c r="NZV54" s="556"/>
      <c r="NZW54" s="556"/>
      <c r="NZX54" s="556"/>
      <c r="NZY54" s="556"/>
      <c r="NZZ54" s="556"/>
      <c r="OAA54" s="556"/>
      <c r="OAB54" s="556"/>
      <c r="OAC54" s="556"/>
      <c r="OAD54" s="556"/>
      <c r="OAE54" s="556"/>
      <c r="OAF54" s="556"/>
      <c r="OAG54" s="556"/>
      <c r="OAH54" s="556"/>
      <c r="OAI54" s="556"/>
      <c r="OAJ54" s="556"/>
      <c r="OAK54" s="556"/>
      <c r="OAL54" s="556"/>
      <c r="OAM54" s="556"/>
      <c r="OAN54" s="556"/>
      <c r="OAO54" s="556"/>
      <c r="OAP54" s="556"/>
      <c r="OAQ54" s="556"/>
      <c r="OAR54" s="556"/>
      <c r="OAS54" s="556"/>
      <c r="OAT54" s="556"/>
      <c r="OAU54" s="556"/>
      <c r="OAV54" s="556"/>
      <c r="OAW54" s="556"/>
      <c r="OAX54" s="556"/>
      <c r="OAY54" s="556"/>
      <c r="OAZ54" s="556"/>
      <c r="OBA54" s="556"/>
      <c r="OBB54" s="556"/>
      <c r="OBC54" s="556"/>
      <c r="OBD54" s="556"/>
      <c r="OBE54" s="556"/>
      <c r="OBF54" s="556"/>
      <c r="OBG54" s="556"/>
      <c r="OBH54" s="556"/>
      <c r="OBI54" s="556"/>
      <c r="OBJ54" s="556"/>
      <c r="OBK54" s="556"/>
      <c r="OBL54" s="556"/>
      <c r="OBM54" s="556"/>
      <c r="OBN54" s="556"/>
      <c r="OBO54" s="556"/>
      <c r="OBP54" s="556"/>
      <c r="OBQ54" s="556"/>
      <c r="OBR54" s="556"/>
      <c r="OBS54" s="556"/>
      <c r="OBT54" s="556"/>
      <c r="OBU54" s="556"/>
      <c r="OBV54" s="556"/>
      <c r="OBW54" s="556"/>
      <c r="OBX54" s="556"/>
      <c r="OBY54" s="556"/>
      <c r="OBZ54" s="556"/>
      <c r="OCA54" s="556"/>
      <c r="OCB54" s="556"/>
      <c r="OCC54" s="556"/>
      <c r="OCD54" s="556"/>
      <c r="OCE54" s="556"/>
      <c r="OCF54" s="556"/>
      <c r="OCG54" s="556"/>
      <c r="OCH54" s="556"/>
      <c r="OCI54" s="556"/>
      <c r="OCJ54" s="556"/>
      <c r="OCK54" s="556"/>
      <c r="OCL54" s="556"/>
      <c r="OCM54" s="556"/>
      <c r="OCN54" s="556"/>
      <c r="OCO54" s="556"/>
      <c r="OCP54" s="556"/>
      <c r="OCQ54" s="556"/>
      <c r="OCR54" s="556"/>
      <c r="OCS54" s="556"/>
      <c r="OCT54" s="556"/>
      <c r="OCU54" s="556"/>
      <c r="OCV54" s="556"/>
      <c r="OCW54" s="556"/>
      <c r="OCX54" s="556"/>
      <c r="OCY54" s="556"/>
      <c r="OCZ54" s="556"/>
      <c r="ODA54" s="556"/>
      <c r="ODB54" s="556"/>
      <c r="ODC54" s="556"/>
      <c r="ODD54" s="556"/>
      <c r="ODE54" s="556"/>
      <c r="ODF54" s="556"/>
      <c r="ODG54" s="556"/>
      <c r="ODH54" s="556"/>
      <c r="ODI54" s="556"/>
      <c r="ODJ54" s="556"/>
      <c r="ODK54" s="556"/>
      <c r="ODL54" s="556"/>
      <c r="ODM54" s="556"/>
      <c r="ODN54" s="556"/>
      <c r="ODO54" s="556"/>
      <c r="ODP54" s="556"/>
      <c r="ODQ54" s="556"/>
      <c r="ODR54" s="556"/>
      <c r="ODS54" s="556"/>
      <c r="ODT54" s="556"/>
      <c r="ODU54" s="556"/>
      <c r="ODV54" s="556"/>
      <c r="ODW54" s="556"/>
      <c r="ODX54" s="556"/>
      <c r="ODY54" s="556"/>
      <c r="ODZ54" s="556"/>
      <c r="OEA54" s="556"/>
      <c r="OEB54" s="556"/>
      <c r="OEC54" s="556"/>
      <c r="OED54" s="556"/>
      <c r="OEE54" s="556"/>
      <c r="OEF54" s="556"/>
      <c r="OEG54" s="556"/>
      <c r="OEH54" s="556"/>
      <c r="OEI54" s="556"/>
      <c r="OEJ54" s="556"/>
      <c r="OEK54" s="556"/>
      <c r="OEL54" s="556"/>
      <c r="OEM54" s="556"/>
      <c r="OEN54" s="556"/>
      <c r="OEO54" s="556"/>
      <c r="OEP54" s="556"/>
      <c r="OEQ54" s="556"/>
      <c r="OER54" s="556"/>
      <c r="OES54" s="556"/>
      <c r="OET54" s="556"/>
      <c r="OEU54" s="556"/>
      <c r="OEV54" s="556"/>
      <c r="OEW54" s="556"/>
      <c r="OEX54" s="556"/>
      <c r="OEY54" s="556"/>
      <c r="OEZ54" s="556"/>
      <c r="OFA54" s="556"/>
      <c r="OFB54" s="556"/>
      <c r="OFC54" s="556"/>
      <c r="OFD54" s="556"/>
      <c r="OFE54" s="556"/>
      <c r="OFF54" s="556"/>
      <c r="OFG54" s="556"/>
      <c r="OFH54" s="556"/>
      <c r="OFI54" s="556"/>
      <c r="OFJ54" s="556"/>
      <c r="OFK54" s="556"/>
      <c r="OFL54" s="556"/>
      <c r="OFM54" s="556"/>
      <c r="OFN54" s="556"/>
      <c r="OFO54" s="556"/>
      <c r="OFP54" s="556"/>
      <c r="OFQ54" s="556"/>
      <c r="OFR54" s="556"/>
      <c r="OFS54" s="556"/>
      <c r="OFT54" s="556"/>
      <c r="OFU54" s="556"/>
      <c r="OFV54" s="556"/>
      <c r="OFW54" s="556"/>
      <c r="OFX54" s="556"/>
      <c r="OFY54" s="556"/>
      <c r="OFZ54" s="556"/>
      <c r="OGA54" s="556"/>
      <c r="OGB54" s="556"/>
      <c r="OGC54" s="556"/>
      <c r="OGD54" s="556"/>
      <c r="OGE54" s="556"/>
      <c r="OGF54" s="556"/>
      <c r="OGG54" s="556"/>
      <c r="OGH54" s="556"/>
      <c r="OGI54" s="556"/>
      <c r="OGJ54" s="556"/>
      <c r="OGK54" s="556"/>
      <c r="OGL54" s="556"/>
      <c r="OGM54" s="556"/>
      <c r="OGN54" s="556"/>
      <c r="OGO54" s="556"/>
      <c r="OGP54" s="556"/>
      <c r="OGQ54" s="556"/>
      <c r="OGR54" s="556"/>
      <c r="OGS54" s="556"/>
      <c r="OGT54" s="556"/>
      <c r="OGU54" s="556"/>
      <c r="OGV54" s="556"/>
      <c r="OGW54" s="556"/>
      <c r="OGX54" s="556"/>
      <c r="OGY54" s="556"/>
      <c r="OGZ54" s="556"/>
      <c r="OHA54" s="556"/>
      <c r="OHB54" s="556"/>
      <c r="OHC54" s="556"/>
      <c r="OHD54" s="556"/>
      <c r="OHE54" s="556"/>
      <c r="OHF54" s="556"/>
      <c r="OHG54" s="556"/>
      <c r="OHH54" s="556"/>
      <c r="OHI54" s="556"/>
      <c r="OHJ54" s="556"/>
      <c r="OHK54" s="556"/>
      <c r="OHL54" s="556"/>
      <c r="OHM54" s="556"/>
      <c r="OHN54" s="556"/>
      <c r="OHO54" s="556"/>
      <c r="OHP54" s="556"/>
      <c r="OHQ54" s="556"/>
      <c r="OHR54" s="556"/>
      <c r="OHS54" s="556"/>
      <c r="OHT54" s="556"/>
      <c r="OHU54" s="556"/>
      <c r="OHV54" s="556"/>
      <c r="OHW54" s="556"/>
      <c r="OHX54" s="556"/>
      <c r="OHY54" s="556"/>
      <c r="OHZ54" s="556"/>
      <c r="OIA54" s="556"/>
      <c r="OIB54" s="556"/>
      <c r="OIC54" s="556"/>
      <c r="OID54" s="556"/>
      <c r="OIE54" s="556"/>
      <c r="OIF54" s="556"/>
      <c r="OIG54" s="556"/>
      <c r="OIH54" s="556"/>
      <c r="OII54" s="556"/>
      <c r="OIJ54" s="556"/>
      <c r="OIK54" s="556"/>
      <c r="OIL54" s="556"/>
      <c r="OIM54" s="556"/>
      <c r="OIN54" s="556"/>
      <c r="OIO54" s="556"/>
      <c r="OIP54" s="556"/>
      <c r="OIQ54" s="556"/>
      <c r="OIR54" s="556"/>
      <c r="OIS54" s="556"/>
      <c r="OIT54" s="556"/>
      <c r="OIU54" s="556"/>
      <c r="OIV54" s="556"/>
      <c r="OIW54" s="556"/>
      <c r="OIX54" s="556"/>
      <c r="OIY54" s="556"/>
      <c r="OIZ54" s="556"/>
      <c r="OJA54" s="556"/>
      <c r="OJB54" s="556"/>
      <c r="OJC54" s="556"/>
      <c r="OJD54" s="556"/>
      <c r="OJE54" s="556"/>
      <c r="OJF54" s="556"/>
      <c r="OJG54" s="556"/>
      <c r="OJH54" s="556"/>
      <c r="OJI54" s="556"/>
      <c r="OJJ54" s="556"/>
      <c r="OJK54" s="556"/>
      <c r="OJL54" s="556"/>
      <c r="OJM54" s="556"/>
      <c r="OJN54" s="556"/>
      <c r="OJO54" s="556"/>
      <c r="OJP54" s="556"/>
      <c r="OJQ54" s="556"/>
      <c r="OJR54" s="556"/>
      <c r="OJS54" s="556"/>
      <c r="OJT54" s="556"/>
      <c r="OJU54" s="556"/>
      <c r="OJV54" s="556"/>
      <c r="OJW54" s="556"/>
      <c r="OJX54" s="556"/>
      <c r="OJY54" s="556"/>
      <c r="OJZ54" s="556"/>
      <c r="OKA54" s="556"/>
      <c r="OKB54" s="556"/>
      <c r="OKC54" s="556"/>
      <c r="OKD54" s="556"/>
      <c r="OKE54" s="556"/>
      <c r="OKF54" s="556"/>
      <c r="OKG54" s="556"/>
      <c r="OKH54" s="556"/>
      <c r="OKI54" s="556"/>
      <c r="OKJ54" s="556"/>
      <c r="OKK54" s="556"/>
      <c r="OKL54" s="556"/>
      <c r="OKM54" s="556"/>
      <c r="OKN54" s="556"/>
      <c r="OKO54" s="556"/>
      <c r="OKP54" s="556"/>
      <c r="OKQ54" s="556"/>
      <c r="OKR54" s="556"/>
      <c r="OKS54" s="556"/>
      <c r="OKT54" s="556"/>
      <c r="OKU54" s="556"/>
      <c r="OKV54" s="556"/>
      <c r="OKW54" s="556"/>
      <c r="OKX54" s="556"/>
      <c r="OKY54" s="556"/>
      <c r="OKZ54" s="556"/>
      <c r="OLA54" s="556"/>
      <c r="OLB54" s="556"/>
      <c r="OLC54" s="556"/>
      <c r="OLD54" s="556"/>
      <c r="OLE54" s="556"/>
      <c r="OLF54" s="556"/>
      <c r="OLG54" s="556"/>
      <c r="OLH54" s="556"/>
      <c r="OLI54" s="556"/>
      <c r="OLJ54" s="556"/>
      <c r="OLK54" s="556"/>
      <c r="OLL54" s="556"/>
      <c r="OLM54" s="556"/>
      <c r="OLN54" s="556"/>
      <c r="OLO54" s="556"/>
      <c r="OLP54" s="556"/>
      <c r="OLQ54" s="556"/>
      <c r="OLR54" s="556"/>
      <c r="OLS54" s="556"/>
      <c r="OLT54" s="556"/>
      <c r="OLU54" s="556"/>
      <c r="OLV54" s="556"/>
      <c r="OLW54" s="556"/>
      <c r="OLX54" s="556"/>
      <c r="OLY54" s="556"/>
      <c r="OLZ54" s="556"/>
      <c r="OMA54" s="556"/>
      <c r="OMB54" s="556"/>
      <c r="OMC54" s="556"/>
      <c r="OMD54" s="556"/>
      <c r="OME54" s="556"/>
      <c r="OMF54" s="556"/>
      <c r="OMG54" s="556"/>
      <c r="OMH54" s="556"/>
      <c r="OMI54" s="556"/>
      <c r="OMJ54" s="556"/>
      <c r="OMK54" s="556"/>
      <c r="OML54" s="556"/>
      <c r="OMM54" s="556"/>
      <c r="OMN54" s="556"/>
      <c r="OMO54" s="556"/>
      <c r="OMP54" s="556"/>
      <c r="OMQ54" s="556"/>
      <c r="OMR54" s="556"/>
      <c r="OMS54" s="556"/>
      <c r="OMT54" s="556"/>
      <c r="OMU54" s="556"/>
      <c r="OMV54" s="556"/>
      <c r="OMW54" s="556"/>
      <c r="OMX54" s="556"/>
      <c r="OMY54" s="556"/>
      <c r="OMZ54" s="556"/>
      <c r="ONA54" s="556"/>
      <c r="ONB54" s="556"/>
      <c r="ONC54" s="556"/>
      <c r="OND54" s="556"/>
      <c r="ONE54" s="556"/>
      <c r="ONF54" s="556"/>
      <c r="ONG54" s="556"/>
      <c r="ONH54" s="556"/>
      <c r="ONI54" s="556"/>
      <c r="ONJ54" s="556"/>
      <c r="ONK54" s="556"/>
      <c r="ONL54" s="556"/>
      <c r="ONM54" s="556"/>
      <c r="ONN54" s="556"/>
      <c r="ONO54" s="556"/>
      <c r="ONP54" s="556"/>
      <c r="ONQ54" s="556"/>
      <c r="ONR54" s="556"/>
      <c r="ONS54" s="556"/>
      <c r="ONT54" s="556"/>
      <c r="ONU54" s="556"/>
      <c r="ONV54" s="556"/>
      <c r="ONW54" s="556"/>
      <c r="ONX54" s="556"/>
      <c r="ONY54" s="556"/>
      <c r="ONZ54" s="556"/>
      <c r="OOA54" s="556"/>
      <c r="OOB54" s="556"/>
      <c r="OOC54" s="556"/>
      <c r="OOD54" s="556"/>
      <c r="OOE54" s="556"/>
      <c r="OOF54" s="556"/>
      <c r="OOG54" s="556"/>
      <c r="OOH54" s="556"/>
      <c r="OOI54" s="556"/>
      <c r="OOJ54" s="556"/>
      <c r="OOK54" s="556"/>
      <c r="OOL54" s="556"/>
      <c r="OOM54" s="556"/>
      <c r="OON54" s="556"/>
      <c r="OOO54" s="556"/>
      <c r="OOP54" s="556"/>
      <c r="OOQ54" s="556"/>
      <c r="OOR54" s="556"/>
      <c r="OOS54" s="556"/>
      <c r="OOT54" s="556"/>
      <c r="OOU54" s="556"/>
      <c r="OOV54" s="556"/>
      <c r="OOW54" s="556"/>
      <c r="OOX54" s="556"/>
      <c r="OOY54" s="556"/>
      <c r="OOZ54" s="556"/>
      <c r="OPA54" s="556"/>
      <c r="OPB54" s="556"/>
      <c r="OPC54" s="556"/>
      <c r="OPD54" s="556"/>
      <c r="OPE54" s="556"/>
      <c r="OPF54" s="556"/>
      <c r="OPG54" s="556"/>
      <c r="OPH54" s="556"/>
      <c r="OPI54" s="556"/>
      <c r="OPJ54" s="556"/>
      <c r="OPK54" s="556"/>
      <c r="OPL54" s="556"/>
      <c r="OPM54" s="556"/>
      <c r="OPN54" s="556"/>
      <c r="OPO54" s="556"/>
      <c r="OPP54" s="556"/>
      <c r="OPQ54" s="556"/>
      <c r="OPR54" s="556"/>
      <c r="OPS54" s="556"/>
      <c r="OPT54" s="556"/>
      <c r="OPU54" s="556"/>
      <c r="OPV54" s="556"/>
      <c r="OPW54" s="556"/>
      <c r="OPX54" s="556"/>
      <c r="OPY54" s="556"/>
      <c r="OPZ54" s="556"/>
      <c r="OQA54" s="556"/>
      <c r="OQB54" s="556"/>
      <c r="OQC54" s="556"/>
      <c r="OQD54" s="556"/>
      <c r="OQE54" s="556"/>
      <c r="OQF54" s="556"/>
      <c r="OQG54" s="556"/>
      <c r="OQH54" s="556"/>
      <c r="OQI54" s="556"/>
      <c r="OQJ54" s="556"/>
      <c r="OQK54" s="556"/>
      <c r="OQL54" s="556"/>
      <c r="OQM54" s="556"/>
      <c r="OQN54" s="556"/>
      <c r="OQO54" s="556"/>
      <c r="OQP54" s="556"/>
      <c r="OQQ54" s="556"/>
      <c r="OQR54" s="556"/>
      <c r="OQS54" s="556"/>
      <c r="OQT54" s="556"/>
      <c r="OQU54" s="556"/>
      <c r="OQV54" s="556"/>
      <c r="OQW54" s="556"/>
      <c r="OQX54" s="556"/>
      <c r="OQY54" s="556"/>
      <c r="OQZ54" s="556"/>
      <c r="ORA54" s="556"/>
      <c r="ORB54" s="556"/>
      <c r="ORC54" s="556"/>
      <c r="ORD54" s="556"/>
      <c r="ORE54" s="556"/>
      <c r="ORF54" s="556"/>
      <c r="ORG54" s="556"/>
      <c r="ORH54" s="556"/>
      <c r="ORI54" s="556"/>
      <c r="ORJ54" s="556"/>
      <c r="ORK54" s="556"/>
      <c r="ORL54" s="556"/>
      <c r="ORM54" s="556"/>
      <c r="ORN54" s="556"/>
      <c r="ORO54" s="556"/>
      <c r="ORP54" s="556"/>
      <c r="ORQ54" s="556"/>
      <c r="ORR54" s="556"/>
      <c r="ORS54" s="556"/>
      <c r="ORT54" s="556"/>
      <c r="ORU54" s="556"/>
      <c r="ORV54" s="556"/>
      <c r="ORW54" s="556"/>
      <c r="ORX54" s="556"/>
      <c r="ORY54" s="556"/>
      <c r="ORZ54" s="556"/>
      <c r="OSA54" s="556"/>
      <c r="OSB54" s="556"/>
      <c r="OSC54" s="556"/>
      <c r="OSD54" s="556"/>
      <c r="OSE54" s="556"/>
      <c r="OSF54" s="556"/>
      <c r="OSG54" s="556"/>
      <c r="OSH54" s="556"/>
      <c r="OSI54" s="556"/>
      <c r="OSJ54" s="556"/>
      <c r="OSK54" s="556"/>
      <c r="OSL54" s="556"/>
      <c r="OSM54" s="556"/>
      <c r="OSN54" s="556"/>
      <c r="OSO54" s="556"/>
      <c r="OSP54" s="556"/>
      <c r="OSQ54" s="556"/>
      <c r="OSR54" s="556"/>
      <c r="OSS54" s="556"/>
      <c r="OST54" s="556"/>
      <c r="OSU54" s="556"/>
      <c r="OSV54" s="556"/>
      <c r="OSW54" s="556"/>
      <c r="OSX54" s="556"/>
      <c r="OSY54" s="556"/>
      <c r="OSZ54" s="556"/>
      <c r="OTA54" s="556"/>
      <c r="OTB54" s="556"/>
      <c r="OTC54" s="556"/>
      <c r="OTD54" s="556"/>
      <c r="OTE54" s="556"/>
      <c r="OTF54" s="556"/>
      <c r="OTG54" s="556"/>
      <c r="OTH54" s="556"/>
      <c r="OTI54" s="556"/>
      <c r="OTJ54" s="556"/>
      <c r="OTK54" s="556"/>
      <c r="OTL54" s="556"/>
      <c r="OTM54" s="556"/>
      <c r="OTN54" s="556"/>
      <c r="OTO54" s="556"/>
      <c r="OTP54" s="556"/>
      <c r="OTQ54" s="556"/>
      <c r="OTR54" s="556"/>
      <c r="OTS54" s="556"/>
      <c r="OTT54" s="556"/>
      <c r="OTU54" s="556"/>
      <c r="OTV54" s="556"/>
      <c r="OTW54" s="556"/>
      <c r="OTX54" s="556"/>
      <c r="OTY54" s="556"/>
      <c r="OTZ54" s="556"/>
      <c r="OUA54" s="556"/>
      <c r="OUB54" s="556"/>
      <c r="OUC54" s="556"/>
      <c r="OUD54" s="556"/>
      <c r="OUE54" s="556"/>
      <c r="OUF54" s="556"/>
      <c r="OUG54" s="556"/>
      <c r="OUH54" s="556"/>
      <c r="OUI54" s="556"/>
      <c r="OUJ54" s="556"/>
      <c r="OUK54" s="556"/>
      <c r="OUL54" s="556"/>
      <c r="OUM54" s="556"/>
      <c r="OUN54" s="556"/>
      <c r="OUO54" s="556"/>
      <c r="OUP54" s="556"/>
      <c r="OUQ54" s="556"/>
      <c r="OUR54" s="556"/>
      <c r="OUS54" s="556"/>
      <c r="OUT54" s="556"/>
      <c r="OUU54" s="556"/>
      <c r="OUV54" s="556"/>
      <c r="OUW54" s="556"/>
      <c r="OUX54" s="556"/>
      <c r="OUY54" s="556"/>
      <c r="OUZ54" s="556"/>
      <c r="OVA54" s="556"/>
      <c r="OVB54" s="556"/>
      <c r="OVC54" s="556"/>
      <c r="OVD54" s="556"/>
      <c r="OVE54" s="556"/>
      <c r="OVF54" s="556"/>
      <c r="OVG54" s="556"/>
      <c r="OVH54" s="556"/>
      <c r="OVI54" s="556"/>
      <c r="OVJ54" s="556"/>
      <c r="OVK54" s="556"/>
      <c r="OVL54" s="556"/>
      <c r="OVM54" s="556"/>
      <c r="OVN54" s="556"/>
      <c r="OVO54" s="556"/>
      <c r="OVP54" s="556"/>
      <c r="OVQ54" s="556"/>
      <c r="OVR54" s="556"/>
      <c r="OVS54" s="556"/>
      <c r="OVT54" s="556"/>
      <c r="OVU54" s="556"/>
      <c r="OVV54" s="556"/>
      <c r="OVW54" s="556"/>
      <c r="OVX54" s="556"/>
      <c r="OVY54" s="556"/>
      <c r="OVZ54" s="556"/>
      <c r="OWA54" s="556"/>
      <c r="OWB54" s="556"/>
      <c r="OWC54" s="556"/>
      <c r="OWD54" s="556"/>
      <c r="OWE54" s="556"/>
      <c r="OWF54" s="556"/>
      <c r="OWG54" s="556"/>
      <c r="OWH54" s="556"/>
      <c r="OWI54" s="556"/>
      <c r="OWJ54" s="556"/>
      <c r="OWK54" s="556"/>
      <c r="OWL54" s="556"/>
      <c r="OWM54" s="556"/>
      <c r="OWN54" s="556"/>
      <c r="OWO54" s="556"/>
      <c r="OWP54" s="556"/>
      <c r="OWQ54" s="556"/>
      <c r="OWR54" s="556"/>
      <c r="OWS54" s="556"/>
      <c r="OWT54" s="556"/>
      <c r="OWU54" s="556"/>
      <c r="OWV54" s="556"/>
      <c r="OWW54" s="556"/>
      <c r="OWX54" s="556"/>
      <c r="OWY54" s="556"/>
      <c r="OWZ54" s="556"/>
      <c r="OXA54" s="556"/>
      <c r="OXB54" s="556"/>
      <c r="OXC54" s="556"/>
      <c r="OXD54" s="556"/>
      <c r="OXE54" s="556"/>
      <c r="OXF54" s="556"/>
      <c r="OXG54" s="556"/>
      <c r="OXH54" s="556"/>
      <c r="OXI54" s="556"/>
      <c r="OXJ54" s="556"/>
      <c r="OXK54" s="556"/>
      <c r="OXL54" s="556"/>
      <c r="OXM54" s="556"/>
      <c r="OXN54" s="556"/>
      <c r="OXO54" s="556"/>
      <c r="OXP54" s="556"/>
      <c r="OXQ54" s="556"/>
      <c r="OXR54" s="556"/>
      <c r="OXS54" s="556"/>
      <c r="OXT54" s="556"/>
      <c r="OXU54" s="556"/>
      <c r="OXV54" s="556"/>
      <c r="OXW54" s="556"/>
      <c r="OXX54" s="556"/>
      <c r="OXY54" s="556"/>
      <c r="OXZ54" s="556"/>
      <c r="OYA54" s="556"/>
      <c r="OYB54" s="556"/>
      <c r="OYC54" s="556"/>
      <c r="OYD54" s="556"/>
      <c r="OYE54" s="556"/>
      <c r="OYF54" s="556"/>
      <c r="OYG54" s="556"/>
      <c r="OYH54" s="556"/>
      <c r="OYI54" s="556"/>
      <c r="OYJ54" s="556"/>
      <c r="OYK54" s="556"/>
      <c r="OYL54" s="556"/>
      <c r="OYM54" s="556"/>
      <c r="OYN54" s="556"/>
      <c r="OYO54" s="556"/>
      <c r="OYP54" s="556"/>
      <c r="OYQ54" s="556"/>
      <c r="OYR54" s="556"/>
      <c r="OYS54" s="556"/>
      <c r="OYT54" s="556"/>
      <c r="OYU54" s="556"/>
      <c r="OYV54" s="556"/>
      <c r="OYW54" s="556"/>
      <c r="OYX54" s="556"/>
      <c r="OYY54" s="556"/>
      <c r="OYZ54" s="556"/>
      <c r="OZA54" s="556"/>
      <c r="OZB54" s="556"/>
      <c r="OZC54" s="556"/>
      <c r="OZD54" s="556"/>
      <c r="OZE54" s="556"/>
      <c r="OZF54" s="556"/>
      <c r="OZG54" s="556"/>
      <c r="OZH54" s="556"/>
      <c r="OZI54" s="556"/>
      <c r="OZJ54" s="556"/>
      <c r="OZK54" s="556"/>
      <c r="OZL54" s="556"/>
      <c r="OZM54" s="556"/>
      <c r="OZN54" s="556"/>
      <c r="OZO54" s="556"/>
      <c r="OZP54" s="556"/>
      <c r="OZQ54" s="556"/>
      <c r="OZR54" s="556"/>
      <c r="OZS54" s="556"/>
      <c r="OZT54" s="556"/>
      <c r="OZU54" s="556"/>
      <c r="OZV54" s="556"/>
      <c r="OZW54" s="556"/>
      <c r="OZX54" s="556"/>
      <c r="OZY54" s="556"/>
      <c r="OZZ54" s="556"/>
      <c r="PAA54" s="556"/>
      <c r="PAB54" s="556"/>
      <c r="PAC54" s="556"/>
      <c r="PAD54" s="556"/>
      <c r="PAE54" s="556"/>
      <c r="PAF54" s="556"/>
      <c r="PAG54" s="556"/>
      <c r="PAH54" s="556"/>
      <c r="PAI54" s="556"/>
      <c r="PAJ54" s="556"/>
      <c r="PAK54" s="556"/>
      <c r="PAL54" s="556"/>
      <c r="PAM54" s="556"/>
      <c r="PAN54" s="556"/>
      <c r="PAO54" s="556"/>
      <c r="PAP54" s="556"/>
      <c r="PAQ54" s="556"/>
      <c r="PAR54" s="556"/>
      <c r="PAS54" s="556"/>
      <c r="PAT54" s="556"/>
      <c r="PAU54" s="556"/>
      <c r="PAV54" s="556"/>
      <c r="PAW54" s="556"/>
      <c r="PAX54" s="556"/>
      <c r="PAY54" s="556"/>
      <c r="PAZ54" s="556"/>
      <c r="PBA54" s="556"/>
      <c r="PBB54" s="556"/>
      <c r="PBC54" s="556"/>
      <c r="PBD54" s="556"/>
      <c r="PBE54" s="556"/>
      <c r="PBF54" s="556"/>
      <c r="PBG54" s="556"/>
      <c r="PBH54" s="556"/>
      <c r="PBI54" s="556"/>
      <c r="PBJ54" s="556"/>
      <c r="PBK54" s="556"/>
      <c r="PBL54" s="556"/>
      <c r="PBM54" s="556"/>
      <c r="PBN54" s="556"/>
      <c r="PBO54" s="556"/>
      <c r="PBP54" s="556"/>
      <c r="PBQ54" s="556"/>
      <c r="PBR54" s="556"/>
      <c r="PBS54" s="556"/>
      <c r="PBT54" s="556"/>
      <c r="PBU54" s="556"/>
      <c r="PBV54" s="556"/>
      <c r="PBW54" s="556"/>
      <c r="PBX54" s="556"/>
      <c r="PBY54" s="556"/>
      <c r="PBZ54" s="556"/>
      <c r="PCA54" s="556"/>
      <c r="PCB54" s="556"/>
      <c r="PCC54" s="556"/>
      <c r="PCD54" s="556"/>
      <c r="PCE54" s="556"/>
      <c r="PCF54" s="556"/>
      <c r="PCG54" s="556"/>
      <c r="PCH54" s="556"/>
      <c r="PCI54" s="556"/>
      <c r="PCJ54" s="556"/>
      <c r="PCK54" s="556"/>
      <c r="PCL54" s="556"/>
      <c r="PCM54" s="556"/>
      <c r="PCN54" s="556"/>
      <c r="PCO54" s="556"/>
      <c r="PCP54" s="556"/>
      <c r="PCQ54" s="556"/>
      <c r="PCR54" s="556"/>
      <c r="PCS54" s="556"/>
      <c r="PCT54" s="556"/>
      <c r="PCU54" s="556"/>
      <c r="PCV54" s="556"/>
      <c r="PCW54" s="556"/>
      <c r="PCX54" s="556"/>
      <c r="PCY54" s="556"/>
      <c r="PCZ54" s="556"/>
      <c r="PDA54" s="556"/>
      <c r="PDB54" s="556"/>
      <c r="PDC54" s="556"/>
      <c r="PDD54" s="556"/>
      <c r="PDE54" s="556"/>
      <c r="PDF54" s="556"/>
      <c r="PDG54" s="556"/>
      <c r="PDH54" s="556"/>
      <c r="PDI54" s="556"/>
      <c r="PDJ54" s="556"/>
      <c r="PDK54" s="556"/>
      <c r="PDL54" s="556"/>
      <c r="PDM54" s="556"/>
      <c r="PDN54" s="556"/>
      <c r="PDO54" s="556"/>
      <c r="PDP54" s="556"/>
      <c r="PDQ54" s="556"/>
      <c r="PDR54" s="556"/>
      <c r="PDS54" s="556"/>
      <c r="PDT54" s="556"/>
      <c r="PDU54" s="556"/>
      <c r="PDV54" s="556"/>
      <c r="PDW54" s="556"/>
      <c r="PDX54" s="556"/>
      <c r="PDY54" s="556"/>
      <c r="PDZ54" s="556"/>
      <c r="PEA54" s="556"/>
      <c r="PEB54" s="556"/>
      <c r="PEC54" s="556"/>
      <c r="PED54" s="556"/>
      <c r="PEE54" s="556"/>
      <c r="PEF54" s="556"/>
      <c r="PEG54" s="556"/>
      <c r="PEH54" s="556"/>
      <c r="PEI54" s="556"/>
      <c r="PEJ54" s="556"/>
      <c r="PEK54" s="556"/>
      <c r="PEL54" s="556"/>
      <c r="PEM54" s="556"/>
      <c r="PEN54" s="556"/>
      <c r="PEO54" s="556"/>
      <c r="PEP54" s="556"/>
      <c r="PEQ54" s="556"/>
      <c r="PER54" s="556"/>
      <c r="PES54" s="556"/>
      <c r="PET54" s="556"/>
      <c r="PEU54" s="556"/>
      <c r="PEV54" s="556"/>
      <c r="PEW54" s="556"/>
      <c r="PEX54" s="556"/>
      <c r="PEY54" s="556"/>
      <c r="PEZ54" s="556"/>
      <c r="PFA54" s="556"/>
      <c r="PFB54" s="556"/>
      <c r="PFC54" s="556"/>
      <c r="PFD54" s="556"/>
      <c r="PFE54" s="556"/>
      <c r="PFF54" s="556"/>
      <c r="PFG54" s="556"/>
      <c r="PFH54" s="556"/>
      <c r="PFI54" s="556"/>
      <c r="PFJ54" s="556"/>
      <c r="PFK54" s="556"/>
      <c r="PFL54" s="556"/>
      <c r="PFM54" s="556"/>
      <c r="PFN54" s="556"/>
      <c r="PFO54" s="556"/>
      <c r="PFP54" s="556"/>
      <c r="PFQ54" s="556"/>
      <c r="PFR54" s="556"/>
      <c r="PFS54" s="556"/>
      <c r="PFT54" s="556"/>
      <c r="PFU54" s="556"/>
      <c r="PFV54" s="556"/>
      <c r="PFW54" s="556"/>
      <c r="PFX54" s="556"/>
      <c r="PFY54" s="556"/>
      <c r="PFZ54" s="556"/>
      <c r="PGA54" s="556"/>
      <c r="PGB54" s="556"/>
      <c r="PGC54" s="556"/>
      <c r="PGD54" s="556"/>
      <c r="PGE54" s="556"/>
      <c r="PGF54" s="556"/>
      <c r="PGG54" s="556"/>
      <c r="PGH54" s="556"/>
      <c r="PGI54" s="556"/>
      <c r="PGJ54" s="556"/>
      <c r="PGK54" s="556"/>
      <c r="PGL54" s="556"/>
      <c r="PGM54" s="556"/>
      <c r="PGN54" s="556"/>
      <c r="PGO54" s="556"/>
      <c r="PGP54" s="556"/>
      <c r="PGQ54" s="556"/>
      <c r="PGR54" s="556"/>
      <c r="PGS54" s="556"/>
      <c r="PGT54" s="556"/>
      <c r="PGU54" s="556"/>
      <c r="PGV54" s="556"/>
      <c r="PGW54" s="556"/>
      <c r="PGX54" s="556"/>
      <c r="PGY54" s="556"/>
      <c r="PGZ54" s="556"/>
      <c r="PHA54" s="556"/>
      <c r="PHB54" s="556"/>
      <c r="PHC54" s="556"/>
      <c r="PHD54" s="556"/>
      <c r="PHE54" s="556"/>
      <c r="PHF54" s="556"/>
      <c r="PHG54" s="556"/>
      <c r="PHH54" s="556"/>
      <c r="PHI54" s="556"/>
      <c r="PHJ54" s="556"/>
      <c r="PHK54" s="556"/>
      <c r="PHL54" s="556"/>
      <c r="PHM54" s="556"/>
      <c r="PHN54" s="556"/>
      <c r="PHO54" s="556"/>
      <c r="PHP54" s="556"/>
      <c r="PHQ54" s="556"/>
      <c r="PHR54" s="556"/>
      <c r="PHS54" s="556"/>
      <c r="PHT54" s="556"/>
      <c r="PHU54" s="556"/>
      <c r="PHV54" s="556"/>
      <c r="PHW54" s="556"/>
      <c r="PHX54" s="556"/>
      <c r="PHY54" s="556"/>
      <c r="PHZ54" s="556"/>
      <c r="PIA54" s="556"/>
      <c r="PIB54" s="556"/>
      <c r="PIC54" s="556"/>
      <c r="PID54" s="556"/>
      <c r="PIE54" s="556"/>
      <c r="PIF54" s="556"/>
      <c r="PIG54" s="556"/>
      <c r="PIH54" s="556"/>
      <c r="PII54" s="556"/>
      <c r="PIJ54" s="556"/>
      <c r="PIK54" s="556"/>
      <c r="PIL54" s="556"/>
      <c r="PIM54" s="556"/>
      <c r="PIN54" s="556"/>
      <c r="PIO54" s="556"/>
      <c r="PIP54" s="556"/>
      <c r="PIQ54" s="556"/>
      <c r="PIR54" s="556"/>
      <c r="PIS54" s="556"/>
      <c r="PIT54" s="556"/>
      <c r="PIU54" s="556"/>
      <c r="PIV54" s="556"/>
      <c r="PIW54" s="556"/>
      <c r="PIX54" s="556"/>
      <c r="PIY54" s="556"/>
      <c r="PIZ54" s="556"/>
      <c r="PJA54" s="556"/>
      <c r="PJB54" s="556"/>
      <c r="PJC54" s="556"/>
      <c r="PJD54" s="556"/>
      <c r="PJE54" s="556"/>
      <c r="PJF54" s="556"/>
      <c r="PJG54" s="556"/>
      <c r="PJH54" s="556"/>
      <c r="PJI54" s="556"/>
      <c r="PJJ54" s="556"/>
      <c r="PJK54" s="556"/>
      <c r="PJL54" s="556"/>
      <c r="PJM54" s="556"/>
      <c r="PJN54" s="556"/>
      <c r="PJO54" s="556"/>
      <c r="PJP54" s="556"/>
      <c r="PJQ54" s="556"/>
      <c r="PJR54" s="556"/>
      <c r="PJS54" s="556"/>
      <c r="PJT54" s="556"/>
      <c r="PJU54" s="556"/>
      <c r="PJV54" s="556"/>
      <c r="PJW54" s="556"/>
      <c r="PJX54" s="556"/>
      <c r="PJY54" s="556"/>
      <c r="PJZ54" s="556"/>
      <c r="PKA54" s="556"/>
      <c r="PKB54" s="556"/>
      <c r="PKC54" s="556"/>
      <c r="PKD54" s="556"/>
      <c r="PKE54" s="556"/>
      <c r="PKF54" s="556"/>
      <c r="PKG54" s="556"/>
      <c r="PKH54" s="556"/>
      <c r="PKI54" s="556"/>
      <c r="PKJ54" s="556"/>
      <c r="PKK54" s="556"/>
      <c r="PKL54" s="556"/>
      <c r="PKM54" s="556"/>
      <c r="PKN54" s="556"/>
      <c r="PKO54" s="556"/>
      <c r="PKP54" s="556"/>
      <c r="PKQ54" s="556"/>
      <c r="PKR54" s="556"/>
      <c r="PKS54" s="556"/>
      <c r="PKT54" s="556"/>
      <c r="PKU54" s="556"/>
      <c r="PKV54" s="556"/>
      <c r="PKW54" s="556"/>
      <c r="PKX54" s="556"/>
      <c r="PKY54" s="556"/>
      <c r="PKZ54" s="556"/>
      <c r="PLA54" s="556"/>
      <c r="PLB54" s="556"/>
      <c r="PLC54" s="556"/>
      <c r="PLD54" s="556"/>
      <c r="PLE54" s="556"/>
      <c r="PLF54" s="556"/>
      <c r="PLG54" s="556"/>
      <c r="PLH54" s="556"/>
      <c r="PLI54" s="556"/>
      <c r="PLJ54" s="556"/>
      <c r="PLK54" s="556"/>
      <c r="PLL54" s="556"/>
      <c r="PLM54" s="556"/>
      <c r="PLN54" s="556"/>
      <c r="PLO54" s="556"/>
      <c r="PLP54" s="556"/>
      <c r="PLQ54" s="556"/>
      <c r="PLR54" s="556"/>
      <c r="PLS54" s="556"/>
      <c r="PLT54" s="556"/>
      <c r="PLU54" s="556"/>
      <c r="PLV54" s="556"/>
      <c r="PLW54" s="556"/>
      <c r="PLX54" s="556"/>
      <c r="PLY54" s="556"/>
      <c r="PLZ54" s="556"/>
      <c r="PMA54" s="556"/>
      <c r="PMB54" s="556"/>
      <c r="PMC54" s="556"/>
      <c r="PMD54" s="556"/>
      <c r="PME54" s="556"/>
      <c r="PMF54" s="556"/>
      <c r="PMG54" s="556"/>
      <c r="PMH54" s="556"/>
      <c r="PMI54" s="556"/>
      <c r="PMJ54" s="556"/>
      <c r="PMK54" s="556"/>
      <c r="PML54" s="556"/>
      <c r="PMM54" s="556"/>
      <c r="PMN54" s="556"/>
      <c r="PMO54" s="556"/>
      <c r="PMP54" s="556"/>
      <c r="PMQ54" s="556"/>
      <c r="PMR54" s="556"/>
      <c r="PMS54" s="556"/>
      <c r="PMT54" s="556"/>
      <c r="PMU54" s="556"/>
      <c r="PMV54" s="556"/>
      <c r="PMW54" s="556"/>
      <c r="PMX54" s="556"/>
      <c r="PMY54" s="556"/>
      <c r="PMZ54" s="556"/>
      <c r="PNA54" s="556"/>
      <c r="PNB54" s="556"/>
      <c r="PNC54" s="556"/>
      <c r="PND54" s="556"/>
      <c r="PNE54" s="556"/>
      <c r="PNF54" s="556"/>
      <c r="PNG54" s="556"/>
      <c r="PNH54" s="556"/>
      <c r="PNI54" s="556"/>
      <c r="PNJ54" s="556"/>
      <c r="PNK54" s="556"/>
      <c r="PNL54" s="556"/>
      <c r="PNM54" s="556"/>
      <c r="PNN54" s="556"/>
      <c r="PNO54" s="556"/>
      <c r="PNP54" s="556"/>
      <c r="PNQ54" s="556"/>
      <c r="PNR54" s="556"/>
      <c r="PNS54" s="556"/>
      <c r="PNT54" s="556"/>
      <c r="PNU54" s="556"/>
      <c r="PNV54" s="556"/>
      <c r="PNW54" s="556"/>
      <c r="PNX54" s="556"/>
      <c r="PNY54" s="556"/>
      <c r="PNZ54" s="556"/>
      <c r="POA54" s="556"/>
      <c r="POB54" s="556"/>
      <c r="POC54" s="556"/>
      <c r="POD54" s="556"/>
      <c r="POE54" s="556"/>
      <c r="POF54" s="556"/>
      <c r="POG54" s="556"/>
      <c r="POH54" s="556"/>
      <c r="POI54" s="556"/>
      <c r="POJ54" s="556"/>
      <c r="POK54" s="556"/>
      <c r="POL54" s="556"/>
      <c r="POM54" s="556"/>
      <c r="PON54" s="556"/>
      <c r="POO54" s="556"/>
      <c r="POP54" s="556"/>
      <c r="POQ54" s="556"/>
      <c r="POR54" s="556"/>
      <c r="POS54" s="556"/>
      <c r="POT54" s="556"/>
      <c r="POU54" s="556"/>
      <c r="POV54" s="556"/>
      <c r="POW54" s="556"/>
      <c r="POX54" s="556"/>
      <c r="POY54" s="556"/>
      <c r="POZ54" s="556"/>
      <c r="PPA54" s="556"/>
      <c r="PPB54" s="556"/>
      <c r="PPC54" s="556"/>
      <c r="PPD54" s="556"/>
      <c r="PPE54" s="556"/>
      <c r="PPF54" s="556"/>
      <c r="PPG54" s="556"/>
      <c r="PPH54" s="556"/>
      <c r="PPI54" s="556"/>
      <c r="PPJ54" s="556"/>
      <c r="PPK54" s="556"/>
      <c r="PPL54" s="556"/>
      <c r="PPM54" s="556"/>
      <c r="PPN54" s="556"/>
      <c r="PPO54" s="556"/>
      <c r="PPP54" s="556"/>
      <c r="PPQ54" s="556"/>
      <c r="PPR54" s="556"/>
      <c r="PPS54" s="556"/>
      <c r="PPT54" s="556"/>
      <c r="PPU54" s="556"/>
      <c r="PPV54" s="556"/>
      <c r="PPW54" s="556"/>
      <c r="PPX54" s="556"/>
      <c r="PPY54" s="556"/>
      <c r="PPZ54" s="556"/>
      <c r="PQA54" s="556"/>
      <c r="PQB54" s="556"/>
      <c r="PQC54" s="556"/>
      <c r="PQD54" s="556"/>
      <c r="PQE54" s="556"/>
      <c r="PQF54" s="556"/>
      <c r="PQG54" s="556"/>
      <c r="PQH54" s="556"/>
      <c r="PQI54" s="556"/>
      <c r="PQJ54" s="556"/>
      <c r="PQK54" s="556"/>
      <c r="PQL54" s="556"/>
      <c r="PQM54" s="556"/>
      <c r="PQN54" s="556"/>
      <c r="PQO54" s="556"/>
      <c r="PQP54" s="556"/>
      <c r="PQQ54" s="556"/>
      <c r="PQR54" s="556"/>
      <c r="PQS54" s="556"/>
      <c r="PQT54" s="556"/>
      <c r="PQU54" s="556"/>
      <c r="PQV54" s="556"/>
      <c r="PQW54" s="556"/>
      <c r="PQX54" s="556"/>
      <c r="PQY54" s="556"/>
      <c r="PQZ54" s="556"/>
      <c r="PRA54" s="556"/>
      <c r="PRB54" s="556"/>
      <c r="PRC54" s="556"/>
      <c r="PRD54" s="556"/>
      <c r="PRE54" s="556"/>
      <c r="PRF54" s="556"/>
      <c r="PRG54" s="556"/>
      <c r="PRH54" s="556"/>
      <c r="PRI54" s="556"/>
      <c r="PRJ54" s="556"/>
      <c r="PRK54" s="556"/>
      <c r="PRL54" s="556"/>
      <c r="PRM54" s="556"/>
      <c r="PRN54" s="556"/>
      <c r="PRO54" s="556"/>
      <c r="PRP54" s="556"/>
      <c r="PRQ54" s="556"/>
      <c r="PRR54" s="556"/>
      <c r="PRS54" s="556"/>
      <c r="PRT54" s="556"/>
      <c r="PRU54" s="556"/>
      <c r="PRV54" s="556"/>
      <c r="PRW54" s="556"/>
      <c r="PRX54" s="556"/>
      <c r="PRY54" s="556"/>
      <c r="PRZ54" s="556"/>
      <c r="PSA54" s="556"/>
      <c r="PSB54" s="556"/>
      <c r="PSC54" s="556"/>
      <c r="PSD54" s="556"/>
      <c r="PSE54" s="556"/>
      <c r="PSF54" s="556"/>
      <c r="PSG54" s="556"/>
      <c r="PSH54" s="556"/>
      <c r="PSI54" s="556"/>
      <c r="PSJ54" s="556"/>
      <c r="PSK54" s="556"/>
      <c r="PSL54" s="556"/>
      <c r="PSM54" s="556"/>
      <c r="PSN54" s="556"/>
      <c r="PSO54" s="556"/>
      <c r="PSP54" s="556"/>
      <c r="PSQ54" s="556"/>
      <c r="PSR54" s="556"/>
      <c r="PSS54" s="556"/>
      <c r="PST54" s="556"/>
      <c r="PSU54" s="556"/>
      <c r="PSV54" s="556"/>
      <c r="PSW54" s="556"/>
      <c r="PSX54" s="556"/>
      <c r="PSY54" s="556"/>
      <c r="PSZ54" s="556"/>
      <c r="PTA54" s="556"/>
      <c r="PTB54" s="556"/>
      <c r="PTC54" s="556"/>
      <c r="PTD54" s="556"/>
      <c r="PTE54" s="556"/>
      <c r="PTF54" s="556"/>
      <c r="PTG54" s="556"/>
      <c r="PTH54" s="556"/>
      <c r="PTI54" s="556"/>
      <c r="PTJ54" s="556"/>
      <c r="PTK54" s="556"/>
      <c r="PTL54" s="556"/>
      <c r="PTM54" s="556"/>
      <c r="PTN54" s="556"/>
      <c r="PTO54" s="556"/>
      <c r="PTP54" s="556"/>
      <c r="PTQ54" s="556"/>
      <c r="PTR54" s="556"/>
      <c r="PTS54" s="556"/>
      <c r="PTT54" s="556"/>
      <c r="PTU54" s="556"/>
      <c r="PTV54" s="556"/>
      <c r="PTW54" s="556"/>
      <c r="PTX54" s="556"/>
      <c r="PTY54" s="556"/>
      <c r="PTZ54" s="556"/>
      <c r="PUA54" s="556"/>
      <c r="PUB54" s="556"/>
      <c r="PUC54" s="556"/>
      <c r="PUD54" s="556"/>
      <c r="PUE54" s="556"/>
      <c r="PUF54" s="556"/>
      <c r="PUG54" s="556"/>
      <c r="PUH54" s="556"/>
      <c r="PUI54" s="556"/>
      <c r="PUJ54" s="556"/>
      <c r="PUK54" s="556"/>
      <c r="PUL54" s="556"/>
      <c r="PUM54" s="556"/>
      <c r="PUN54" s="556"/>
      <c r="PUO54" s="556"/>
      <c r="PUP54" s="556"/>
      <c r="PUQ54" s="556"/>
      <c r="PUR54" s="556"/>
      <c r="PUS54" s="556"/>
      <c r="PUT54" s="556"/>
      <c r="PUU54" s="556"/>
      <c r="PUV54" s="556"/>
      <c r="PUW54" s="556"/>
      <c r="PUX54" s="556"/>
      <c r="PUY54" s="556"/>
      <c r="PUZ54" s="556"/>
      <c r="PVA54" s="556"/>
      <c r="PVB54" s="556"/>
      <c r="PVC54" s="556"/>
      <c r="PVD54" s="556"/>
      <c r="PVE54" s="556"/>
      <c r="PVF54" s="556"/>
      <c r="PVG54" s="556"/>
      <c r="PVH54" s="556"/>
      <c r="PVI54" s="556"/>
      <c r="PVJ54" s="556"/>
      <c r="PVK54" s="556"/>
      <c r="PVL54" s="556"/>
      <c r="PVM54" s="556"/>
      <c r="PVN54" s="556"/>
      <c r="PVO54" s="556"/>
      <c r="PVP54" s="556"/>
      <c r="PVQ54" s="556"/>
      <c r="PVR54" s="556"/>
      <c r="PVS54" s="556"/>
      <c r="PVT54" s="556"/>
      <c r="PVU54" s="556"/>
      <c r="PVV54" s="556"/>
      <c r="PVW54" s="556"/>
      <c r="PVX54" s="556"/>
      <c r="PVY54" s="556"/>
      <c r="PVZ54" s="556"/>
      <c r="PWA54" s="556"/>
      <c r="PWB54" s="556"/>
      <c r="PWC54" s="556"/>
      <c r="PWD54" s="556"/>
      <c r="PWE54" s="556"/>
      <c r="PWF54" s="556"/>
      <c r="PWG54" s="556"/>
      <c r="PWH54" s="556"/>
      <c r="PWI54" s="556"/>
      <c r="PWJ54" s="556"/>
      <c r="PWK54" s="556"/>
      <c r="PWL54" s="556"/>
      <c r="PWM54" s="556"/>
      <c r="PWN54" s="556"/>
      <c r="PWO54" s="556"/>
      <c r="PWP54" s="556"/>
      <c r="PWQ54" s="556"/>
      <c r="PWR54" s="556"/>
      <c r="PWS54" s="556"/>
      <c r="PWT54" s="556"/>
      <c r="PWU54" s="556"/>
      <c r="PWV54" s="556"/>
      <c r="PWW54" s="556"/>
      <c r="PWX54" s="556"/>
      <c r="PWY54" s="556"/>
      <c r="PWZ54" s="556"/>
      <c r="PXA54" s="556"/>
      <c r="PXB54" s="556"/>
      <c r="PXC54" s="556"/>
      <c r="PXD54" s="556"/>
      <c r="PXE54" s="556"/>
      <c r="PXF54" s="556"/>
      <c r="PXG54" s="556"/>
      <c r="PXH54" s="556"/>
      <c r="PXI54" s="556"/>
      <c r="PXJ54" s="556"/>
      <c r="PXK54" s="556"/>
      <c r="PXL54" s="556"/>
      <c r="PXM54" s="556"/>
      <c r="PXN54" s="556"/>
      <c r="PXO54" s="556"/>
      <c r="PXP54" s="556"/>
      <c r="PXQ54" s="556"/>
      <c r="PXR54" s="556"/>
      <c r="PXS54" s="556"/>
      <c r="PXT54" s="556"/>
      <c r="PXU54" s="556"/>
      <c r="PXV54" s="556"/>
      <c r="PXW54" s="556"/>
      <c r="PXX54" s="556"/>
      <c r="PXY54" s="556"/>
      <c r="PXZ54" s="556"/>
      <c r="PYA54" s="556"/>
      <c r="PYB54" s="556"/>
      <c r="PYC54" s="556"/>
      <c r="PYD54" s="556"/>
      <c r="PYE54" s="556"/>
      <c r="PYF54" s="556"/>
      <c r="PYG54" s="556"/>
      <c r="PYH54" s="556"/>
      <c r="PYI54" s="556"/>
      <c r="PYJ54" s="556"/>
      <c r="PYK54" s="556"/>
      <c r="PYL54" s="556"/>
      <c r="PYM54" s="556"/>
      <c r="PYN54" s="556"/>
      <c r="PYO54" s="556"/>
      <c r="PYP54" s="556"/>
      <c r="PYQ54" s="556"/>
      <c r="PYR54" s="556"/>
      <c r="PYS54" s="556"/>
      <c r="PYT54" s="556"/>
      <c r="PYU54" s="556"/>
      <c r="PYV54" s="556"/>
      <c r="PYW54" s="556"/>
      <c r="PYX54" s="556"/>
      <c r="PYY54" s="556"/>
      <c r="PYZ54" s="556"/>
      <c r="PZA54" s="556"/>
      <c r="PZB54" s="556"/>
      <c r="PZC54" s="556"/>
      <c r="PZD54" s="556"/>
      <c r="PZE54" s="556"/>
      <c r="PZF54" s="556"/>
      <c r="PZG54" s="556"/>
      <c r="PZH54" s="556"/>
      <c r="PZI54" s="556"/>
      <c r="PZJ54" s="556"/>
      <c r="PZK54" s="556"/>
      <c r="PZL54" s="556"/>
      <c r="PZM54" s="556"/>
      <c r="PZN54" s="556"/>
      <c r="PZO54" s="556"/>
      <c r="PZP54" s="556"/>
      <c r="PZQ54" s="556"/>
      <c r="PZR54" s="556"/>
      <c r="PZS54" s="556"/>
      <c r="PZT54" s="556"/>
      <c r="PZU54" s="556"/>
      <c r="PZV54" s="556"/>
      <c r="PZW54" s="556"/>
      <c r="PZX54" s="556"/>
      <c r="PZY54" s="556"/>
      <c r="PZZ54" s="556"/>
      <c r="QAA54" s="556"/>
      <c r="QAB54" s="556"/>
      <c r="QAC54" s="556"/>
      <c r="QAD54" s="556"/>
      <c r="QAE54" s="556"/>
      <c r="QAF54" s="556"/>
      <c r="QAG54" s="556"/>
      <c r="QAH54" s="556"/>
      <c r="QAI54" s="556"/>
      <c r="QAJ54" s="556"/>
      <c r="QAK54" s="556"/>
      <c r="QAL54" s="556"/>
      <c r="QAM54" s="556"/>
      <c r="QAN54" s="556"/>
      <c r="QAO54" s="556"/>
      <c r="QAP54" s="556"/>
      <c r="QAQ54" s="556"/>
      <c r="QAR54" s="556"/>
      <c r="QAS54" s="556"/>
      <c r="QAT54" s="556"/>
      <c r="QAU54" s="556"/>
      <c r="QAV54" s="556"/>
      <c r="QAW54" s="556"/>
      <c r="QAX54" s="556"/>
      <c r="QAY54" s="556"/>
      <c r="QAZ54" s="556"/>
      <c r="QBA54" s="556"/>
      <c r="QBB54" s="556"/>
      <c r="QBC54" s="556"/>
      <c r="QBD54" s="556"/>
      <c r="QBE54" s="556"/>
      <c r="QBF54" s="556"/>
      <c r="QBG54" s="556"/>
      <c r="QBH54" s="556"/>
      <c r="QBI54" s="556"/>
      <c r="QBJ54" s="556"/>
      <c r="QBK54" s="556"/>
      <c r="QBL54" s="556"/>
      <c r="QBM54" s="556"/>
      <c r="QBN54" s="556"/>
      <c r="QBO54" s="556"/>
      <c r="QBP54" s="556"/>
      <c r="QBQ54" s="556"/>
      <c r="QBR54" s="556"/>
      <c r="QBS54" s="556"/>
      <c r="QBT54" s="556"/>
      <c r="QBU54" s="556"/>
      <c r="QBV54" s="556"/>
      <c r="QBW54" s="556"/>
      <c r="QBX54" s="556"/>
      <c r="QBY54" s="556"/>
      <c r="QBZ54" s="556"/>
      <c r="QCA54" s="556"/>
      <c r="QCB54" s="556"/>
      <c r="QCC54" s="556"/>
      <c r="QCD54" s="556"/>
      <c r="QCE54" s="556"/>
      <c r="QCF54" s="556"/>
      <c r="QCG54" s="556"/>
      <c r="QCH54" s="556"/>
      <c r="QCI54" s="556"/>
      <c r="QCJ54" s="556"/>
      <c r="QCK54" s="556"/>
      <c r="QCL54" s="556"/>
      <c r="QCM54" s="556"/>
      <c r="QCN54" s="556"/>
      <c r="QCO54" s="556"/>
      <c r="QCP54" s="556"/>
      <c r="QCQ54" s="556"/>
      <c r="QCR54" s="556"/>
      <c r="QCS54" s="556"/>
      <c r="QCT54" s="556"/>
      <c r="QCU54" s="556"/>
      <c r="QCV54" s="556"/>
      <c r="QCW54" s="556"/>
      <c r="QCX54" s="556"/>
      <c r="QCY54" s="556"/>
      <c r="QCZ54" s="556"/>
      <c r="QDA54" s="556"/>
      <c r="QDB54" s="556"/>
      <c r="QDC54" s="556"/>
      <c r="QDD54" s="556"/>
      <c r="QDE54" s="556"/>
      <c r="QDF54" s="556"/>
      <c r="QDG54" s="556"/>
      <c r="QDH54" s="556"/>
      <c r="QDI54" s="556"/>
      <c r="QDJ54" s="556"/>
      <c r="QDK54" s="556"/>
      <c r="QDL54" s="556"/>
      <c r="QDM54" s="556"/>
      <c r="QDN54" s="556"/>
      <c r="QDO54" s="556"/>
      <c r="QDP54" s="556"/>
      <c r="QDQ54" s="556"/>
      <c r="QDR54" s="556"/>
      <c r="QDS54" s="556"/>
      <c r="QDT54" s="556"/>
      <c r="QDU54" s="556"/>
      <c r="QDV54" s="556"/>
      <c r="QDW54" s="556"/>
      <c r="QDX54" s="556"/>
      <c r="QDY54" s="556"/>
      <c r="QDZ54" s="556"/>
      <c r="QEA54" s="556"/>
      <c r="QEB54" s="556"/>
      <c r="QEC54" s="556"/>
      <c r="QED54" s="556"/>
      <c r="QEE54" s="556"/>
      <c r="QEF54" s="556"/>
      <c r="QEG54" s="556"/>
      <c r="QEH54" s="556"/>
      <c r="QEI54" s="556"/>
      <c r="QEJ54" s="556"/>
      <c r="QEK54" s="556"/>
      <c r="QEL54" s="556"/>
      <c r="QEM54" s="556"/>
      <c r="QEN54" s="556"/>
      <c r="QEO54" s="556"/>
      <c r="QEP54" s="556"/>
      <c r="QEQ54" s="556"/>
      <c r="QER54" s="556"/>
      <c r="QES54" s="556"/>
      <c r="QET54" s="556"/>
      <c r="QEU54" s="556"/>
      <c r="QEV54" s="556"/>
      <c r="QEW54" s="556"/>
      <c r="QEX54" s="556"/>
      <c r="QEY54" s="556"/>
      <c r="QEZ54" s="556"/>
      <c r="QFA54" s="556"/>
      <c r="QFB54" s="556"/>
      <c r="QFC54" s="556"/>
      <c r="QFD54" s="556"/>
      <c r="QFE54" s="556"/>
      <c r="QFF54" s="556"/>
      <c r="QFG54" s="556"/>
      <c r="QFH54" s="556"/>
      <c r="QFI54" s="556"/>
      <c r="QFJ54" s="556"/>
      <c r="QFK54" s="556"/>
      <c r="QFL54" s="556"/>
      <c r="QFM54" s="556"/>
      <c r="QFN54" s="556"/>
      <c r="QFO54" s="556"/>
      <c r="QFP54" s="556"/>
      <c r="QFQ54" s="556"/>
      <c r="QFR54" s="556"/>
      <c r="QFS54" s="556"/>
      <c r="QFT54" s="556"/>
      <c r="QFU54" s="556"/>
      <c r="QFV54" s="556"/>
      <c r="QFW54" s="556"/>
      <c r="QFX54" s="556"/>
      <c r="QFY54" s="556"/>
      <c r="QFZ54" s="556"/>
      <c r="QGA54" s="556"/>
      <c r="QGB54" s="556"/>
      <c r="QGC54" s="556"/>
      <c r="QGD54" s="556"/>
      <c r="QGE54" s="556"/>
      <c r="QGF54" s="556"/>
      <c r="QGG54" s="556"/>
      <c r="QGH54" s="556"/>
      <c r="QGI54" s="556"/>
      <c r="QGJ54" s="556"/>
      <c r="QGK54" s="556"/>
      <c r="QGL54" s="556"/>
      <c r="QGM54" s="556"/>
      <c r="QGN54" s="556"/>
      <c r="QGO54" s="556"/>
      <c r="QGP54" s="556"/>
      <c r="QGQ54" s="556"/>
      <c r="QGR54" s="556"/>
      <c r="QGS54" s="556"/>
      <c r="QGT54" s="556"/>
      <c r="QGU54" s="556"/>
      <c r="QGV54" s="556"/>
      <c r="QGW54" s="556"/>
      <c r="QGX54" s="556"/>
      <c r="QGY54" s="556"/>
      <c r="QGZ54" s="556"/>
      <c r="QHA54" s="556"/>
      <c r="QHB54" s="556"/>
      <c r="QHC54" s="556"/>
      <c r="QHD54" s="556"/>
      <c r="QHE54" s="556"/>
      <c r="QHF54" s="556"/>
      <c r="QHG54" s="556"/>
      <c r="QHH54" s="556"/>
      <c r="QHI54" s="556"/>
      <c r="QHJ54" s="556"/>
      <c r="QHK54" s="556"/>
      <c r="QHL54" s="556"/>
      <c r="QHM54" s="556"/>
      <c r="QHN54" s="556"/>
      <c r="QHO54" s="556"/>
      <c r="QHP54" s="556"/>
      <c r="QHQ54" s="556"/>
      <c r="QHR54" s="556"/>
      <c r="QHS54" s="556"/>
      <c r="QHT54" s="556"/>
      <c r="QHU54" s="556"/>
      <c r="QHV54" s="556"/>
      <c r="QHW54" s="556"/>
      <c r="QHX54" s="556"/>
      <c r="QHY54" s="556"/>
      <c r="QHZ54" s="556"/>
      <c r="QIA54" s="556"/>
      <c r="QIB54" s="556"/>
      <c r="QIC54" s="556"/>
      <c r="QID54" s="556"/>
      <c r="QIE54" s="556"/>
      <c r="QIF54" s="556"/>
      <c r="QIG54" s="556"/>
      <c r="QIH54" s="556"/>
      <c r="QII54" s="556"/>
      <c r="QIJ54" s="556"/>
      <c r="QIK54" s="556"/>
      <c r="QIL54" s="556"/>
      <c r="QIM54" s="556"/>
      <c r="QIN54" s="556"/>
      <c r="QIO54" s="556"/>
      <c r="QIP54" s="556"/>
      <c r="QIQ54" s="556"/>
      <c r="QIR54" s="556"/>
      <c r="QIS54" s="556"/>
      <c r="QIT54" s="556"/>
      <c r="QIU54" s="556"/>
      <c r="QIV54" s="556"/>
      <c r="QIW54" s="556"/>
      <c r="QIX54" s="556"/>
      <c r="QIY54" s="556"/>
      <c r="QIZ54" s="556"/>
      <c r="QJA54" s="556"/>
      <c r="QJB54" s="556"/>
      <c r="QJC54" s="556"/>
      <c r="QJD54" s="556"/>
      <c r="QJE54" s="556"/>
      <c r="QJF54" s="556"/>
      <c r="QJG54" s="556"/>
      <c r="QJH54" s="556"/>
      <c r="QJI54" s="556"/>
      <c r="QJJ54" s="556"/>
      <c r="QJK54" s="556"/>
      <c r="QJL54" s="556"/>
      <c r="QJM54" s="556"/>
      <c r="QJN54" s="556"/>
      <c r="QJO54" s="556"/>
      <c r="QJP54" s="556"/>
      <c r="QJQ54" s="556"/>
      <c r="QJR54" s="556"/>
      <c r="QJS54" s="556"/>
      <c r="QJT54" s="556"/>
      <c r="QJU54" s="556"/>
      <c r="QJV54" s="556"/>
      <c r="QJW54" s="556"/>
      <c r="QJX54" s="556"/>
      <c r="QJY54" s="556"/>
      <c r="QJZ54" s="556"/>
      <c r="QKA54" s="556"/>
      <c r="QKB54" s="556"/>
      <c r="QKC54" s="556"/>
      <c r="QKD54" s="556"/>
      <c r="QKE54" s="556"/>
      <c r="QKF54" s="556"/>
      <c r="QKG54" s="556"/>
      <c r="QKH54" s="556"/>
      <c r="QKI54" s="556"/>
      <c r="QKJ54" s="556"/>
      <c r="QKK54" s="556"/>
      <c r="QKL54" s="556"/>
      <c r="QKM54" s="556"/>
      <c r="QKN54" s="556"/>
      <c r="QKO54" s="556"/>
      <c r="QKP54" s="556"/>
      <c r="QKQ54" s="556"/>
      <c r="QKR54" s="556"/>
      <c r="QKS54" s="556"/>
      <c r="QKT54" s="556"/>
      <c r="QKU54" s="556"/>
      <c r="QKV54" s="556"/>
      <c r="QKW54" s="556"/>
      <c r="QKX54" s="556"/>
      <c r="QKY54" s="556"/>
      <c r="QKZ54" s="556"/>
      <c r="QLA54" s="556"/>
      <c r="QLB54" s="556"/>
      <c r="QLC54" s="556"/>
      <c r="QLD54" s="556"/>
      <c r="QLE54" s="556"/>
      <c r="QLF54" s="556"/>
      <c r="QLG54" s="556"/>
      <c r="QLH54" s="556"/>
      <c r="QLI54" s="556"/>
      <c r="QLJ54" s="556"/>
      <c r="QLK54" s="556"/>
      <c r="QLL54" s="556"/>
      <c r="QLM54" s="556"/>
      <c r="QLN54" s="556"/>
      <c r="QLO54" s="556"/>
      <c r="QLP54" s="556"/>
      <c r="QLQ54" s="556"/>
      <c r="QLR54" s="556"/>
      <c r="QLS54" s="556"/>
      <c r="QLT54" s="556"/>
      <c r="QLU54" s="556"/>
      <c r="QLV54" s="556"/>
      <c r="QLW54" s="556"/>
      <c r="QLX54" s="556"/>
      <c r="QLY54" s="556"/>
      <c r="QLZ54" s="556"/>
      <c r="QMA54" s="556"/>
      <c r="QMB54" s="556"/>
      <c r="QMC54" s="556"/>
      <c r="QMD54" s="556"/>
      <c r="QME54" s="556"/>
      <c r="QMF54" s="556"/>
      <c r="QMG54" s="556"/>
      <c r="QMH54" s="556"/>
      <c r="QMI54" s="556"/>
      <c r="QMJ54" s="556"/>
      <c r="QMK54" s="556"/>
      <c r="QML54" s="556"/>
      <c r="QMM54" s="556"/>
      <c r="QMN54" s="556"/>
      <c r="QMO54" s="556"/>
      <c r="QMP54" s="556"/>
      <c r="QMQ54" s="556"/>
      <c r="QMR54" s="556"/>
      <c r="QMS54" s="556"/>
      <c r="QMT54" s="556"/>
      <c r="QMU54" s="556"/>
      <c r="QMV54" s="556"/>
      <c r="QMW54" s="556"/>
      <c r="QMX54" s="556"/>
      <c r="QMY54" s="556"/>
      <c r="QMZ54" s="556"/>
      <c r="QNA54" s="556"/>
      <c r="QNB54" s="556"/>
      <c r="QNC54" s="556"/>
      <c r="QND54" s="556"/>
      <c r="QNE54" s="556"/>
      <c r="QNF54" s="556"/>
      <c r="QNG54" s="556"/>
      <c r="QNH54" s="556"/>
      <c r="QNI54" s="556"/>
      <c r="QNJ54" s="556"/>
      <c r="QNK54" s="556"/>
      <c r="QNL54" s="556"/>
      <c r="QNM54" s="556"/>
      <c r="QNN54" s="556"/>
      <c r="QNO54" s="556"/>
      <c r="QNP54" s="556"/>
      <c r="QNQ54" s="556"/>
      <c r="QNR54" s="556"/>
      <c r="QNS54" s="556"/>
      <c r="QNT54" s="556"/>
      <c r="QNU54" s="556"/>
      <c r="QNV54" s="556"/>
      <c r="QNW54" s="556"/>
      <c r="QNX54" s="556"/>
      <c r="QNY54" s="556"/>
      <c r="QNZ54" s="556"/>
      <c r="QOA54" s="556"/>
      <c r="QOB54" s="556"/>
      <c r="QOC54" s="556"/>
      <c r="QOD54" s="556"/>
      <c r="QOE54" s="556"/>
      <c r="QOF54" s="556"/>
      <c r="QOG54" s="556"/>
      <c r="QOH54" s="556"/>
      <c r="QOI54" s="556"/>
      <c r="QOJ54" s="556"/>
      <c r="QOK54" s="556"/>
      <c r="QOL54" s="556"/>
      <c r="QOM54" s="556"/>
      <c r="QON54" s="556"/>
      <c r="QOO54" s="556"/>
      <c r="QOP54" s="556"/>
      <c r="QOQ54" s="556"/>
      <c r="QOR54" s="556"/>
      <c r="QOS54" s="556"/>
      <c r="QOT54" s="556"/>
      <c r="QOU54" s="556"/>
      <c r="QOV54" s="556"/>
      <c r="QOW54" s="556"/>
      <c r="QOX54" s="556"/>
      <c r="QOY54" s="556"/>
      <c r="QOZ54" s="556"/>
      <c r="QPA54" s="556"/>
      <c r="QPB54" s="556"/>
      <c r="QPC54" s="556"/>
      <c r="QPD54" s="556"/>
      <c r="QPE54" s="556"/>
      <c r="QPF54" s="556"/>
      <c r="QPG54" s="556"/>
      <c r="QPH54" s="556"/>
      <c r="QPI54" s="556"/>
      <c r="QPJ54" s="556"/>
      <c r="QPK54" s="556"/>
      <c r="QPL54" s="556"/>
      <c r="QPM54" s="556"/>
      <c r="QPN54" s="556"/>
      <c r="QPO54" s="556"/>
      <c r="QPP54" s="556"/>
      <c r="QPQ54" s="556"/>
      <c r="QPR54" s="556"/>
      <c r="QPS54" s="556"/>
      <c r="QPT54" s="556"/>
      <c r="QPU54" s="556"/>
      <c r="QPV54" s="556"/>
      <c r="QPW54" s="556"/>
      <c r="QPX54" s="556"/>
      <c r="QPY54" s="556"/>
      <c r="QPZ54" s="556"/>
      <c r="QQA54" s="556"/>
      <c r="QQB54" s="556"/>
      <c r="QQC54" s="556"/>
      <c r="QQD54" s="556"/>
      <c r="QQE54" s="556"/>
      <c r="QQF54" s="556"/>
      <c r="QQG54" s="556"/>
      <c r="QQH54" s="556"/>
      <c r="QQI54" s="556"/>
      <c r="QQJ54" s="556"/>
      <c r="QQK54" s="556"/>
      <c r="QQL54" s="556"/>
      <c r="QQM54" s="556"/>
      <c r="QQN54" s="556"/>
      <c r="QQO54" s="556"/>
      <c r="QQP54" s="556"/>
      <c r="QQQ54" s="556"/>
      <c r="QQR54" s="556"/>
      <c r="QQS54" s="556"/>
      <c r="QQT54" s="556"/>
      <c r="QQU54" s="556"/>
      <c r="QQV54" s="556"/>
      <c r="QQW54" s="556"/>
      <c r="QQX54" s="556"/>
      <c r="QQY54" s="556"/>
      <c r="QQZ54" s="556"/>
      <c r="QRA54" s="556"/>
      <c r="QRB54" s="556"/>
      <c r="QRC54" s="556"/>
      <c r="QRD54" s="556"/>
      <c r="QRE54" s="556"/>
      <c r="QRF54" s="556"/>
      <c r="QRG54" s="556"/>
      <c r="QRH54" s="556"/>
      <c r="QRI54" s="556"/>
      <c r="QRJ54" s="556"/>
      <c r="QRK54" s="556"/>
      <c r="QRL54" s="556"/>
      <c r="QRM54" s="556"/>
      <c r="QRN54" s="556"/>
      <c r="QRO54" s="556"/>
      <c r="QRP54" s="556"/>
      <c r="QRQ54" s="556"/>
      <c r="QRR54" s="556"/>
      <c r="QRS54" s="556"/>
      <c r="QRT54" s="556"/>
      <c r="QRU54" s="556"/>
      <c r="QRV54" s="556"/>
      <c r="QRW54" s="556"/>
      <c r="QRX54" s="556"/>
      <c r="QRY54" s="556"/>
      <c r="QRZ54" s="556"/>
      <c r="QSA54" s="556"/>
      <c r="QSB54" s="556"/>
      <c r="QSC54" s="556"/>
      <c r="QSD54" s="556"/>
      <c r="QSE54" s="556"/>
      <c r="QSF54" s="556"/>
      <c r="QSG54" s="556"/>
      <c r="QSH54" s="556"/>
      <c r="QSI54" s="556"/>
      <c r="QSJ54" s="556"/>
      <c r="QSK54" s="556"/>
      <c r="QSL54" s="556"/>
      <c r="QSM54" s="556"/>
      <c r="QSN54" s="556"/>
      <c r="QSO54" s="556"/>
      <c r="QSP54" s="556"/>
      <c r="QSQ54" s="556"/>
      <c r="QSR54" s="556"/>
      <c r="QSS54" s="556"/>
      <c r="QST54" s="556"/>
      <c r="QSU54" s="556"/>
      <c r="QSV54" s="556"/>
      <c r="QSW54" s="556"/>
      <c r="QSX54" s="556"/>
      <c r="QSY54" s="556"/>
      <c r="QSZ54" s="556"/>
      <c r="QTA54" s="556"/>
      <c r="QTB54" s="556"/>
      <c r="QTC54" s="556"/>
      <c r="QTD54" s="556"/>
      <c r="QTE54" s="556"/>
      <c r="QTF54" s="556"/>
      <c r="QTG54" s="556"/>
      <c r="QTH54" s="556"/>
      <c r="QTI54" s="556"/>
      <c r="QTJ54" s="556"/>
      <c r="QTK54" s="556"/>
      <c r="QTL54" s="556"/>
      <c r="QTM54" s="556"/>
      <c r="QTN54" s="556"/>
      <c r="QTO54" s="556"/>
      <c r="QTP54" s="556"/>
      <c r="QTQ54" s="556"/>
      <c r="QTR54" s="556"/>
      <c r="QTS54" s="556"/>
      <c r="QTT54" s="556"/>
      <c r="QTU54" s="556"/>
      <c r="QTV54" s="556"/>
      <c r="QTW54" s="556"/>
      <c r="QTX54" s="556"/>
      <c r="QTY54" s="556"/>
      <c r="QTZ54" s="556"/>
      <c r="QUA54" s="556"/>
      <c r="QUB54" s="556"/>
      <c r="QUC54" s="556"/>
      <c r="QUD54" s="556"/>
      <c r="QUE54" s="556"/>
      <c r="QUF54" s="556"/>
      <c r="QUG54" s="556"/>
      <c r="QUH54" s="556"/>
      <c r="QUI54" s="556"/>
      <c r="QUJ54" s="556"/>
      <c r="QUK54" s="556"/>
      <c r="QUL54" s="556"/>
      <c r="QUM54" s="556"/>
      <c r="QUN54" s="556"/>
      <c r="QUO54" s="556"/>
      <c r="QUP54" s="556"/>
      <c r="QUQ54" s="556"/>
      <c r="QUR54" s="556"/>
      <c r="QUS54" s="556"/>
      <c r="QUT54" s="556"/>
      <c r="QUU54" s="556"/>
      <c r="QUV54" s="556"/>
      <c r="QUW54" s="556"/>
      <c r="QUX54" s="556"/>
      <c r="QUY54" s="556"/>
      <c r="QUZ54" s="556"/>
      <c r="QVA54" s="556"/>
      <c r="QVB54" s="556"/>
      <c r="QVC54" s="556"/>
      <c r="QVD54" s="556"/>
      <c r="QVE54" s="556"/>
      <c r="QVF54" s="556"/>
      <c r="QVG54" s="556"/>
      <c r="QVH54" s="556"/>
      <c r="QVI54" s="556"/>
      <c r="QVJ54" s="556"/>
      <c r="QVK54" s="556"/>
      <c r="QVL54" s="556"/>
      <c r="QVM54" s="556"/>
      <c r="QVN54" s="556"/>
      <c r="QVO54" s="556"/>
      <c r="QVP54" s="556"/>
      <c r="QVQ54" s="556"/>
      <c r="QVR54" s="556"/>
      <c r="QVS54" s="556"/>
      <c r="QVT54" s="556"/>
      <c r="QVU54" s="556"/>
      <c r="QVV54" s="556"/>
      <c r="QVW54" s="556"/>
      <c r="QVX54" s="556"/>
      <c r="QVY54" s="556"/>
      <c r="QVZ54" s="556"/>
      <c r="QWA54" s="556"/>
      <c r="QWB54" s="556"/>
      <c r="QWC54" s="556"/>
      <c r="QWD54" s="556"/>
      <c r="QWE54" s="556"/>
      <c r="QWF54" s="556"/>
      <c r="QWG54" s="556"/>
      <c r="QWH54" s="556"/>
      <c r="QWI54" s="556"/>
      <c r="QWJ54" s="556"/>
      <c r="QWK54" s="556"/>
      <c r="QWL54" s="556"/>
      <c r="QWM54" s="556"/>
      <c r="QWN54" s="556"/>
      <c r="QWO54" s="556"/>
      <c r="QWP54" s="556"/>
      <c r="QWQ54" s="556"/>
      <c r="QWR54" s="556"/>
      <c r="QWS54" s="556"/>
      <c r="QWT54" s="556"/>
      <c r="QWU54" s="556"/>
      <c r="QWV54" s="556"/>
      <c r="QWW54" s="556"/>
      <c r="QWX54" s="556"/>
      <c r="QWY54" s="556"/>
      <c r="QWZ54" s="556"/>
      <c r="QXA54" s="556"/>
      <c r="QXB54" s="556"/>
      <c r="QXC54" s="556"/>
      <c r="QXD54" s="556"/>
      <c r="QXE54" s="556"/>
      <c r="QXF54" s="556"/>
      <c r="QXG54" s="556"/>
      <c r="QXH54" s="556"/>
      <c r="QXI54" s="556"/>
      <c r="QXJ54" s="556"/>
      <c r="QXK54" s="556"/>
      <c r="QXL54" s="556"/>
      <c r="QXM54" s="556"/>
      <c r="QXN54" s="556"/>
      <c r="QXO54" s="556"/>
      <c r="QXP54" s="556"/>
      <c r="QXQ54" s="556"/>
      <c r="QXR54" s="556"/>
      <c r="QXS54" s="556"/>
      <c r="QXT54" s="556"/>
      <c r="QXU54" s="556"/>
      <c r="QXV54" s="556"/>
      <c r="QXW54" s="556"/>
      <c r="QXX54" s="556"/>
      <c r="QXY54" s="556"/>
      <c r="QXZ54" s="556"/>
      <c r="QYA54" s="556"/>
      <c r="QYB54" s="556"/>
      <c r="QYC54" s="556"/>
      <c r="QYD54" s="556"/>
      <c r="QYE54" s="556"/>
      <c r="QYF54" s="556"/>
      <c r="QYG54" s="556"/>
      <c r="QYH54" s="556"/>
      <c r="QYI54" s="556"/>
      <c r="QYJ54" s="556"/>
      <c r="QYK54" s="556"/>
      <c r="QYL54" s="556"/>
      <c r="QYM54" s="556"/>
      <c r="QYN54" s="556"/>
      <c r="QYO54" s="556"/>
      <c r="QYP54" s="556"/>
      <c r="QYQ54" s="556"/>
      <c r="QYR54" s="556"/>
      <c r="QYS54" s="556"/>
      <c r="QYT54" s="556"/>
      <c r="QYU54" s="556"/>
      <c r="QYV54" s="556"/>
      <c r="QYW54" s="556"/>
      <c r="QYX54" s="556"/>
      <c r="QYY54" s="556"/>
      <c r="QYZ54" s="556"/>
      <c r="QZA54" s="556"/>
      <c r="QZB54" s="556"/>
      <c r="QZC54" s="556"/>
      <c r="QZD54" s="556"/>
      <c r="QZE54" s="556"/>
      <c r="QZF54" s="556"/>
      <c r="QZG54" s="556"/>
      <c r="QZH54" s="556"/>
      <c r="QZI54" s="556"/>
      <c r="QZJ54" s="556"/>
      <c r="QZK54" s="556"/>
      <c r="QZL54" s="556"/>
      <c r="QZM54" s="556"/>
      <c r="QZN54" s="556"/>
      <c r="QZO54" s="556"/>
      <c r="QZP54" s="556"/>
      <c r="QZQ54" s="556"/>
      <c r="QZR54" s="556"/>
      <c r="QZS54" s="556"/>
      <c r="QZT54" s="556"/>
      <c r="QZU54" s="556"/>
      <c r="QZV54" s="556"/>
      <c r="QZW54" s="556"/>
      <c r="QZX54" s="556"/>
      <c r="QZY54" s="556"/>
      <c r="QZZ54" s="556"/>
      <c r="RAA54" s="556"/>
      <c r="RAB54" s="556"/>
      <c r="RAC54" s="556"/>
      <c r="RAD54" s="556"/>
      <c r="RAE54" s="556"/>
      <c r="RAF54" s="556"/>
      <c r="RAG54" s="556"/>
      <c r="RAH54" s="556"/>
      <c r="RAI54" s="556"/>
      <c r="RAJ54" s="556"/>
      <c r="RAK54" s="556"/>
      <c r="RAL54" s="556"/>
      <c r="RAM54" s="556"/>
      <c r="RAN54" s="556"/>
      <c r="RAO54" s="556"/>
      <c r="RAP54" s="556"/>
      <c r="RAQ54" s="556"/>
      <c r="RAR54" s="556"/>
      <c r="RAS54" s="556"/>
      <c r="RAT54" s="556"/>
      <c r="RAU54" s="556"/>
      <c r="RAV54" s="556"/>
      <c r="RAW54" s="556"/>
      <c r="RAX54" s="556"/>
      <c r="RAY54" s="556"/>
      <c r="RAZ54" s="556"/>
      <c r="RBA54" s="556"/>
      <c r="RBB54" s="556"/>
      <c r="RBC54" s="556"/>
      <c r="RBD54" s="556"/>
      <c r="RBE54" s="556"/>
      <c r="RBF54" s="556"/>
      <c r="RBG54" s="556"/>
      <c r="RBH54" s="556"/>
      <c r="RBI54" s="556"/>
      <c r="RBJ54" s="556"/>
      <c r="RBK54" s="556"/>
      <c r="RBL54" s="556"/>
      <c r="RBM54" s="556"/>
      <c r="RBN54" s="556"/>
      <c r="RBO54" s="556"/>
      <c r="RBP54" s="556"/>
      <c r="RBQ54" s="556"/>
      <c r="RBR54" s="556"/>
      <c r="RBS54" s="556"/>
      <c r="RBT54" s="556"/>
      <c r="RBU54" s="556"/>
      <c r="RBV54" s="556"/>
      <c r="RBW54" s="556"/>
      <c r="RBX54" s="556"/>
      <c r="RBY54" s="556"/>
      <c r="RBZ54" s="556"/>
      <c r="RCA54" s="556"/>
      <c r="RCB54" s="556"/>
      <c r="RCC54" s="556"/>
      <c r="RCD54" s="556"/>
      <c r="RCE54" s="556"/>
      <c r="RCF54" s="556"/>
      <c r="RCG54" s="556"/>
      <c r="RCH54" s="556"/>
      <c r="RCI54" s="556"/>
      <c r="RCJ54" s="556"/>
      <c r="RCK54" s="556"/>
      <c r="RCL54" s="556"/>
      <c r="RCM54" s="556"/>
      <c r="RCN54" s="556"/>
      <c r="RCO54" s="556"/>
      <c r="RCP54" s="556"/>
      <c r="RCQ54" s="556"/>
      <c r="RCR54" s="556"/>
      <c r="RCS54" s="556"/>
      <c r="RCT54" s="556"/>
      <c r="RCU54" s="556"/>
      <c r="RCV54" s="556"/>
      <c r="RCW54" s="556"/>
      <c r="RCX54" s="556"/>
      <c r="RCY54" s="556"/>
      <c r="RCZ54" s="556"/>
      <c r="RDA54" s="556"/>
      <c r="RDB54" s="556"/>
      <c r="RDC54" s="556"/>
      <c r="RDD54" s="556"/>
      <c r="RDE54" s="556"/>
      <c r="RDF54" s="556"/>
      <c r="RDG54" s="556"/>
      <c r="RDH54" s="556"/>
      <c r="RDI54" s="556"/>
      <c r="RDJ54" s="556"/>
      <c r="RDK54" s="556"/>
      <c r="RDL54" s="556"/>
      <c r="RDM54" s="556"/>
      <c r="RDN54" s="556"/>
      <c r="RDO54" s="556"/>
      <c r="RDP54" s="556"/>
      <c r="RDQ54" s="556"/>
      <c r="RDR54" s="556"/>
      <c r="RDS54" s="556"/>
      <c r="RDT54" s="556"/>
      <c r="RDU54" s="556"/>
      <c r="RDV54" s="556"/>
      <c r="RDW54" s="556"/>
      <c r="RDX54" s="556"/>
      <c r="RDY54" s="556"/>
      <c r="RDZ54" s="556"/>
      <c r="REA54" s="556"/>
      <c r="REB54" s="556"/>
      <c r="REC54" s="556"/>
      <c r="RED54" s="556"/>
      <c r="REE54" s="556"/>
      <c r="REF54" s="556"/>
      <c r="REG54" s="556"/>
      <c r="REH54" s="556"/>
      <c r="REI54" s="556"/>
      <c r="REJ54" s="556"/>
      <c r="REK54" s="556"/>
      <c r="REL54" s="556"/>
      <c r="REM54" s="556"/>
      <c r="REN54" s="556"/>
      <c r="REO54" s="556"/>
      <c r="REP54" s="556"/>
      <c r="REQ54" s="556"/>
      <c r="RER54" s="556"/>
      <c r="RES54" s="556"/>
      <c r="RET54" s="556"/>
      <c r="REU54" s="556"/>
      <c r="REV54" s="556"/>
      <c r="REW54" s="556"/>
      <c r="REX54" s="556"/>
      <c r="REY54" s="556"/>
      <c r="REZ54" s="556"/>
      <c r="RFA54" s="556"/>
      <c r="RFB54" s="556"/>
      <c r="RFC54" s="556"/>
      <c r="RFD54" s="556"/>
      <c r="RFE54" s="556"/>
      <c r="RFF54" s="556"/>
      <c r="RFG54" s="556"/>
      <c r="RFH54" s="556"/>
      <c r="RFI54" s="556"/>
      <c r="RFJ54" s="556"/>
      <c r="RFK54" s="556"/>
      <c r="RFL54" s="556"/>
      <c r="RFM54" s="556"/>
      <c r="RFN54" s="556"/>
      <c r="RFO54" s="556"/>
      <c r="RFP54" s="556"/>
      <c r="RFQ54" s="556"/>
      <c r="RFR54" s="556"/>
      <c r="RFS54" s="556"/>
      <c r="RFT54" s="556"/>
      <c r="RFU54" s="556"/>
      <c r="RFV54" s="556"/>
      <c r="RFW54" s="556"/>
      <c r="RFX54" s="556"/>
      <c r="RFY54" s="556"/>
      <c r="RFZ54" s="556"/>
      <c r="RGA54" s="556"/>
      <c r="RGB54" s="556"/>
      <c r="RGC54" s="556"/>
      <c r="RGD54" s="556"/>
      <c r="RGE54" s="556"/>
      <c r="RGF54" s="556"/>
      <c r="RGG54" s="556"/>
      <c r="RGH54" s="556"/>
      <c r="RGI54" s="556"/>
      <c r="RGJ54" s="556"/>
      <c r="RGK54" s="556"/>
      <c r="RGL54" s="556"/>
      <c r="RGM54" s="556"/>
      <c r="RGN54" s="556"/>
      <c r="RGO54" s="556"/>
      <c r="RGP54" s="556"/>
      <c r="RGQ54" s="556"/>
      <c r="RGR54" s="556"/>
      <c r="RGS54" s="556"/>
      <c r="RGT54" s="556"/>
      <c r="RGU54" s="556"/>
      <c r="RGV54" s="556"/>
      <c r="RGW54" s="556"/>
      <c r="RGX54" s="556"/>
      <c r="RGY54" s="556"/>
      <c r="RGZ54" s="556"/>
      <c r="RHA54" s="556"/>
      <c r="RHB54" s="556"/>
      <c r="RHC54" s="556"/>
      <c r="RHD54" s="556"/>
      <c r="RHE54" s="556"/>
      <c r="RHF54" s="556"/>
      <c r="RHG54" s="556"/>
      <c r="RHH54" s="556"/>
      <c r="RHI54" s="556"/>
      <c r="RHJ54" s="556"/>
      <c r="RHK54" s="556"/>
      <c r="RHL54" s="556"/>
      <c r="RHM54" s="556"/>
      <c r="RHN54" s="556"/>
      <c r="RHO54" s="556"/>
      <c r="RHP54" s="556"/>
      <c r="RHQ54" s="556"/>
      <c r="RHR54" s="556"/>
      <c r="RHS54" s="556"/>
      <c r="RHT54" s="556"/>
      <c r="RHU54" s="556"/>
      <c r="RHV54" s="556"/>
      <c r="RHW54" s="556"/>
      <c r="RHX54" s="556"/>
      <c r="RHY54" s="556"/>
      <c r="RHZ54" s="556"/>
      <c r="RIA54" s="556"/>
      <c r="RIB54" s="556"/>
      <c r="RIC54" s="556"/>
      <c r="RID54" s="556"/>
      <c r="RIE54" s="556"/>
      <c r="RIF54" s="556"/>
      <c r="RIG54" s="556"/>
      <c r="RIH54" s="556"/>
      <c r="RII54" s="556"/>
      <c r="RIJ54" s="556"/>
      <c r="RIK54" s="556"/>
      <c r="RIL54" s="556"/>
      <c r="RIM54" s="556"/>
      <c r="RIN54" s="556"/>
      <c r="RIO54" s="556"/>
      <c r="RIP54" s="556"/>
      <c r="RIQ54" s="556"/>
      <c r="RIR54" s="556"/>
      <c r="RIS54" s="556"/>
      <c r="RIT54" s="556"/>
      <c r="RIU54" s="556"/>
      <c r="RIV54" s="556"/>
      <c r="RIW54" s="556"/>
      <c r="RIX54" s="556"/>
      <c r="RIY54" s="556"/>
      <c r="RIZ54" s="556"/>
      <c r="RJA54" s="556"/>
      <c r="RJB54" s="556"/>
      <c r="RJC54" s="556"/>
      <c r="RJD54" s="556"/>
      <c r="RJE54" s="556"/>
      <c r="RJF54" s="556"/>
      <c r="RJG54" s="556"/>
      <c r="RJH54" s="556"/>
      <c r="RJI54" s="556"/>
      <c r="RJJ54" s="556"/>
      <c r="RJK54" s="556"/>
      <c r="RJL54" s="556"/>
      <c r="RJM54" s="556"/>
      <c r="RJN54" s="556"/>
      <c r="RJO54" s="556"/>
      <c r="RJP54" s="556"/>
      <c r="RJQ54" s="556"/>
      <c r="RJR54" s="556"/>
      <c r="RJS54" s="556"/>
      <c r="RJT54" s="556"/>
      <c r="RJU54" s="556"/>
      <c r="RJV54" s="556"/>
      <c r="RJW54" s="556"/>
      <c r="RJX54" s="556"/>
      <c r="RJY54" s="556"/>
      <c r="RJZ54" s="556"/>
      <c r="RKA54" s="556"/>
      <c r="RKB54" s="556"/>
      <c r="RKC54" s="556"/>
      <c r="RKD54" s="556"/>
      <c r="RKE54" s="556"/>
      <c r="RKF54" s="556"/>
      <c r="RKG54" s="556"/>
      <c r="RKH54" s="556"/>
      <c r="RKI54" s="556"/>
      <c r="RKJ54" s="556"/>
      <c r="RKK54" s="556"/>
      <c r="RKL54" s="556"/>
      <c r="RKM54" s="556"/>
      <c r="RKN54" s="556"/>
      <c r="RKO54" s="556"/>
      <c r="RKP54" s="556"/>
      <c r="RKQ54" s="556"/>
      <c r="RKR54" s="556"/>
      <c r="RKS54" s="556"/>
      <c r="RKT54" s="556"/>
      <c r="RKU54" s="556"/>
      <c r="RKV54" s="556"/>
      <c r="RKW54" s="556"/>
      <c r="RKX54" s="556"/>
      <c r="RKY54" s="556"/>
      <c r="RKZ54" s="556"/>
      <c r="RLA54" s="556"/>
      <c r="RLB54" s="556"/>
      <c r="RLC54" s="556"/>
      <c r="RLD54" s="556"/>
      <c r="RLE54" s="556"/>
      <c r="RLF54" s="556"/>
      <c r="RLG54" s="556"/>
      <c r="RLH54" s="556"/>
      <c r="RLI54" s="556"/>
      <c r="RLJ54" s="556"/>
      <c r="RLK54" s="556"/>
      <c r="RLL54" s="556"/>
      <c r="RLM54" s="556"/>
      <c r="RLN54" s="556"/>
      <c r="RLO54" s="556"/>
      <c r="RLP54" s="556"/>
      <c r="RLQ54" s="556"/>
      <c r="RLR54" s="556"/>
      <c r="RLS54" s="556"/>
      <c r="RLT54" s="556"/>
      <c r="RLU54" s="556"/>
      <c r="RLV54" s="556"/>
      <c r="RLW54" s="556"/>
      <c r="RLX54" s="556"/>
      <c r="RLY54" s="556"/>
      <c r="RLZ54" s="556"/>
      <c r="RMA54" s="556"/>
      <c r="RMB54" s="556"/>
      <c r="RMC54" s="556"/>
      <c r="RMD54" s="556"/>
      <c r="RME54" s="556"/>
      <c r="RMF54" s="556"/>
      <c r="RMG54" s="556"/>
      <c r="RMH54" s="556"/>
      <c r="RMI54" s="556"/>
      <c r="RMJ54" s="556"/>
      <c r="RMK54" s="556"/>
      <c r="RML54" s="556"/>
      <c r="RMM54" s="556"/>
      <c r="RMN54" s="556"/>
      <c r="RMO54" s="556"/>
      <c r="RMP54" s="556"/>
      <c r="RMQ54" s="556"/>
      <c r="RMR54" s="556"/>
      <c r="RMS54" s="556"/>
      <c r="RMT54" s="556"/>
      <c r="RMU54" s="556"/>
      <c r="RMV54" s="556"/>
      <c r="RMW54" s="556"/>
      <c r="RMX54" s="556"/>
      <c r="RMY54" s="556"/>
      <c r="RMZ54" s="556"/>
      <c r="RNA54" s="556"/>
      <c r="RNB54" s="556"/>
      <c r="RNC54" s="556"/>
      <c r="RND54" s="556"/>
      <c r="RNE54" s="556"/>
      <c r="RNF54" s="556"/>
      <c r="RNG54" s="556"/>
      <c r="RNH54" s="556"/>
      <c r="RNI54" s="556"/>
      <c r="RNJ54" s="556"/>
      <c r="RNK54" s="556"/>
      <c r="RNL54" s="556"/>
      <c r="RNM54" s="556"/>
      <c r="RNN54" s="556"/>
      <c r="RNO54" s="556"/>
      <c r="RNP54" s="556"/>
      <c r="RNQ54" s="556"/>
      <c r="RNR54" s="556"/>
      <c r="RNS54" s="556"/>
      <c r="RNT54" s="556"/>
      <c r="RNU54" s="556"/>
      <c r="RNV54" s="556"/>
      <c r="RNW54" s="556"/>
      <c r="RNX54" s="556"/>
      <c r="RNY54" s="556"/>
      <c r="RNZ54" s="556"/>
      <c r="ROA54" s="556"/>
      <c r="ROB54" s="556"/>
      <c r="ROC54" s="556"/>
      <c r="ROD54" s="556"/>
      <c r="ROE54" s="556"/>
      <c r="ROF54" s="556"/>
      <c r="ROG54" s="556"/>
      <c r="ROH54" s="556"/>
      <c r="ROI54" s="556"/>
      <c r="ROJ54" s="556"/>
      <c r="ROK54" s="556"/>
      <c r="ROL54" s="556"/>
      <c r="ROM54" s="556"/>
      <c r="RON54" s="556"/>
      <c r="ROO54" s="556"/>
      <c r="ROP54" s="556"/>
      <c r="ROQ54" s="556"/>
      <c r="ROR54" s="556"/>
      <c r="ROS54" s="556"/>
      <c r="ROT54" s="556"/>
      <c r="ROU54" s="556"/>
      <c r="ROV54" s="556"/>
      <c r="ROW54" s="556"/>
      <c r="ROX54" s="556"/>
      <c r="ROY54" s="556"/>
      <c r="ROZ54" s="556"/>
      <c r="RPA54" s="556"/>
      <c r="RPB54" s="556"/>
      <c r="RPC54" s="556"/>
      <c r="RPD54" s="556"/>
      <c r="RPE54" s="556"/>
      <c r="RPF54" s="556"/>
      <c r="RPG54" s="556"/>
      <c r="RPH54" s="556"/>
      <c r="RPI54" s="556"/>
      <c r="RPJ54" s="556"/>
      <c r="RPK54" s="556"/>
      <c r="RPL54" s="556"/>
      <c r="RPM54" s="556"/>
      <c r="RPN54" s="556"/>
      <c r="RPO54" s="556"/>
      <c r="RPP54" s="556"/>
      <c r="RPQ54" s="556"/>
      <c r="RPR54" s="556"/>
      <c r="RPS54" s="556"/>
      <c r="RPT54" s="556"/>
      <c r="RPU54" s="556"/>
      <c r="RPV54" s="556"/>
      <c r="RPW54" s="556"/>
      <c r="RPX54" s="556"/>
      <c r="RPY54" s="556"/>
      <c r="RPZ54" s="556"/>
      <c r="RQA54" s="556"/>
      <c r="RQB54" s="556"/>
      <c r="RQC54" s="556"/>
      <c r="RQD54" s="556"/>
      <c r="RQE54" s="556"/>
      <c r="RQF54" s="556"/>
      <c r="RQG54" s="556"/>
      <c r="RQH54" s="556"/>
      <c r="RQI54" s="556"/>
      <c r="RQJ54" s="556"/>
      <c r="RQK54" s="556"/>
      <c r="RQL54" s="556"/>
      <c r="RQM54" s="556"/>
      <c r="RQN54" s="556"/>
      <c r="RQO54" s="556"/>
      <c r="RQP54" s="556"/>
      <c r="RQQ54" s="556"/>
      <c r="RQR54" s="556"/>
      <c r="RQS54" s="556"/>
      <c r="RQT54" s="556"/>
      <c r="RQU54" s="556"/>
      <c r="RQV54" s="556"/>
      <c r="RQW54" s="556"/>
      <c r="RQX54" s="556"/>
      <c r="RQY54" s="556"/>
      <c r="RQZ54" s="556"/>
      <c r="RRA54" s="556"/>
      <c r="RRB54" s="556"/>
      <c r="RRC54" s="556"/>
      <c r="RRD54" s="556"/>
      <c r="RRE54" s="556"/>
      <c r="RRF54" s="556"/>
      <c r="RRG54" s="556"/>
      <c r="RRH54" s="556"/>
      <c r="RRI54" s="556"/>
      <c r="RRJ54" s="556"/>
      <c r="RRK54" s="556"/>
      <c r="RRL54" s="556"/>
      <c r="RRM54" s="556"/>
      <c r="RRN54" s="556"/>
      <c r="RRO54" s="556"/>
      <c r="RRP54" s="556"/>
      <c r="RRQ54" s="556"/>
      <c r="RRR54" s="556"/>
      <c r="RRS54" s="556"/>
      <c r="RRT54" s="556"/>
      <c r="RRU54" s="556"/>
      <c r="RRV54" s="556"/>
      <c r="RRW54" s="556"/>
      <c r="RRX54" s="556"/>
      <c r="RRY54" s="556"/>
      <c r="RRZ54" s="556"/>
      <c r="RSA54" s="556"/>
      <c r="RSB54" s="556"/>
      <c r="RSC54" s="556"/>
      <c r="RSD54" s="556"/>
      <c r="RSE54" s="556"/>
      <c r="RSF54" s="556"/>
      <c r="RSG54" s="556"/>
      <c r="RSH54" s="556"/>
      <c r="RSI54" s="556"/>
      <c r="RSJ54" s="556"/>
      <c r="RSK54" s="556"/>
      <c r="RSL54" s="556"/>
      <c r="RSM54" s="556"/>
      <c r="RSN54" s="556"/>
      <c r="RSO54" s="556"/>
      <c r="RSP54" s="556"/>
      <c r="RSQ54" s="556"/>
      <c r="RSR54" s="556"/>
      <c r="RSS54" s="556"/>
      <c r="RST54" s="556"/>
      <c r="RSU54" s="556"/>
      <c r="RSV54" s="556"/>
      <c r="RSW54" s="556"/>
      <c r="RSX54" s="556"/>
      <c r="RSY54" s="556"/>
      <c r="RSZ54" s="556"/>
      <c r="RTA54" s="556"/>
      <c r="RTB54" s="556"/>
      <c r="RTC54" s="556"/>
      <c r="RTD54" s="556"/>
      <c r="RTE54" s="556"/>
      <c r="RTF54" s="556"/>
      <c r="RTG54" s="556"/>
      <c r="RTH54" s="556"/>
      <c r="RTI54" s="556"/>
      <c r="RTJ54" s="556"/>
      <c r="RTK54" s="556"/>
      <c r="RTL54" s="556"/>
      <c r="RTM54" s="556"/>
      <c r="RTN54" s="556"/>
      <c r="RTO54" s="556"/>
      <c r="RTP54" s="556"/>
      <c r="RTQ54" s="556"/>
      <c r="RTR54" s="556"/>
      <c r="RTS54" s="556"/>
      <c r="RTT54" s="556"/>
      <c r="RTU54" s="556"/>
      <c r="RTV54" s="556"/>
      <c r="RTW54" s="556"/>
      <c r="RTX54" s="556"/>
      <c r="RTY54" s="556"/>
      <c r="RTZ54" s="556"/>
      <c r="RUA54" s="556"/>
      <c r="RUB54" s="556"/>
      <c r="RUC54" s="556"/>
      <c r="RUD54" s="556"/>
      <c r="RUE54" s="556"/>
      <c r="RUF54" s="556"/>
      <c r="RUG54" s="556"/>
      <c r="RUH54" s="556"/>
      <c r="RUI54" s="556"/>
      <c r="RUJ54" s="556"/>
      <c r="RUK54" s="556"/>
      <c r="RUL54" s="556"/>
      <c r="RUM54" s="556"/>
      <c r="RUN54" s="556"/>
      <c r="RUO54" s="556"/>
      <c r="RUP54" s="556"/>
      <c r="RUQ54" s="556"/>
      <c r="RUR54" s="556"/>
      <c r="RUS54" s="556"/>
      <c r="RUT54" s="556"/>
      <c r="RUU54" s="556"/>
      <c r="RUV54" s="556"/>
      <c r="RUW54" s="556"/>
      <c r="RUX54" s="556"/>
      <c r="RUY54" s="556"/>
      <c r="RUZ54" s="556"/>
      <c r="RVA54" s="556"/>
      <c r="RVB54" s="556"/>
      <c r="RVC54" s="556"/>
      <c r="RVD54" s="556"/>
      <c r="RVE54" s="556"/>
      <c r="RVF54" s="556"/>
      <c r="RVG54" s="556"/>
      <c r="RVH54" s="556"/>
      <c r="RVI54" s="556"/>
      <c r="RVJ54" s="556"/>
      <c r="RVK54" s="556"/>
      <c r="RVL54" s="556"/>
      <c r="RVM54" s="556"/>
      <c r="RVN54" s="556"/>
      <c r="RVO54" s="556"/>
      <c r="RVP54" s="556"/>
      <c r="RVQ54" s="556"/>
      <c r="RVR54" s="556"/>
      <c r="RVS54" s="556"/>
      <c r="RVT54" s="556"/>
      <c r="RVU54" s="556"/>
      <c r="RVV54" s="556"/>
      <c r="RVW54" s="556"/>
      <c r="RVX54" s="556"/>
      <c r="RVY54" s="556"/>
      <c r="RVZ54" s="556"/>
      <c r="RWA54" s="556"/>
      <c r="RWB54" s="556"/>
      <c r="RWC54" s="556"/>
      <c r="RWD54" s="556"/>
      <c r="RWE54" s="556"/>
      <c r="RWF54" s="556"/>
      <c r="RWG54" s="556"/>
      <c r="RWH54" s="556"/>
      <c r="RWI54" s="556"/>
      <c r="RWJ54" s="556"/>
      <c r="RWK54" s="556"/>
      <c r="RWL54" s="556"/>
      <c r="RWM54" s="556"/>
      <c r="RWN54" s="556"/>
      <c r="RWO54" s="556"/>
      <c r="RWP54" s="556"/>
      <c r="RWQ54" s="556"/>
      <c r="RWR54" s="556"/>
      <c r="RWS54" s="556"/>
      <c r="RWT54" s="556"/>
      <c r="RWU54" s="556"/>
      <c r="RWV54" s="556"/>
      <c r="RWW54" s="556"/>
      <c r="RWX54" s="556"/>
      <c r="RWY54" s="556"/>
      <c r="RWZ54" s="556"/>
      <c r="RXA54" s="556"/>
      <c r="RXB54" s="556"/>
      <c r="RXC54" s="556"/>
      <c r="RXD54" s="556"/>
      <c r="RXE54" s="556"/>
      <c r="RXF54" s="556"/>
      <c r="RXG54" s="556"/>
      <c r="RXH54" s="556"/>
      <c r="RXI54" s="556"/>
      <c r="RXJ54" s="556"/>
      <c r="RXK54" s="556"/>
      <c r="RXL54" s="556"/>
      <c r="RXM54" s="556"/>
      <c r="RXN54" s="556"/>
      <c r="RXO54" s="556"/>
      <c r="RXP54" s="556"/>
      <c r="RXQ54" s="556"/>
      <c r="RXR54" s="556"/>
      <c r="RXS54" s="556"/>
      <c r="RXT54" s="556"/>
      <c r="RXU54" s="556"/>
      <c r="RXV54" s="556"/>
      <c r="RXW54" s="556"/>
      <c r="RXX54" s="556"/>
      <c r="RXY54" s="556"/>
      <c r="RXZ54" s="556"/>
      <c r="RYA54" s="556"/>
      <c r="RYB54" s="556"/>
      <c r="RYC54" s="556"/>
      <c r="RYD54" s="556"/>
      <c r="RYE54" s="556"/>
      <c r="RYF54" s="556"/>
      <c r="RYG54" s="556"/>
      <c r="RYH54" s="556"/>
      <c r="RYI54" s="556"/>
      <c r="RYJ54" s="556"/>
      <c r="RYK54" s="556"/>
      <c r="RYL54" s="556"/>
      <c r="RYM54" s="556"/>
      <c r="RYN54" s="556"/>
      <c r="RYO54" s="556"/>
      <c r="RYP54" s="556"/>
      <c r="RYQ54" s="556"/>
      <c r="RYR54" s="556"/>
      <c r="RYS54" s="556"/>
      <c r="RYT54" s="556"/>
      <c r="RYU54" s="556"/>
      <c r="RYV54" s="556"/>
      <c r="RYW54" s="556"/>
      <c r="RYX54" s="556"/>
      <c r="RYY54" s="556"/>
      <c r="RYZ54" s="556"/>
      <c r="RZA54" s="556"/>
      <c r="RZB54" s="556"/>
      <c r="RZC54" s="556"/>
      <c r="RZD54" s="556"/>
      <c r="RZE54" s="556"/>
      <c r="RZF54" s="556"/>
      <c r="RZG54" s="556"/>
      <c r="RZH54" s="556"/>
      <c r="RZI54" s="556"/>
      <c r="RZJ54" s="556"/>
      <c r="RZK54" s="556"/>
      <c r="RZL54" s="556"/>
      <c r="RZM54" s="556"/>
      <c r="RZN54" s="556"/>
      <c r="RZO54" s="556"/>
      <c r="RZP54" s="556"/>
      <c r="RZQ54" s="556"/>
      <c r="RZR54" s="556"/>
      <c r="RZS54" s="556"/>
      <c r="RZT54" s="556"/>
      <c r="RZU54" s="556"/>
      <c r="RZV54" s="556"/>
      <c r="RZW54" s="556"/>
      <c r="RZX54" s="556"/>
      <c r="RZY54" s="556"/>
      <c r="RZZ54" s="556"/>
      <c r="SAA54" s="556"/>
      <c r="SAB54" s="556"/>
      <c r="SAC54" s="556"/>
      <c r="SAD54" s="556"/>
      <c r="SAE54" s="556"/>
      <c r="SAF54" s="556"/>
      <c r="SAG54" s="556"/>
      <c r="SAH54" s="556"/>
      <c r="SAI54" s="556"/>
      <c r="SAJ54" s="556"/>
      <c r="SAK54" s="556"/>
      <c r="SAL54" s="556"/>
      <c r="SAM54" s="556"/>
      <c r="SAN54" s="556"/>
      <c r="SAO54" s="556"/>
      <c r="SAP54" s="556"/>
      <c r="SAQ54" s="556"/>
      <c r="SAR54" s="556"/>
      <c r="SAS54" s="556"/>
      <c r="SAT54" s="556"/>
      <c r="SAU54" s="556"/>
      <c r="SAV54" s="556"/>
      <c r="SAW54" s="556"/>
      <c r="SAX54" s="556"/>
      <c r="SAY54" s="556"/>
      <c r="SAZ54" s="556"/>
      <c r="SBA54" s="556"/>
      <c r="SBB54" s="556"/>
      <c r="SBC54" s="556"/>
      <c r="SBD54" s="556"/>
      <c r="SBE54" s="556"/>
      <c r="SBF54" s="556"/>
      <c r="SBG54" s="556"/>
      <c r="SBH54" s="556"/>
      <c r="SBI54" s="556"/>
      <c r="SBJ54" s="556"/>
      <c r="SBK54" s="556"/>
      <c r="SBL54" s="556"/>
      <c r="SBM54" s="556"/>
      <c r="SBN54" s="556"/>
      <c r="SBO54" s="556"/>
      <c r="SBP54" s="556"/>
      <c r="SBQ54" s="556"/>
      <c r="SBR54" s="556"/>
      <c r="SBS54" s="556"/>
      <c r="SBT54" s="556"/>
      <c r="SBU54" s="556"/>
      <c r="SBV54" s="556"/>
      <c r="SBW54" s="556"/>
      <c r="SBX54" s="556"/>
      <c r="SBY54" s="556"/>
      <c r="SBZ54" s="556"/>
      <c r="SCA54" s="556"/>
      <c r="SCB54" s="556"/>
      <c r="SCC54" s="556"/>
      <c r="SCD54" s="556"/>
      <c r="SCE54" s="556"/>
      <c r="SCF54" s="556"/>
      <c r="SCG54" s="556"/>
      <c r="SCH54" s="556"/>
      <c r="SCI54" s="556"/>
      <c r="SCJ54" s="556"/>
      <c r="SCK54" s="556"/>
      <c r="SCL54" s="556"/>
      <c r="SCM54" s="556"/>
      <c r="SCN54" s="556"/>
      <c r="SCO54" s="556"/>
      <c r="SCP54" s="556"/>
      <c r="SCQ54" s="556"/>
      <c r="SCR54" s="556"/>
      <c r="SCS54" s="556"/>
      <c r="SCT54" s="556"/>
      <c r="SCU54" s="556"/>
      <c r="SCV54" s="556"/>
      <c r="SCW54" s="556"/>
      <c r="SCX54" s="556"/>
      <c r="SCY54" s="556"/>
      <c r="SCZ54" s="556"/>
      <c r="SDA54" s="556"/>
      <c r="SDB54" s="556"/>
      <c r="SDC54" s="556"/>
      <c r="SDD54" s="556"/>
      <c r="SDE54" s="556"/>
      <c r="SDF54" s="556"/>
      <c r="SDG54" s="556"/>
      <c r="SDH54" s="556"/>
      <c r="SDI54" s="556"/>
      <c r="SDJ54" s="556"/>
      <c r="SDK54" s="556"/>
      <c r="SDL54" s="556"/>
      <c r="SDM54" s="556"/>
      <c r="SDN54" s="556"/>
      <c r="SDO54" s="556"/>
      <c r="SDP54" s="556"/>
      <c r="SDQ54" s="556"/>
      <c r="SDR54" s="556"/>
      <c r="SDS54" s="556"/>
      <c r="SDT54" s="556"/>
      <c r="SDU54" s="556"/>
      <c r="SDV54" s="556"/>
      <c r="SDW54" s="556"/>
      <c r="SDX54" s="556"/>
      <c r="SDY54" s="556"/>
      <c r="SDZ54" s="556"/>
      <c r="SEA54" s="556"/>
      <c r="SEB54" s="556"/>
      <c r="SEC54" s="556"/>
      <c r="SED54" s="556"/>
      <c r="SEE54" s="556"/>
      <c r="SEF54" s="556"/>
      <c r="SEG54" s="556"/>
      <c r="SEH54" s="556"/>
      <c r="SEI54" s="556"/>
      <c r="SEJ54" s="556"/>
      <c r="SEK54" s="556"/>
      <c r="SEL54" s="556"/>
      <c r="SEM54" s="556"/>
      <c r="SEN54" s="556"/>
      <c r="SEO54" s="556"/>
      <c r="SEP54" s="556"/>
      <c r="SEQ54" s="556"/>
      <c r="SER54" s="556"/>
      <c r="SES54" s="556"/>
      <c r="SET54" s="556"/>
      <c r="SEU54" s="556"/>
      <c r="SEV54" s="556"/>
      <c r="SEW54" s="556"/>
      <c r="SEX54" s="556"/>
      <c r="SEY54" s="556"/>
      <c r="SEZ54" s="556"/>
      <c r="SFA54" s="556"/>
      <c r="SFB54" s="556"/>
      <c r="SFC54" s="556"/>
      <c r="SFD54" s="556"/>
      <c r="SFE54" s="556"/>
      <c r="SFF54" s="556"/>
      <c r="SFG54" s="556"/>
      <c r="SFH54" s="556"/>
      <c r="SFI54" s="556"/>
      <c r="SFJ54" s="556"/>
      <c r="SFK54" s="556"/>
      <c r="SFL54" s="556"/>
      <c r="SFM54" s="556"/>
      <c r="SFN54" s="556"/>
      <c r="SFO54" s="556"/>
      <c r="SFP54" s="556"/>
      <c r="SFQ54" s="556"/>
      <c r="SFR54" s="556"/>
      <c r="SFS54" s="556"/>
      <c r="SFT54" s="556"/>
      <c r="SFU54" s="556"/>
      <c r="SFV54" s="556"/>
      <c r="SFW54" s="556"/>
      <c r="SFX54" s="556"/>
      <c r="SFY54" s="556"/>
      <c r="SFZ54" s="556"/>
      <c r="SGA54" s="556"/>
      <c r="SGB54" s="556"/>
      <c r="SGC54" s="556"/>
      <c r="SGD54" s="556"/>
      <c r="SGE54" s="556"/>
      <c r="SGF54" s="556"/>
      <c r="SGG54" s="556"/>
      <c r="SGH54" s="556"/>
      <c r="SGI54" s="556"/>
      <c r="SGJ54" s="556"/>
      <c r="SGK54" s="556"/>
      <c r="SGL54" s="556"/>
      <c r="SGM54" s="556"/>
      <c r="SGN54" s="556"/>
      <c r="SGO54" s="556"/>
      <c r="SGP54" s="556"/>
      <c r="SGQ54" s="556"/>
      <c r="SGR54" s="556"/>
      <c r="SGS54" s="556"/>
      <c r="SGT54" s="556"/>
      <c r="SGU54" s="556"/>
      <c r="SGV54" s="556"/>
      <c r="SGW54" s="556"/>
      <c r="SGX54" s="556"/>
      <c r="SGY54" s="556"/>
      <c r="SGZ54" s="556"/>
      <c r="SHA54" s="556"/>
      <c r="SHB54" s="556"/>
      <c r="SHC54" s="556"/>
      <c r="SHD54" s="556"/>
      <c r="SHE54" s="556"/>
      <c r="SHF54" s="556"/>
      <c r="SHG54" s="556"/>
      <c r="SHH54" s="556"/>
      <c r="SHI54" s="556"/>
      <c r="SHJ54" s="556"/>
      <c r="SHK54" s="556"/>
      <c r="SHL54" s="556"/>
      <c r="SHM54" s="556"/>
      <c r="SHN54" s="556"/>
      <c r="SHO54" s="556"/>
      <c r="SHP54" s="556"/>
      <c r="SHQ54" s="556"/>
      <c r="SHR54" s="556"/>
      <c r="SHS54" s="556"/>
      <c r="SHT54" s="556"/>
      <c r="SHU54" s="556"/>
      <c r="SHV54" s="556"/>
      <c r="SHW54" s="556"/>
      <c r="SHX54" s="556"/>
      <c r="SHY54" s="556"/>
      <c r="SHZ54" s="556"/>
      <c r="SIA54" s="556"/>
      <c r="SIB54" s="556"/>
      <c r="SIC54" s="556"/>
      <c r="SID54" s="556"/>
      <c r="SIE54" s="556"/>
      <c r="SIF54" s="556"/>
      <c r="SIG54" s="556"/>
      <c r="SIH54" s="556"/>
      <c r="SII54" s="556"/>
      <c r="SIJ54" s="556"/>
      <c r="SIK54" s="556"/>
      <c r="SIL54" s="556"/>
      <c r="SIM54" s="556"/>
      <c r="SIN54" s="556"/>
      <c r="SIO54" s="556"/>
      <c r="SIP54" s="556"/>
      <c r="SIQ54" s="556"/>
      <c r="SIR54" s="556"/>
      <c r="SIS54" s="556"/>
      <c r="SIT54" s="556"/>
      <c r="SIU54" s="556"/>
      <c r="SIV54" s="556"/>
      <c r="SIW54" s="556"/>
      <c r="SIX54" s="556"/>
      <c r="SIY54" s="556"/>
      <c r="SIZ54" s="556"/>
      <c r="SJA54" s="556"/>
      <c r="SJB54" s="556"/>
      <c r="SJC54" s="556"/>
      <c r="SJD54" s="556"/>
      <c r="SJE54" s="556"/>
      <c r="SJF54" s="556"/>
      <c r="SJG54" s="556"/>
      <c r="SJH54" s="556"/>
      <c r="SJI54" s="556"/>
      <c r="SJJ54" s="556"/>
      <c r="SJK54" s="556"/>
      <c r="SJL54" s="556"/>
      <c r="SJM54" s="556"/>
      <c r="SJN54" s="556"/>
      <c r="SJO54" s="556"/>
      <c r="SJP54" s="556"/>
      <c r="SJQ54" s="556"/>
      <c r="SJR54" s="556"/>
      <c r="SJS54" s="556"/>
      <c r="SJT54" s="556"/>
      <c r="SJU54" s="556"/>
      <c r="SJV54" s="556"/>
      <c r="SJW54" s="556"/>
      <c r="SJX54" s="556"/>
      <c r="SJY54" s="556"/>
      <c r="SJZ54" s="556"/>
      <c r="SKA54" s="556"/>
      <c r="SKB54" s="556"/>
      <c r="SKC54" s="556"/>
      <c r="SKD54" s="556"/>
      <c r="SKE54" s="556"/>
      <c r="SKF54" s="556"/>
      <c r="SKG54" s="556"/>
      <c r="SKH54" s="556"/>
      <c r="SKI54" s="556"/>
      <c r="SKJ54" s="556"/>
      <c r="SKK54" s="556"/>
      <c r="SKL54" s="556"/>
      <c r="SKM54" s="556"/>
      <c r="SKN54" s="556"/>
      <c r="SKO54" s="556"/>
      <c r="SKP54" s="556"/>
      <c r="SKQ54" s="556"/>
      <c r="SKR54" s="556"/>
      <c r="SKS54" s="556"/>
      <c r="SKT54" s="556"/>
      <c r="SKU54" s="556"/>
      <c r="SKV54" s="556"/>
      <c r="SKW54" s="556"/>
      <c r="SKX54" s="556"/>
      <c r="SKY54" s="556"/>
      <c r="SKZ54" s="556"/>
      <c r="SLA54" s="556"/>
      <c r="SLB54" s="556"/>
      <c r="SLC54" s="556"/>
      <c r="SLD54" s="556"/>
      <c r="SLE54" s="556"/>
      <c r="SLF54" s="556"/>
      <c r="SLG54" s="556"/>
      <c r="SLH54" s="556"/>
      <c r="SLI54" s="556"/>
      <c r="SLJ54" s="556"/>
      <c r="SLK54" s="556"/>
      <c r="SLL54" s="556"/>
      <c r="SLM54" s="556"/>
      <c r="SLN54" s="556"/>
      <c r="SLO54" s="556"/>
      <c r="SLP54" s="556"/>
      <c r="SLQ54" s="556"/>
      <c r="SLR54" s="556"/>
      <c r="SLS54" s="556"/>
      <c r="SLT54" s="556"/>
      <c r="SLU54" s="556"/>
      <c r="SLV54" s="556"/>
      <c r="SLW54" s="556"/>
      <c r="SLX54" s="556"/>
      <c r="SLY54" s="556"/>
      <c r="SLZ54" s="556"/>
      <c r="SMA54" s="556"/>
      <c r="SMB54" s="556"/>
      <c r="SMC54" s="556"/>
      <c r="SMD54" s="556"/>
      <c r="SME54" s="556"/>
      <c r="SMF54" s="556"/>
      <c r="SMG54" s="556"/>
      <c r="SMH54" s="556"/>
      <c r="SMI54" s="556"/>
      <c r="SMJ54" s="556"/>
      <c r="SMK54" s="556"/>
      <c r="SML54" s="556"/>
      <c r="SMM54" s="556"/>
      <c r="SMN54" s="556"/>
      <c r="SMO54" s="556"/>
      <c r="SMP54" s="556"/>
      <c r="SMQ54" s="556"/>
      <c r="SMR54" s="556"/>
      <c r="SMS54" s="556"/>
      <c r="SMT54" s="556"/>
      <c r="SMU54" s="556"/>
      <c r="SMV54" s="556"/>
      <c r="SMW54" s="556"/>
      <c r="SMX54" s="556"/>
      <c r="SMY54" s="556"/>
      <c r="SMZ54" s="556"/>
      <c r="SNA54" s="556"/>
      <c r="SNB54" s="556"/>
      <c r="SNC54" s="556"/>
      <c r="SND54" s="556"/>
      <c r="SNE54" s="556"/>
      <c r="SNF54" s="556"/>
      <c r="SNG54" s="556"/>
      <c r="SNH54" s="556"/>
      <c r="SNI54" s="556"/>
      <c r="SNJ54" s="556"/>
      <c r="SNK54" s="556"/>
      <c r="SNL54" s="556"/>
      <c r="SNM54" s="556"/>
      <c r="SNN54" s="556"/>
      <c r="SNO54" s="556"/>
      <c r="SNP54" s="556"/>
      <c r="SNQ54" s="556"/>
      <c r="SNR54" s="556"/>
      <c r="SNS54" s="556"/>
      <c r="SNT54" s="556"/>
      <c r="SNU54" s="556"/>
      <c r="SNV54" s="556"/>
      <c r="SNW54" s="556"/>
      <c r="SNX54" s="556"/>
      <c r="SNY54" s="556"/>
      <c r="SNZ54" s="556"/>
      <c r="SOA54" s="556"/>
      <c r="SOB54" s="556"/>
      <c r="SOC54" s="556"/>
      <c r="SOD54" s="556"/>
      <c r="SOE54" s="556"/>
      <c r="SOF54" s="556"/>
      <c r="SOG54" s="556"/>
      <c r="SOH54" s="556"/>
      <c r="SOI54" s="556"/>
      <c r="SOJ54" s="556"/>
      <c r="SOK54" s="556"/>
      <c r="SOL54" s="556"/>
      <c r="SOM54" s="556"/>
      <c r="SON54" s="556"/>
      <c r="SOO54" s="556"/>
      <c r="SOP54" s="556"/>
      <c r="SOQ54" s="556"/>
      <c r="SOR54" s="556"/>
      <c r="SOS54" s="556"/>
      <c r="SOT54" s="556"/>
      <c r="SOU54" s="556"/>
      <c r="SOV54" s="556"/>
      <c r="SOW54" s="556"/>
      <c r="SOX54" s="556"/>
      <c r="SOY54" s="556"/>
      <c r="SOZ54" s="556"/>
      <c r="SPA54" s="556"/>
      <c r="SPB54" s="556"/>
      <c r="SPC54" s="556"/>
      <c r="SPD54" s="556"/>
      <c r="SPE54" s="556"/>
      <c r="SPF54" s="556"/>
      <c r="SPG54" s="556"/>
      <c r="SPH54" s="556"/>
      <c r="SPI54" s="556"/>
      <c r="SPJ54" s="556"/>
      <c r="SPK54" s="556"/>
      <c r="SPL54" s="556"/>
      <c r="SPM54" s="556"/>
      <c r="SPN54" s="556"/>
      <c r="SPO54" s="556"/>
      <c r="SPP54" s="556"/>
      <c r="SPQ54" s="556"/>
      <c r="SPR54" s="556"/>
      <c r="SPS54" s="556"/>
      <c r="SPT54" s="556"/>
      <c r="SPU54" s="556"/>
      <c r="SPV54" s="556"/>
      <c r="SPW54" s="556"/>
      <c r="SPX54" s="556"/>
      <c r="SPY54" s="556"/>
      <c r="SPZ54" s="556"/>
      <c r="SQA54" s="556"/>
      <c r="SQB54" s="556"/>
      <c r="SQC54" s="556"/>
      <c r="SQD54" s="556"/>
      <c r="SQE54" s="556"/>
      <c r="SQF54" s="556"/>
      <c r="SQG54" s="556"/>
      <c r="SQH54" s="556"/>
      <c r="SQI54" s="556"/>
      <c r="SQJ54" s="556"/>
      <c r="SQK54" s="556"/>
      <c r="SQL54" s="556"/>
      <c r="SQM54" s="556"/>
      <c r="SQN54" s="556"/>
      <c r="SQO54" s="556"/>
      <c r="SQP54" s="556"/>
      <c r="SQQ54" s="556"/>
      <c r="SQR54" s="556"/>
      <c r="SQS54" s="556"/>
      <c r="SQT54" s="556"/>
      <c r="SQU54" s="556"/>
      <c r="SQV54" s="556"/>
      <c r="SQW54" s="556"/>
      <c r="SQX54" s="556"/>
      <c r="SQY54" s="556"/>
      <c r="SQZ54" s="556"/>
      <c r="SRA54" s="556"/>
      <c r="SRB54" s="556"/>
      <c r="SRC54" s="556"/>
      <c r="SRD54" s="556"/>
      <c r="SRE54" s="556"/>
      <c r="SRF54" s="556"/>
      <c r="SRG54" s="556"/>
      <c r="SRH54" s="556"/>
      <c r="SRI54" s="556"/>
      <c r="SRJ54" s="556"/>
      <c r="SRK54" s="556"/>
      <c r="SRL54" s="556"/>
      <c r="SRM54" s="556"/>
      <c r="SRN54" s="556"/>
      <c r="SRO54" s="556"/>
      <c r="SRP54" s="556"/>
      <c r="SRQ54" s="556"/>
      <c r="SRR54" s="556"/>
      <c r="SRS54" s="556"/>
      <c r="SRT54" s="556"/>
      <c r="SRU54" s="556"/>
      <c r="SRV54" s="556"/>
      <c r="SRW54" s="556"/>
      <c r="SRX54" s="556"/>
      <c r="SRY54" s="556"/>
      <c r="SRZ54" s="556"/>
      <c r="SSA54" s="556"/>
      <c r="SSB54" s="556"/>
      <c r="SSC54" s="556"/>
      <c r="SSD54" s="556"/>
      <c r="SSE54" s="556"/>
      <c r="SSF54" s="556"/>
      <c r="SSG54" s="556"/>
      <c r="SSH54" s="556"/>
      <c r="SSI54" s="556"/>
      <c r="SSJ54" s="556"/>
      <c r="SSK54" s="556"/>
      <c r="SSL54" s="556"/>
      <c r="SSM54" s="556"/>
      <c r="SSN54" s="556"/>
      <c r="SSO54" s="556"/>
      <c r="SSP54" s="556"/>
      <c r="SSQ54" s="556"/>
      <c r="SSR54" s="556"/>
      <c r="SSS54" s="556"/>
      <c r="SST54" s="556"/>
      <c r="SSU54" s="556"/>
      <c r="SSV54" s="556"/>
      <c r="SSW54" s="556"/>
      <c r="SSX54" s="556"/>
      <c r="SSY54" s="556"/>
      <c r="SSZ54" s="556"/>
      <c r="STA54" s="556"/>
      <c r="STB54" s="556"/>
      <c r="STC54" s="556"/>
      <c r="STD54" s="556"/>
      <c r="STE54" s="556"/>
      <c r="STF54" s="556"/>
      <c r="STG54" s="556"/>
      <c r="STH54" s="556"/>
      <c r="STI54" s="556"/>
      <c r="STJ54" s="556"/>
      <c r="STK54" s="556"/>
      <c r="STL54" s="556"/>
      <c r="STM54" s="556"/>
      <c r="STN54" s="556"/>
      <c r="STO54" s="556"/>
      <c r="STP54" s="556"/>
      <c r="STQ54" s="556"/>
      <c r="STR54" s="556"/>
      <c r="STS54" s="556"/>
      <c r="STT54" s="556"/>
      <c r="STU54" s="556"/>
      <c r="STV54" s="556"/>
      <c r="STW54" s="556"/>
      <c r="STX54" s="556"/>
      <c r="STY54" s="556"/>
      <c r="STZ54" s="556"/>
      <c r="SUA54" s="556"/>
      <c r="SUB54" s="556"/>
      <c r="SUC54" s="556"/>
      <c r="SUD54" s="556"/>
      <c r="SUE54" s="556"/>
      <c r="SUF54" s="556"/>
      <c r="SUG54" s="556"/>
      <c r="SUH54" s="556"/>
      <c r="SUI54" s="556"/>
      <c r="SUJ54" s="556"/>
      <c r="SUK54" s="556"/>
      <c r="SUL54" s="556"/>
      <c r="SUM54" s="556"/>
      <c r="SUN54" s="556"/>
      <c r="SUO54" s="556"/>
      <c r="SUP54" s="556"/>
      <c r="SUQ54" s="556"/>
      <c r="SUR54" s="556"/>
      <c r="SUS54" s="556"/>
      <c r="SUT54" s="556"/>
      <c r="SUU54" s="556"/>
      <c r="SUV54" s="556"/>
      <c r="SUW54" s="556"/>
      <c r="SUX54" s="556"/>
      <c r="SUY54" s="556"/>
      <c r="SUZ54" s="556"/>
      <c r="SVA54" s="556"/>
      <c r="SVB54" s="556"/>
      <c r="SVC54" s="556"/>
      <c r="SVD54" s="556"/>
      <c r="SVE54" s="556"/>
      <c r="SVF54" s="556"/>
      <c r="SVG54" s="556"/>
      <c r="SVH54" s="556"/>
      <c r="SVI54" s="556"/>
      <c r="SVJ54" s="556"/>
      <c r="SVK54" s="556"/>
      <c r="SVL54" s="556"/>
      <c r="SVM54" s="556"/>
      <c r="SVN54" s="556"/>
      <c r="SVO54" s="556"/>
      <c r="SVP54" s="556"/>
      <c r="SVQ54" s="556"/>
      <c r="SVR54" s="556"/>
      <c r="SVS54" s="556"/>
      <c r="SVT54" s="556"/>
      <c r="SVU54" s="556"/>
      <c r="SVV54" s="556"/>
      <c r="SVW54" s="556"/>
      <c r="SVX54" s="556"/>
      <c r="SVY54" s="556"/>
      <c r="SVZ54" s="556"/>
      <c r="SWA54" s="556"/>
      <c r="SWB54" s="556"/>
      <c r="SWC54" s="556"/>
      <c r="SWD54" s="556"/>
      <c r="SWE54" s="556"/>
      <c r="SWF54" s="556"/>
      <c r="SWG54" s="556"/>
      <c r="SWH54" s="556"/>
      <c r="SWI54" s="556"/>
      <c r="SWJ54" s="556"/>
      <c r="SWK54" s="556"/>
      <c r="SWL54" s="556"/>
      <c r="SWM54" s="556"/>
      <c r="SWN54" s="556"/>
      <c r="SWO54" s="556"/>
      <c r="SWP54" s="556"/>
      <c r="SWQ54" s="556"/>
      <c r="SWR54" s="556"/>
      <c r="SWS54" s="556"/>
      <c r="SWT54" s="556"/>
      <c r="SWU54" s="556"/>
      <c r="SWV54" s="556"/>
      <c r="SWW54" s="556"/>
      <c r="SWX54" s="556"/>
      <c r="SWY54" s="556"/>
      <c r="SWZ54" s="556"/>
      <c r="SXA54" s="556"/>
      <c r="SXB54" s="556"/>
      <c r="SXC54" s="556"/>
      <c r="SXD54" s="556"/>
      <c r="SXE54" s="556"/>
      <c r="SXF54" s="556"/>
      <c r="SXG54" s="556"/>
      <c r="SXH54" s="556"/>
      <c r="SXI54" s="556"/>
      <c r="SXJ54" s="556"/>
      <c r="SXK54" s="556"/>
      <c r="SXL54" s="556"/>
      <c r="SXM54" s="556"/>
      <c r="SXN54" s="556"/>
      <c r="SXO54" s="556"/>
      <c r="SXP54" s="556"/>
      <c r="SXQ54" s="556"/>
      <c r="SXR54" s="556"/>
      <c r="SXS54" s="556"/>
      <c r="SXT54" s="556"/>
      <c r="SXU54" s="556"/>
      <c r="SXV54" s="556"/>
      <c r="SXW54" s="556"/>
      <c r="SXX54" s="556"/>
      <c r="SXY54" s="556"/>
      <c r="SXZ54" s="556"/>
      <c r="SYA54" s="556"/>
      <c r="SYB54" s="556"/>
      <c r="SYC54" s="556"/>
      <c r="SYD54" s="556"/>
      <c r="SYE54" s="556"/>
      <c r="SYF54" s="556"/>
      <c r="SYG54" s="556"/>
      <c r="SYH54" s="556"/>
      <c r="SYI54" s="556"/>
      <c r="SYJ54" s="556"/>
      <c r="SYK54" s="556"/>
      <c r="SYL54" s="556"/>
      <c r="SYM54" s="556"/>
      <c r="SYN54" s="556"/>
      <c r="SYO54" s="556"/>
      <c r="SYP54" s="556"/>
      <c r="SYQ54" s="556"/>
      <c r="SYR54" s="556"/>
      <c r="SYS54" s="556"/>
      <c r="SYT54" s="556"/>
      <c r="SYU54" s="556"/>
      <c r="SYV54" s="556"/>
      <c r="SYW54" s="556"/>
      <c r="SYX54" s="556"/>
      <c r="SYY54" s="556"/>
      <c r="SYZ54" s="556"/>
      <c r="SZA54" s="556"/>
      <c r="SZB54" s="556"/>
      <c r="SZC54" s="556"/>
      <c r="SZD54" s="556"/>
      <c r="SZE54" s="556"/>
      <c r="SZF54" s="556"/>
      <c r="SZG54" s="556"/>
      <c r="SZH54" s="556"/>
      <c r="SZI54" s="556"/>
      <c r="SZJ54" s="556"/>
      <c r="SZK54" s="556"/>
      <c r="SZL54" s="556"/>
      <c r="SZM54" s="556"/>
      <c r="SZN54" s="556"/>
      <c r="SZO54" s="556"/>
      <c r="SZP54" s="556"/>
      <c r="SZQ54" s="556"/>
      <c r="SZR54" s="556"/>
      <c r="SZS54" s="556"/>
      <c r="SZT54" s="556"/>
      <c r="SZU54" s="556"/>
      <c r="SZV54" s="556"/>
      <c r="SZW54" s="556"/>
      <c r="SZX54" s="556"/>
      <c r="SZY54" s="556"/>
      <c r="SZZ54" s="556"/>
      <c r="TAA54" s="556"/>
      <c r="TAB54" s="556"/>
      <c r="TAC54" s="556"/>
      <c r="TAD54" s="556"/>
      <c r="TAE54" s="556"/>
      <c r="TAF54" s="556"/>
      <c r="TAG54" s="556"/>
      <c r="TAH54" s="556"/>
      <c r="TAI54" s="556"/>
      <c r="TAJ54" s="556"/>
      <c r="TAK54" s="556"/>
      <c r="TAL54" s="556"/>
      <c r="TAM54" s="556"/>
      <c r="TAN54" s="556"/>
      <c r="TAO54" s="556"/>
      <c r="TAP54" s="556"/>
      <c r="TAQ54" s="556"/>
      <c r="TAR54" s="556"/>
      <c r="TAS54" s="556"/>
      <c r="TAT54" s="556"/>
      <c r="TAU54" s="556"/>
      <c r="TAV54" s="556"/>
      <c r="TAW54" s="556"/>
      <c r="TAX54" s="556"/>
      <c r="TAY54" s="556"/>
      <c r="TAZ54" s="556"/>
      <c r="TBA54" s="556"/>
      <c r="TBB54" s="556"/>
      <c r="TBC54" s="556"/>
      <c r="TBD54" s="556"/>
      <c r="TBE54" s="556"/>
      <c r="TBF54" s="556"/>
      <c r="TBG54" s="556"/>
      <c r="TBH54" s="556"/>
      <c r="TBI54" s="556"/>
      <c r="TBJ54" s="556"/>
      <c r="TBK54" s="556"/>
      <c r="TBL54" s="556"/>
      <c r="TBM54" s="556"/>
      <c r="TBN54" s="556"/>
      <c r="TBO54" s="556"/>
      <c r="TBP54" s="556"/>
      <c r="TBQ54" s="556"/>
      <c r="TBR54" s="556"/>
      <c r="TBS54" s="556"/>
      <c r="TBT54" s="556"/>
      <c r="TBU54" s="556"/>
      <c r="TBV54" s="556"/>
      <c r="TBW54" s="556"/>
      <c r="TBX54" s="556"/>
      <c r="TBY54" s="556"/>
      <c r="TBZ54" s="556"/>
      <c r="TCA54" s="556"/>
      <c r="TCB54" s="556"/>
      <c r="TCC54" s="556"/>
      <c r="TCD54" s="556"/>
      <c r="TCE54" s="556"/>
      <c r="TCF54" s="556"/>
      <c r="TCG54" s="556"/>
      <c r="TCH54" s="556"/>
      <c r="TCI54" s="556"/>
      <c r="TCJ54" s="556"/>
      <c r="TCK54" s="556"/>
      <c r="TCL54" s="556"/>
      <c r="TCM54" s="556"/>
      <c r="TCN54" s="556"/>
      <c r="TCO54" s="556"/>
      <c r="TCP54" s="556"/>
      <c r="TCQ54" s="556"/>
      <c r="TCR54" s="556"/>
      <c r="TCS54" s="556"/>
      <c r="TCT54" s="556"/>
      <c r="TCU54" s="556"/>
      <c r="TCV54" s="556"/>
      <c r="TCW54" s="556"/>
      <c r="TCX54" s="556"/>
      <c r="TCY54" s="556"/>
      <c r="TCZ54" s="556"/>
      <c r="TDA54" s="556"/>
      <c r="TDB54" s="556"/>
      <c r="TDC54" s="556"/>
      <c r="TDD54" s="556"/>
      <c r="TDE54" s="556"/>
      <c r="TDF54" s="556"/>
      <c r="TDG54" s="556"/>
      <c r="TDH54" s="556"/>
      <c r="TDI54" s="556"/>
      <c r="TDJ54" s="556"/>
      <c r="TDK54" s="556"/>
      <c r="TDL54" s="556"/>
      <c r="TDM54" s="556"/>
      <c r="TDN54" s="556"/>
      <c r="TDO54" s="556"/>
      <c r="TDP54" s="556"/>
      <c r="TDQ54" s="556"/>
      <c r="TDR54" s="556"/>
      <c r="TDS54" s="556"/>
      <c r="TDT54" s="556"/>
      <c r="TDU54" s="556"/>
      <c r="TDV54" s="556"/>
      <c r="TDW54" s="556"/>
      <c r="TDX54" s="556"/>
      <c r="TDY54" s="556"/>
      <c r="TDZ54" s="556"/>
      <c r="TEA54" s="556"/>
      <c r="TEB54" s="556"/>
      <c r="TEC54" s="556"/>
      <c r="TED54" s="556"/>
      <c r="TEE54" s="556"/>
      <c r="TEF54" s="556"/>
      <c r="TEG54" s="556"/>
      <c r="TEH54" s="556"/>
      <c r="TEI54" s="556"/>
      <c r="TEJ54" s="556"/>
      <c r="TEK54" s="556"/>
      <c r="TEL54" s="556"/>
      <c r="TEM54" s="556"/>
      <c r="TEN54" s="556"/>
      <c r="TEO54" s="556"/>
      <c r="TEP54" s="556"/>
      <c r="TEQ54" s="556"/>
      <c r="TER54" s="556"/>
      <c r="TES54" s="556"/>
      <c r="TET54" s="556"/>
      <c r="TEU54" s="556"/>
      <c r="TEV54" s="556"/>
      <c r="TEW54" s="556"/>
      <c r="TEX54" s="556"/>
      <c r="TEY54" s="556"/>
      <c r="TEZ54" s="556"/>
      <c r="TFA54" s="556"/>
      <c r="TFB54" s="556"/>
      <c r="TFC54" s="556"/>
      <c r="TFD54" s="556"/>
      <c r="TFE54" s="556"/>
      <c r="TFF54" s="556"/>
      <c r="TFG54" s="556"/>
      <c r="TFH54" s="556"/>
      <c r="TFI54" s="556"/>
      <c r="TFJ54" s="556"/>
      <c r="TFK54" s="556"/>
      <c r="TFL54" s="556"/>
      <c r="TFM54" s="556"/>
      <c r="TFN54" s="556"/>
      <c r="TFO54" s="556"/>
      <c r="TFP54" s="556"/>
      <c r="TFQ54" s="556"/>
      <c r="TFR54" s="556"/>
      <c r="TFS54" s="556"/>
      <c r="TFT54" s="556"/>
      <c r="TFU54" s="556"/>
      <c r="TFV54" s="556"/>
      <c r="TFW54" s="556"/>
      <c r="TFX54" s="556"/>
      <c r="TFY54" s="556"/>
      <c r="TFZ54" s="556"/>
      <c r="TGA54" s="556"/>
      <c r="TGB54" s="556"/>
      <c r="TGC54" s="556"/>
      <c r="TGD54" s="556"/>
      <c r="TGE54" s="556"/>
      <c r="TGF54" s="556"/>
      <c r="TGG54" s="556"/>
      <c r="TGH54" s="556"/>
      <c r="TGI54" s="556"/>
      <c r="TGJ54" s="556"/>
      <c r="TGK54" s="556"/>
      <c r="TGL54" s="556"/>
      <c r="TGM54" s="556"/>
      <c r="TGN54" s="556"/>
      <c r="TGO54" s="556"/>
      <c r="TGP54" s="556"/>
      <c r="TGQ54" s="556"/>
      <c r="TGR54" s="556"/>
      <c r="TGS54" s="556"/>
      <c r="TGT54" s="556"/>
      <c r="TGU54" s="556"/>
      <c r="TGV54" s="556"/>
      <c r="TGW54" s="556"/>
      <c r="TGX54" s="556"/>
      <c r="TGY54" s="556"/>
      <c r="TGZ54" s="556"/>
      <c r="THA54" s="556"/>
      <c r="THB54" s="556"/>
      <c r="THC54" s="556"/>
      <c r="THD54" s="556"/>
      <c r="THE54" s="556"/>
      <c r="THF54" s="556"/>
      <c r="THG54" s="556"/>
      <c r="THH54" s="556"/>
      <c r="THI54" s="556"/>
      <c r="THJ54" s="556"/>
      <c r="THK54" s="556"/>
      <c r="THL54" s="556"/>
      <c r="THM54" s="556"/>
      <c r="THN54" s="556"/>
      <c r="THO54" s="556"/>
      <c r="THP54" s="556"/>
      <c r="THQ54" s="556"/>
      <c r="THR54" s="556"/>
      <c r="THS54" s="556"/>
      <c r="THT54" s="556"/>
      <c r="THU54" s="556"/>
      <c r="THV54" s="556"/>
      <c r="THW54" s="556"/>
      <c r="THX54" s="556"/>
      <c r="THY54" s="556"/>
      <c r="THZ54" s="556"/>
      <c r="TIA54" s="556"/>
      <c r="TIB54" s="556"/>
      <c r="TIC54" s="556"/>
      <c r="TID54" s="556"/>
      <c r="TIE54" s="556"/>
      <c r="TIF54" s="556"/>
      <c r="TIG54" s="556"/>
      <c r="TIH54" s="556"/>
      <c r="TII54" s="556"/>
      <c r="TIJ54" s="556"/>
      <c r="TIK54" s="556"/>
      <c r="TIL54" s="556"/>
      <c r="TIM54" s="556"/>
      <c r="TIN54" s="556"/>
      <c r="TIO54" s="556"/>
      <c r="TIP54" s="556"/>
      <c r="TIQ54" s="556"/>
      <c r="TIR54" s="556"/>
      <c r="TIS54" s="556"/>
      <c r="TIT54" s="556"/>
      <c r="TIU54" s="556"/>
      <c r="TIV54" s="556"/>
      <c r="TIW54" s="556"/>
      <c r="TIX54" s="556"/>
      <c r="TIY54" s="556"/>
      <c r="TIZ54" s="556"/>
      <c r="TJA54" s="556"/>
      <c r="TJB54" s="556"/>
      <c r="TJC54" s="556"/>
      <c r="TJD54" s="556"/>
      <c r="TJE54" s="556"/>
      <c r="TJF54" s="556"/>
      <c r="TJG54" s="556"/>
      <c r="TJH54" s="556"/>
      <c r="TJI54" s="556"/>
      <c r="TJJ54" s="556"/>
      <c r="TJK54" s="556"/>
      <c r="TJL54" s="556"/>
      <c r="TJM54" s="556"/>
      <c r="TJN54" s="556"/>
      <c r="TJO54" s="556"/>
      <c r="TJP54" s="556"/>
      <c r="TJQ54" s="556"/>
      <c r="TJR54" s="556"/>
      <c r="TJS54" s="556"/>
      <c r="TJT54" s="556"/>
      <c r="TJU54" s="556"/>
      <c r="TJV54" s="556"/>
      <c r="TJW54" s="556"/>
      <c r="TJX54" s="556"/>
      <c r="TJY54" s="556"/>
      <c r="TJZ54" s="556"/>
      <c r="TKA54" s="556"/>
      <c r="TKB54" s="556"/>
      <c r="TKC54" s="556"/>
      <c r="TKD54" s="556"/>
      <c r="TKE54" s="556"/>
      <c r="TKF54" s="556"/>
      <c r="TKG54" s="556"/>
      <c r="TKH54" s="556"/>
      <c r="TKI54" s="556"/>
      <c r="TKJ54" s="556"/>
      <c r="TKK54" s="556"/>
      <c r="TKL54" s="556"/>
      <c r="TKM54" s="556"/>
      <c r="TKN54" s="556"/>
      <c r="TKO54" s="556"/>
      <c r="TKP54" s="556"/>
      <c r="TKQ54" s="556"/>
      <c r="TKR54" s="556"/>
      <c r="TKS54" s="556"/>
      <c r="TKT54" s="556"/>
      <c r="TKU54" s="556"/>
      <c r="TKV54" s="556"/>
      <c r="TKW54" s="556"/>
      <c r="TKX54" s="556"/>
      <c r="TKY54" s="556"/>
      <c r="TKZ54" s="556"/>
      <c r="TLA54" s="556"/>
      <c r="TLB54" s="556"/>
      <c r="TLC54" s="556"/>
      <c r="TLD54" s="556"/>
      <c r="TLE54" s="556"/>
      <c r="TLF54" s="556"/>
      <c r="TLG54" s="556"/>
      <c r="TLH54" s="556"/>
      <c r="TLI54" s="556"/>
      <c r="TLJ54" s="556"/>
      <c r="TLK54" s="556"/>
      <c r="TLL54" s="556"/>
      <c r="TLM54" s="556"/>
      <c r="TLN54" s="556"/>
      <c r="TLO54" s="556"/>
      <c r="TLP54" s="556"/>
      <c r="TLQ54" s="556"/>
      <c r="TLR54" s="556"/>
      <c r="TLS54" s="556"/>
      <c r="TLT54" s="556"/>
      <c r="TLU54" s="556"/>
      <c r="TLV54" s="556"/>
      <c r="TLW54" s="556"/>
      <c r="TLX54" s="556"/>
      <c r="TLY54" s="556"/>
      <c r="TLZ54" s="556"/>
      <c r="TMA54" s="556"/>
      <c r="TMB54" s="556"/>
      <c r="TMC54" s="556"/>
      <c r="TMD54" s="556"/>
      <c r="TME54" s="556"/>
      <c r="TMF54" s="556"/>
      <c r="TMG54" s="556"/>
      <c r="TMH54" s="556"/>
      <c r="TMI54" s="556"/>
      <c r="TMJ54" s="556"/>
      <c r="TMK54" s="556"/>
      <c r="TML54" s="556"/>
      <c r="TMM54" s="556"/>
      <c r="TMN54" s="556"/>
      <c r="TMO54" s="556"/>
      <c r="TMP54" s="556"/>
      <c r="TMQ54" s="556"/>
      <c r="TMR54" s="556"/>
      <c r="TMS54" s="556"/>
      <c r="TMT54" s="556"/>
      <c r="TMU54" s="556"/>
      <c r="TMV54" s="556"/>
      <c r="TMW54" s="556"/>
      <c r="TMX54" s="556"/>
      <c r="TMY54" s="556"/>
      <c r="TMZ54" s="556"/>
      <c r="TNA54" s="556"/>
      <c r="TNB54" s="556"/>
      <c r="TNC54" s="556"/>
      <c r="TND54" s="556"/>
      <c r="TNE54" s="556"/>
      <c r="TNF54" s="556"/>
      <c r="TNG54" s="556"/>
      <c r="TNH54" s="556"/>
      <c r="TNI54" s="556"/>
      <c r="TNJ54" s="556"/>
      <c r="TNK54" s="556"/>
      <c r="TNL54" s="556"/>
      <c r="TNM54" s="556"/>
      <c r="TNN54" s="556"/>
      <c r="TNO54" s="556"/>
      <c r="TNP54" s="556"/>
      <c r="TNQ54" s="556"/>
      <c r="TNR54" s="556"/>
      <c r="TNS54" s="556"/>
      <c r="TNT54" s="556"/>
      <c r="TNU54" s="556"/>
      <c r="TNV54" s="556"/>
      <c r="TNW54" s="556"/>
      <c r="TNX54" s="556"/>
      <c r="TNY54" s="556"/>
      <c r="TNZ54" s="556"/>
      <c r="TOA54" s="556"/>
      <c r="TOB54" s="556"/>
      <c r="TOC54" s="556"/>
      <c r="TOD54" s="556"/>
      <c r="TOE54" s="556"/>
      <c r="TOF54" s="556"/>
      <c r="TOG54" s="556"/>
      <c r="TOH54" s="556"/>
      <c r="TOI54" s="556"/>
      <c r="TOJ54" s="556"/>
      <c r="TOK54" s="556"/>
      <c r="TOL54" s="556"/>
      <c r="TOM54" s="556"/>
      <c r="TON54" s="556"/>
      <c r="TOO54" s="556"/>
      <c r="TOP54" s="556"/>
      <c r="TOQ54" s="556"/>
      <c r="TOR54" s="556"/>
      <c r="TOS54" s="556"/>
      <c r="TOT54" s="556"/>
      <c r="TOU54" s="556"/>
      <c r="TOV54" s="556"/>
      <c r="TOW54" s="556"/>
      <c r="TOX54" s="556"/>
      <c r="TOY54" s="556"/>
      <c r="TOZ54" s="556"/>
      <c r="TPA54" s="556"/>
      <c r="TPB54" s="556"/>
      <c r="TPC54" s="556"/>
      <c r="TPD54" s="556"/>
      <c r="TPE54" s="556"/>
      <c r="TPF54" s="556"/>
      <c r="TPG54" s="556"/>
      <c r="TPH54" s="556"/>
      <c r="TPI54" s="556"/>
      <c r="TPJ54" s="556"/>
      <c r="TPK54" s="556"/>
      <c r="TPL54" s="556"/>
      <c r="TPM54" s="556"/>
      <c r="TPN54" s="556"/>
      <c r="TPO54" s="556"/>
      <c r="TPP54" s="556"/>
      <c r="TPQ54" s="556"/>
      <c r="TPR54" s="556"/>
      <c r="TPS54" s="556"/>
      <c r="TPT54" s="556"/>
      <c r="TPU54" s="556"/>
      <c r="TPV54" s="556"/>
      <c r="TPW54" s="556"/>
      <c r="TPX54" s="556"/>
      <c r="TPY54" s="556"/>
      <c r="TPZ54" s="556"/>
      <c r="TQA54" s="556"/>
      <c r="TQB54" s="556"/>
      <c r="TQC54" s="556"/>
      <c r="TQD54" s="556"/>
      <c r="TQE54" s="556"/>
      <c r="TQF54" s="556"/>
      <c r="TQG54" s="556"/>
      <c r="TQH54" s="556"/>
      <c r="TQI54" s="556"/>
      <c r="TQJ54" s="556"/>
      <c r="TQK54" s="556"/>
      <c r="TQL54" s="556"/>
      <c r="TQM54" s="556"/>
      <c r="TQN54" s="556"/>
      <c r="TQO54" s="556"/>
      <c r="TQP54" s="556"/>
      <c r="TQQ54" s="556"/>
      <c r="TQR54" s="556"/>
      <c r="TQS54" s="556"/>
      <c r="TQT54" s="556"/>
      <c r="TQU54" s="556"/>
      <c r="TQV54" s="556"/>
      <c r="TQW54" s="556"/>
      <c r="TQX54" s="556"/>
      <c r="TQY54" s="556"/>
      <c r="TQZ54" s="556"/>
      <c r="TRA54" s="556"/>
      <c r="TRB54" s="556"/>
      <c r="TRC54" s="556"/>
      <c r="TRD54" s="556"/>
      <c r="TRE54" s="556"/>
      <c r="TRF54" s="556"/>
      <c r="TRG54" s="556"/>
      <c r="TRH54" s="556"/>
      <c r="TRI54" s="556"/>
      <c r="TRJ54" s="556"/>
      <c r="TRK54" s="556"/>
      <c r="TRL54" s="556"/>
      <c r="TRM54" s="556"/>
      <c r="TRN54" s="556"/>
      <c r="TRO54" s="556"/>
      <c r="TRP54" s="556"/>
      <c r="TRQ54" s="556"/>
      <c r="TRR54" s="556"/>
      <c r="TRS54" s="556"/>
      <c r="TRT54" s="556"/>
      <c r="TRU54" s="556"/>
      <c r="TRV54" s="556"/>
      <c r="TRW54" s="556"/>
      <c r="TRX54" s="556"/>
      <c r="TRY54" s="556"/>
      <c r="TRZ54" s="556"/>
      <c r="TSA54" s="556"/>
      <c r="TSB54" s="556"/>
      <c r="TSC54" s="556"/>
      <c r="TSD54" s="556"/>
      <c r="TSE54" s="556"/>
      <c r="TSF54" s="556"/>
      <c r="TSG54" s="556"/>
      <c r="TSH54" s="556"/>
      <c r="TSI54" s="556"/>
      <c r="TSJ54" s="556"/>
      <c r="TSK54" s="556"/>
      <c r="TSL54" s="556"/>
      <c r="TSM54" s="556"/>
      <c r="TSN54" s="556"/>
      <c r="TSO54" s="556"/>
      <c r="TSP54" s="556"/>
      <c r="TSQ54" s="556"/>
      <c r="TSR54" s="556"/>
      <c r="TSS54" s="556"/>
      <c r="TST54" s="556"/>
      <c r="TSU54" s="556"/>
      <c r="TSV54" s="556"/>
      <c r="TSW54" s="556"/>
      <c r="TSX54" s="556"/>
      <c r="TSY54" s="556"/>
      <c r="TSZ54" s="556"/>
      <c r="TTA54" s="556"/>
      <c r="TTB54" s="556"/>
      <c r="TTC54" s="556"/>
      <c r="TTD54" s="556"/>
      <c r="TTE54" s="556"/>
      <c r="TTF54" s="556"/>
      <c r="TTG54" s="556"/>
      <c r="TTH54" s="556"/>
      <c r="TTI54" s="556"/>
      <c r="TTJ54" s="556"/>
      <c r="TTK54" s="556"/>
      <c r="TTL54" s="556"/>
      <c r="TTM54" s="556"/>
      <c r="TTN54" s="556"/>
      <c r="TTO54" s="556"/>
      <c r="TTP54" s="556"/>
      <c r="TTQ54" s="556"/>
      <c r="TTR54" s="556"/>
      <c r="TTS54" s="556"/>
      <c r="TTT54" s="556"/>
      <c r="TTU54" s="556"/>
      <c r="TTV54" s="556"/>
      <c r="TTW54" s="556"/>
      <c r="TTX54" s="556"/>
      <c r="TTY54" s="556"/>
      <c r="TTZ54" s="556"/>
      <c r="TUA54" s="556"/>
      <c r="TUB54" s="556"/>
      <c r="TUC54" s="556"/>
      <c r="TUD54" s="556"/>
      <c r="TUE54" s="556"/>
      <c r="TUF54" s="556"/>
      <c r="TUG54" s="556"/>
      <c r="TUH54" s="556"/>
      <c r="TUI54" s="556"/>
      <c r="TUJ54" s="556"/>
      <c r="TUK54" s="556"/>
      <c r="TUL54" s="556"/>
      <c r="TUM54" s="556"/>
      <c r="TUN54" s="556"/>
      <c r="TUO54" s="556"/>
      <c r="TUP54" s="556"/>
      <c r="TUQ54" s="556"/>
      <c r="TUR54" s="556"/>
      <c r="TUS54" s="556"/>
      <c r="TUT54" s="556"/>
      <c r="TUU54" s="556"/>
      <c r="TUV54" s="556"/>
      <c r="TUW54" s="556"/>
      <c r="TUX54" s="556"/>
      <c r="TUY54" s="556"/>
      <c r="TUZ54" s="556"/>
      <c r="TVA54" s="556"/>
      <c r="TVB54" s="556"/>
      <c r="TVC54" s="556"/>
      <c r="TVD54" s="556"/>
      <c r="TVE54" s="556"/>
      <c r="TVF54" s="556"/>
      <c r="TVG54" s="556"/>
      <c r="TVH54" s="556"/>
      <c r="TVI54" s="556"/>
      <c r="TVJ54" s="556"/>
      <c r="TVK54" s="556"/>
      <c r="TVL54" s="556"/>
      <c r="TVM54" s="556"/>
      <c r="TVN54" s="556"/>
      <c r="TVO54" s="556"/>
      <c r="TVP54" s="556"/>
      <c r="TVQ54" s="556"/>
      <c r="TVR54" s="556"/>
      <c r="TVS54" s="556"/>
      <c r="TVT54" s="556"/>
      <c r="TVU54" s="556"/>
      <c r="TVV54" s="556"/>
      <c r="TVW54" s="556"/>
      <c r="TVX54" s="556"/>
      <c r="TVY54" s="556"/>
      <c r="TVZ54" s="556"/>
      <c r="TWA54" s="556"/>
      <c r="TWB54" s="556"/>
      <c r="TWC54" s="556"/>
      <c r="TWD54" s="556"/>
      <c r="TWE54" s="556"/>
      <c r="TWF54" s="556"/>
      <c r="TWG54" s="556"/>
      <c r="TWH54" s="556"/>
      <c r="TWI54" s="556"/>
      <c r="TWJ54" s="556"/>
      <c r="TWK54" s="556"/>
      <c r="TWL54" s="556"/>
      <c r="TWM54" s="556"/>
      <c r="TWN54" s="556"/>
      <c r="TWO54" s="556"/>
      <c r="TWP54" s="556"/>
      <c r="TWQ54" s="556"/>
      <c r="TWR54" s="556"/>
      <c r="TWS54" s="556"/>
      <c r="TWT54" s="556"/>
      <c r="TWU54" s="556"/>
      <c r="TWV54" s="556"/>
      <c r="TWW54" s="556"/>
      <c r="TWX54" s="556"/>
      <c r="TWY54" s="556"/>
      <c r="TWZ54" s="556"/>
      <c r="TXA54" s="556"/>
      <c r="TXB54" s="556"/>
      <c r="TXC54" s="556"/>
      <c r="TXD54" s="556"/>
      <c r="TXE54" s="556"/>
      <c r="TXF54" s="556"/>
      <c r="TXG54" s="556"/>
      <c r="TXH54" s="556"/>
      <c r="TXI54" s="556"/>
      <c r="TXJ54" s="556"/>
      <c r="TXK54" s="556"/>
      <c r="TXL54" s="556"/>
      <c r="TXM54" s="556"/>
      <c r="TXN54" s="556"/>
      <c r="TXO54" s="556"/>
      <c r="TXP54" s="556"/>
      <c r="TXQ54" s="556"/>
      <c r="TXR54" s="556"/>
      <c r="TXS54" s="556"/>
      <c r="TXT54" s="556"/>
      <c r="TXU54" s="556"/>
      <c r="TXV54" s="556"/>
      <c r="TXW54" s="556"/>
      <c r="TXX54" s="556"/>
      <c r="TXY54" s="556"/>
      <c r="TXZ54" s="556"/>
      <c r="TYA54" s="556"/>
      <c r="TYB54" s="556"/>
      <c r="TYC54" s="556"/>
      <c r="TYD54" s="556"/>
      <c r="TYE54" s="556"/>
      <c r="TYF54" s="556"/>
      <c r="TYG54" s="556"/>
      <c r="TYH54" s="556"/>
      <c r="TYI54" s="556"/>
      <c r="TYJ54" s="556"/>
      <c r="TYK54" s="556"/>
      <c r="TYL54" s="556"/>
      <c r="TYM54" s="556"/>
      <c r="TYN54" s="556"/>
      <c r="TYO54" s="556"/>
      <c r="TYP54" s="556"/>
      <c r="TYQ54" s="556"/>
      <c r="TYR54" s="556"/>
      <c r="TYS54" s="556"/>
      <c r="TYT54" s="556"/>
      <c r="TYU54" s="556"/>
      <c r="TYV54" s="556"/>
      <c r="TYW54" s="556"/>
      <c r="TYX54" s="556"/>
      <c r="TYY54" s="556"/>
      <c r="TYZ54" s="556"/>
      <c r="TZA54" s="556"/>
      <c r="TZB54" s="556"/>
      <c r="TZC54" s="556"/>
      <c r="TZD54" s="556"/>
      <c r="TZE54" s="556"/>
      <c r="TZF54" s="556"/>
      <c r="TZG54" s="556"/>
      <c r="TZH54" s="556"/>
      <c r="TZI54" s="556"/>
      <c r="TZJ54" s="556"/>
      <c r="TZK54" s="556"/>
      <c r="TZL54" s="556"/>
      <c r="TZM54" s="556"/>
      <c r="TZN54" s="556"/>
      <c r="TZO54" s="556"/>
      <c r="TZP54" s="556"/>
      <c r="TZQ54" s="556"/>
      <c r="TZR54" s="556"/>
      <c r="TZS54" s="556"/>
      <c r="TZT54" s="556"/>
      <c r="TZU54" s="556"/>
      <c r="TZV54" s="556"/>
      <c r="TZW54" s="556"/>
      <c r="TZX54" s="556"/>
      <c r="TZY54" s="556"/>
      <c r="TZZ54" s="556"/>
      <c r="UAA54" s="556"/>
      <c r="UAB54" s="556"/>
      <c r="UAC54" s="556"/>
      <c r="UAD54" s="556"/>
      <c r="UAE54" s="556"/>
      <c r="UAF54" s="556"/>
      <c r="UAG54" s="556"/>
      <c r="UAH54" s="556"/>
      <c r="UAI54" s="556"/>
      <c r="UAJ54" s="556"/>
      <c r="UAK54" s="556"/>
      <c r="UAL54" s="556"/>
      <c r="UAM54" s="556"/>
      <c r="UAN54" s="556"/>
      <c r="UAO54" s="556"/>
      <c r="UAP54" s="556"/>
      <c r="UAQ54" s="556"/>
      <c r="UAR54" s="556"/>
      <c r="UAS54" s="556"/>
      <c r="UAT54" s="556"/>
      <c r="UAU54" s="556"/>
      <c r="UAV54" s="556"/>
      <c r="UAW54" s="556"/>
      <c r="UAX54" s="556"/>
      <c r="UAY54" s="556"/>
      <c r="UAZ54" s="556"/>
      <c r="UBA54" s="556"/>
      <c r="UBB54" s="556"/>
      <c r="UBC54" s="556"/>
      <c r="UBD54" s="556"/>
      <c r="UBE54" s="556"/>
      <c r="UBF54" s="556"/>
      <c r="UBG54" s="556"/>
      <c r="UBH54" s="556"/>
      <c r="UBI54" s="556"/>
      <c r="UBJ54" s="556"/>
      <c r="UBK54" s="556"/>
      <c r="UBL54" s="556"/>
      <c r="UBM54" s="556"/>
      <c r="UBN54" s="556"/>
      <c r="UBO54" s="556"/>
      <c r="UBP54" s="556"/>
      <c r="UBQ54" s="556"/>
      <c r="UBR54" s="556"/>
      <c r="UBS54" s="556"/>
      <c r="UBT54" s="556"/>
      <c r="UBU54" s="556"/>
      <c r="UBV54" s="556"/>
      <c r="UBW54" s="556"/>
      <c r="UBX54" s="556"/>
      <c r="UBY54" s="556"/>
      <c r="UBZ54" s="556"/>
      <c r="UCA54" s="556"/>
      <c r="UCB54" s="556"/>
      <c r="UCC54" s="556"/>
      <c r="UCD54" s="556"/>
      <c r="UCE54" s="556"/>
      <c r="UCF54" s="556"/>
      <c r="UCG54" s="556"/>
      <c r="UCH54" s="556"/>
      <c r="UCI54" s="556"/>
      <c r="UCJ54" s="556"/>
      <c r="UCK54" s="556"/>
      <c r="UCL54" s="556"/>
      <c r="UCM54" s="556"/>
      <c r="UCN54" s="556"/>
      <c r="UCO54" s="556"/>
      <c r="UCP54" s="556"/>
      <c r="UCQ54" s="556"/>
      <c r="UCR54" s="556"/>
      <c r="UCS54" s="556"/>
      <c r="UCT54" s="556"/>
      <c r="UCU54" s="556"/>
      <c r="UCV54" s="556"/>
      <c r="UCW54" s="556"/>
      <c r="UCX54" s="556"/>
      <c r="UCY54" s="556"/>
      <c r="UCZ54" s="556"/>
      <c r="UDA54" s="556"/>
      <c r="UDB54" s="556"/>
      <c r="UDC54" s="556"/>
      <c r="UDD54" s="556"/>
      <c r="UDE54" s="556"/>
      <c r="UDF54" s="556"/>
      <c r="UDG54" s="556"/>
      <c r="UDH54" s="556"/>
      <c r="UDI54" s="556"/>
      <c r="UDJ54" s="556"/>
      <c r="UDK54" s="556"/>
      <c r="UDL54" s="556"/>
      <c r="UDM54" s="556"/>
      <c r="UDN54" s="556"/>
      <c r="UDO54" s="556"/>
      <c r="UDP54" s="556"/>
      <c r="UDQ54" s="556"/>
      <c r="UDR54" s="556"/>
      <c r="UDS54" s="556"/>
      <c r="UDT54" s="556"/>
      <c r="UDU54" s="556"/>
      <c r="UDV54" s="556"/>
      <c r="UDW54" s="556"/>
      <c r="UDX54" s="556"/>
      <c r="UDY54" s="556"/>
      <c r="UDZ54" s="556"/>
      <c r="UEA54" s="556"/>
      <c r="UEB54" s="556"/>
      <c r="UEC54" s="556"/>
      <c r="UED54" s="556"/>
      <c r="UEE54" s="556"/>
      <c r="UEF54" s="556"/>
      <c r="UEG54" s="556"/>
      <c r="UEH54" s="556"/>
      <c r="UEI54" s="556"/>
      <c r="UEJ54" s="556"/>
      <c r="UEK54" s="556"/>
      <c r="UEL54" s="556"/>
      <c r="UEM54" s="556"/>
      <c r="UEN54" s="556"/>
      <c r="UEO54" s="556"/>
      <c r="UEP54" s="556"/>
      <c r="UEQ54" s="556"/>
      <c r="UER54" s="556"/>
      <c r="UES54" s="556"/>
      <c r="UET54" s="556"/>
      <c r="UEU54" s="556"/>
      <c r="UEV54" s="556"/>
      <c r="UEW54" s="556"/>
      <c r="UEX54" s="556"/>
      <c r="UEY54" s="556"/>
      <c r="UEZ54" s="556"/>
      <c r="UFA54" s="556"/>
      <c r="UFB54" s="556"/>
      <c r="UFC54" s="556"/>
      <c r="UFD54" s="556"/>
      <c r="UFE54" s="556"/>
      <c r="UFF54" s="556"/>
      <c r="UFG54" s="556"/>
      <c r="UFH54" s="556"/>
      <c r="UFI54" s="556"/>
      <c r="UFJ54" s="556"/>
      <c r="UFK54" s="556"/>
      <c r="UFL54" s="556"/>
      <c r="UFM54" s="556"/>
      <c r="UFN54" s="556"/>
      <c r="UFO54" s="556"/>
      <c r="UFP54" s="556"/>
      <c r="UFQ54" s="556"/>
      <c r="UFR54" s="556"/>
      <c r="UFS54" s="556"/>
      <c r="UFT54" s="556"/>
      <c r="UFU54" s="556"/>
      <c r="UFV54" s="556"/>
      <c r="UFW54" s="556"/>
      <c r="UFX54" s="556"/>
      <c r="UFY54" s="556"/>
      <c r="UFZ54" s="556"/>
      <c r="UGA54" s="556"/>
      <c r="UGB54" s="556"/>
      <c r="UGC54" s="556"/>
      <c r="UGD54" s="556"/>
      <c r="UGE54" s="556"/>
      <c r="UGF54" s="556"/>
      <c r="UGG54" s="556"/>
      <c r="UGH54" s="556"/>
      <c r="UGI54" s="556"/>
      <c r="UGJ54" s="556"/>
      <c r="UGK54" s="556"/>
      <c r="UGL54" s="556"/>
      <c r="UGM54" s="556"/>
      <c r="UGN54" s="556"/>
      <c r="UGO54" s="556"/>
      <c r="UGP54" s="556"/>
      <c r="UGQ54" s="556"/>
      <c r="UGR54" s="556"/>
      <c r="UGS54" s="556"/>
      <c r="UGT54" s="556"/>
      <c r="UGU54" s="556"/>
      <c r="UGV54" s="556"/>
      <c r="UGW54" s="556"/>
      <c r="UGX54" s="556"/>
      <c r="UGY54" s="556"/>
      <c r="UGZ54" s="556"/>
      <c r="UHA54" s="556"/>
      <c r="UHB54" s="556"/>
      <c r="UHC54" s="556"/>
      <c r="UHD54" s="556"/>
      <c r="UHE54" s="556"/>
      <c r="UHF54" s="556"/>
      <c r="UHG54" s="556"/>
      <c r="UHH54" s="556"/>
      <c r="UHI54" s="556"/>
      <c r="UHJ54" s="556"/>
      <c r="UHK54" s="556"/>
      <c r="UHL54" s="556"/>
      <c r="UHM54" s="556"/>
      <c r="UHN54" s="556"/>
      <c r="UHO54" s="556"/>
      <c r="UHP54" s="556"/>
      <c r="UHQ54" s="556"/>
      <c r="UHR54" s="556"/>
      <c r="UHS54" s="556"/>
      <c r="UHT54" s="556"/>
      <c r="UHU54" s="556"/>
      <c r="UHV54" s="556"/>
      <c r="UHW54" s="556"/>
      <c r="UHX54" s="556"/>
      <c r="UHY54" s="556"/>
      <c r="UHZ54" s="556"/>
      <c r="UIA54" s="556"/>
      <c r="UIB54" s="556"/>
      <c r="UIC54" s="556"/>
      <c r="UID54" s="556"/>
      <c r="UIE54" s="556"/>
      <c r="UIF54" s="556"/>
      <c r="UIG54" s="556"/>
      <c r="UIH54" s="556"/>
      <c r="UII54" s="556"/>
      <c r="UIJ54" s="556"/>
      <c r="UIK54" s="556"/>
      <c r="UIL54" s="556"/>
      <c r="UIM54" s="556"/>
      <c r="UIN54" s="556"/>
      <c r="UIO54" s="556"/>
      <c r="UIP54" s="556"/>
      <c r="UIQ54" s="556"/>
      <c r="UIR54" s="556"/>
      <c r="UIS54" s="556"/>
      <c r="UIT54" s="556"/>
      <c r="UIU54" s="556"/>
      <c r="UIV54" s="556"/>
      <c r="UIW54" s="556"/>
      <c r="UIX54" s="556"/>
      <c r="UIY54" s="556"/>
      <c r="UIZ54" s="556"/>
      <c r="UJA54" s="556"/>
      <c r="UJB54" s="556"/>
      <c r="UJC54" s="556"/>
      <c r="UJD54" s="556"/>
      <c r="UJE54" s="556"/>
      <c r="UJF54" s="556"/>
      <c r="UJG54" s="556"/>
      <c r="UJH54" s="556"/>
      <c r="UJI54" s="556"/>
      <c r="UJJ54" s="556"/>
      <c r="UJK54" s="556"/>
      <c r="UJL54" s="556"/>
      <c r="UJM54" s="556"/>
      <c r="UJN54" s="556"/>
      <c r="UJO54" s="556"/>
      <c r="UJP54" s="556"/>
      <c r="UJQ54" s="556"/>
      <c r="UJR54" s="556"/>
      <c r="UJS54" s="556"/>
      <c r="UJT54" s="556"/>
      <c r="UJU54" s="556"/>
      <c r="UJV54" s="556"/>
      <c r="UJW54" s="556"/>
      <c r="UJX54" s="556"/>
      <c r="UJY54" s="556"/>
      <c r="UJZ54" s="556"/>
      <c r="UKA54" s="556"/>
      <c r="UKB54" s="556"/>
      <c r="UKC54" s="556"/>
      <c r="UKD54" s="556"/>
      <c r="UKE54" s="556"/>
      <c r="UKF54" s="556"/>
      <c r="UKG54" s="556"/>
      <c r="UKH54" s="556"/>
      <c r="UKI54" s="556"/>
      <c r="UKJ54" s="556"/>
      <c r="UKK54" s="556"/>
      <c r="UKL54" s="556"/>
      <c r="UKM54" s="556"/>
      <c r="UKN54" s="556"/>
      <c r="UKO54" s="556"/>
      <c r="UKP54" s="556"/>
      <c r="UKQ54" s="556"/>
      <c r="UKR54" s="556"/>
      <c r="UKS54" s="556"/>
      <c r="UKT54" s="556"/>
      <c r="UKU54" s="556"/>
      <c r="UKV54" s="556"/>
      <c r="UKW54" s="556"/>
      <c r="UKX54" s="556"/>
      <c r="UKY54" s="556"/>
      <c r="UKZ54" s="556"/>
      <c r="ULA54" s="556"/>
      <c r="ULB54" s="556"/>
      <c r="ULC54" s="556"/>
      <c r="ULD54" s="556"/>
      <c r="ULE54" s="556"/>
      <c r="ULF54" s="556"/>
      <c r="ULG54" s="556"/>
      <c r="ULH54" s="556"/>
      <c r="ULI54" s="556"/>
      <c r="ULJ54" s="556"/>
      <c r="ULK54" s="556"/>
      <c r="ULL54" s="556"/>
      <c r="ULM54" s="556"/>
      <c r="ULN54" s="556"/>
      <c r="ULO54" s="556"/>
      <c r="ULP54" s="556"/>
      <c r="ULQ54" s="556"/>
      <c r="ULR54" s="556"/>
      <c r="ULS54" s="556"/>
      <c r="ULT54" s="556"/>
      <c r="ULU54" s="556"/>
      <c r="ULV54" s="556"/>
      <c r="ULW54" s="556"/>
      <c r="ULX54" s="556"/>
      <c r="ULY54" s="556"/>
      <c r="ULZ54" s="556"/>
      <c r="UMA54" s="556"/>
      <c r="UMB54" s="556"/>
      <c r="UMC54" s="556"/>
      <c r="UMD54" s="556"/>
      <c r="UME54" s="556"/>
      <c r="UMF54" s="556"/>
      <c r="UMG54" s="556"/>
      <c r="UMH54" s="556"/>
      <c r="UMI54" s="556"/>
      <c r="UMJ54" s="556"/>
      <c r="UMK54" s="556"/>
      <c r="UML54" s="556"/>
      <c r="UMM54" s="556"/>
      <c r="UMN54" s="556"/>
      <c r="UMO54" s="556"/>
      <c r="UMP54" s="556"/>
      <c r="UMQ54" s="556"/>
      <c r="UMR54" s="556"/>
      <c r="UMS54" s="556"/>
      <c r="UMT54" s="556"/>
      <c r="UMU54" s="556"/>
      <c r="UMV54" s="556"/>
      <c r="UMW54" s="556"/>
      <c r="UMX54" s="556"/>
      <c r="UMY54" s="556"/>
      <c r="UMZ54" s="556"/>
      <c r="UNA54" s="556"/>
      <c r="UNB54" s="556"/>
      <c r="UNC54" s="556"/>
      <c r="UND54" s="556"/>
      <c r="UNE54" s="556"/>
      <c r="UNF54" s="556"/>
      <c r="UNG54" s="556"/>
      <c r="UNH54" s="556"/>
      <c r="UNI54" s="556"/>
      <c r="UNJ54" s="556"/>
      <c r="UNK54" s="556"/>
      <c r="UNL54" s="556"/>
      <c r="UNM54" s="556"/>
      <c r="UNN54" s="556"/>
      <c r="UNO54" s="556"/>
      <c r="UNP54" s="556"/>
      <c r="UNQ54" s="556"/>
      <c r="UNR54" s="556"/>
      <c r="UNS54" s="556"/>
      <c r="UNT54" s="556"/>
      <c r="UNU54" s="556"/>
      <c r="UNV54" s="556"/>
      <c r="UNW54" s="556"/>
      <c r="UNX54" s="556"/>
      <c r="UNY54" s="556"/>
      <c r="UNZ54" s="556"/>
      <c r="UOA54" s="556"/>
      <c r="UOB54" s="556"/>
      <c r="UOC54" s="556"/>
      <c r="UOD54" s="556"/>
      <c r="UOE54" s="556"/>
      <c r="UOF54" s="556"/>
      <c r="UOG54" s="556"/>
      <c r="UOH54" s="556"/>
      <c r="UOI54" s="556"/>
      <c r="UOJ54" s="556"/>
      <c r="UOK54" s="556"/>
      <c r="UOL54" s="556"/>
      <c r="UOM54" s="556"/>
      <c r="UON54" s="556"/>
      <c r="UOO54" s="556"/>
      <c r="UOP54" s="556"/>
      <c r="UOQ54" s="556"/>
      <c r="UOR54" s="556"/>
      <c r="UOS54" s="556"/>
      <c r="UOT54" s="556"/>
      <c r="UOU54" s="556"/>
      <c r="UOV54" s="556"/>
      <c r="UOW54" s="556"/>
      <c r="UOX54" s="556"/>
      <c r="UOY54" s="556"/>
      <c r="UOZ54" s="556"/>
      <c r="UPA54" s="556"/>
      <c r="UPB54" s="556"/>
      <c r="UPC54" s="556"/>
      <c r="UPD54" s="556"/>
      <c r="UPE54" s="556"/>
      <c r="UPF54" s="556"/>
      <c r="UPG54" s="556"/>
      <c r="UPH54" s="556"/>
      <c r="UPI54" s="556"/>
      <c r="UPJ54" s="556"/>
      <c r="UPK54" s="556"/>
      <c r="UPL54" s="556"/>
      <c r="UPM54" s="556"/>
      <c r="UPN54" s="556"/>
      <c r="UPO54" s="556"/>
      <c r="UPP54" s="556"/>
      <c r="UPQ54" s="556"/>
      <c r="UPR54" s="556"/>
      <c r="UPS54" s="556"/>
      <c r="UPT54" s="556"/>
      <c r="UPU54" s="556"/>
      <c r="UPV54" s="556"/>
      <c r="UPW54" s="556"/>
      <c r="UPX54" s="556"/>
      <c r="UPY54" s="556"/>
      <c r="UPZ54" s="556"/>
      <c r="UQA54" s="556"/>
      <c r="UQB54" s="556"/>
      <c r="UQC54" s="556"/>
      <c r="UQD54" s="556"/>
      <c r="UQE54" s="556"/>
      <c r="UQF54" s="556"/>
      <c r="UQG54" s="556"/>
      <c r="UQH54" s="556"/>
      <c r="UQI54" s="556"/>
      <c r="UQJ54" s="556"/>
      <c r="UQK54" s="556"/>
      <c r="UQL54" s="556"/>
      <c r="UQM54" s="556"/>
      <c r="UQN54" s="556"/>
      <c r="UQO54" s="556"/>
      <c r="UQP54" s="556"/>
      <c r="UQQ54" s="556"/>
      <c r="UQR54" s="556"/>
      <c r="UQS54" s="556"/>
      <c r="UQT54" s="556"/>
      <c r="UQU54" s="556"/>
      <c r="UQV54" s="556"/>
      <c r="UQW54" s="556"/>
      <c r="UQX54" s="556"/>
      <c r="UQY54" s="556"/>
      <c r="UQZ54" s="556"/>
      <c r="URA54" s="556"/>
      <c r="URB54" s="556"/>
      <c r="URC54" s="556"/>
      <c r="URD54" s="556"/>
      <c r="URE54" s="556"/>
      <c r="URF54" s="556"/>
      <c r="URG54" s="556"/>
      <c r="URH54" s="556"/>
      <c r="URI54" s="556"/>
      <c r="URJ54" s="556"/>
      <c r="URK54" s="556"/>
      <c r="URL54" s="556"/>
      <c r="URM54" s="556"/>
      <c r="URN54" s="556"/>
      <c r="URO54" s="556"/>
      <c r="URP54" s="556"/>
      <c r="URQ54" s="556"/>
      <c r="URR54" s="556"/>
      <c r="URS54" s="556"/>
      <c r="URT54" s="556"/>
      <c r="URU54" s="556"/>
      <c r="URV54" s="556"/>
      <c r="URW54" s="556"/>
      <c r="URX54" s="556"/>
      <c r="URY54" s="556"/>
      <c r="URZ54" s="556"/>
      <c r="USA54" s="556"/>
      <c r="USB54" s="556"/>
      <c r="USC54" s="556"/>
      <c r="USD54" s="556"/>
      <c r="USE54" s="556"/>
      <c r="USF54" s="556"/>
      <c r="USG54" s="556"/>
      <c r="USH54" s="556"/>
      <c r="USI54" s="556"/>
      <c r="USJ54" s="556"/>
      <c r="USK54" s="556"/>
      <c r="USL54" s="556"/>
      <c r="USM54" s="556"/>
      <c r="USN54" s="556"/>
      <c r="USO54" s="556"/>
      <c r="USP54" s="556"/>
      <c r="USQ54" s="556"/>
      <c r="USR54" s="556"/>
      <c r="USS54" s="556"/>
      <c r="UST54" s="556"/>
      <c r="USU54" s="556"/>
      <c r="USV54" s="556"/>
      <c r="USW54" s="556"/>
      <c r="USX54" s="556"/>
      <c r="USY54" s="556"/>
      <c r="USZ54" s="556"/>
      <c r="UTA54" s="556"/>
      <c r="UTB54" s="556"/>
      <c r="UTC54" s="556"/>
      <c r="UTD54" s="556"/>
      <c r="UTE54" s="556"/>
      <c r="UTF54" s="556"/>
      <c r="UTG54" s="556"/>
      <c r="UTH54" s="556"/>
      <c r="UTI54" s="556"/>
      <c r="UTJ54" s="556"/>
      <c r="UTK54" s="556"/>
      <c r="UTL54" s="556"/>
      <c r="UTM54" s="556"/>
      <c r="UTN54" s="556"/>
      <c r="UTO54" s="556"/>
      <c r="UTP54" s="556"/>
      <c r="UTQ54" s="556"/>
      <c r="UTR54" s="556"/>
      <c r="UTS54" s="556"/>
      <c r="UTT54" s="556"/>
      <c r="UTU54" s="556"/>
      <c r="UTV54" s="556"/>
      <c r="UTW54" s="556"/>
      <c r="UTX54" s="556"/>
      <c r="UTY54" s="556"/>
      <c r="UTZ54" s="556"/>
      <c r="UUA54" s="556"/>
      <c r="UUB54" s="556"/>
      <c r="UUC54" s="556"/>
      <c r="UUD54" s="556"/>
      <c r="UUE54" s="556"/>
      <c r="UUF54" s="556"/>
      <c r="UUG54" s="556"/>
      <c r="UUH54" s="556"/>
      <c r="UUI54" s="556"/>
      <c r="UUJ54" s="556"/>
      <c r="UUK54" s="556"/>
      <c r="UUL54" s="556"/>
      <c r="UUM54" s="556"/>
      <c r="UUN54" s="556"/>
      <c r="UUO54" s="556"/>
      <c r="UUP54" s="556"/>
      <c r="UUQ54" s="556"/>
      <c r="UUR54" s="556"/>
      <c r="UUS54" s="556"/>
      <c r="UUT54" s="556"/>
      <c r="UUU54" s="556"/>
      <c r="UUV54" s="556"/>
      <c r="UUW54" s="556"/>
      <c r="UUX54" s="556"/>
      <c r="UUY54" s="556"/>
      <c r="UUZ54" s="556"/>
      <c r="UVA54" s="556"/>
      <c r="UVB54" s="556"/>
      <c r="UVC54" s="556"/>
      <c r="UVD54" s="556"/>
      <c r="UVE54" s="556"/>
      <c r="UVF54" s="556"/>
      <c r="UVG54" s="556"/>
      <c r="UVH54" s="556"/>
      <c r="UVI54" s="556"/>
      <c r="UVJ54" s="556"/>
      <c r="UVK54" s="556"/>
      <c r="UVL54" s="556"/>
      <c r="UVM54" s="556"/>
      <c r="UVN54" s="556"/>
      <c r="UVO54" s="556"/>
      <c r="UVP54" s="556"/>
      <c r="UVQ54" s="556"/>
      <c r="UVR54" s="556"/>
      <c r="UVS54" s="556"/>
      <c r="UVT54" s="556"/>
      <c r="UVU54" s="556"/>
      <c r="UVV54" s="556"/>
      <c r="UVW54" s="556"/>
      <c r="UVX54" s="556"/>
      <c r="UVY54" s="556"/>
      <c r="UVZ54" s="556"/>
      <c r="UWA54" s="556"/>
      <c r="UWB54" s="556"/>
      <c r="UWC54" s="556"/>
      <c r="UWD54" s="556"/>
      <c r="UWE54" s="556"/>
      <c r="UWF54" s="556"/>
      <c r="UWG54" s="556"/>
      <c r="UWH54" s="556"/>
      <c r="UWI54" s="556"/>
      <c r="UWJ54" s="556"/>
      <c r="UWK54" s="556"/>
      <c r="UWL54" s="556"/>
      <c r="UWM54" s="556"/>
      <c r="UWN54" s="556"/>
      <c r="UWO54" s="556"/>
      <c r="UWP54" s="556"/>
      <c r="UWQ54" s="556"/>
      <c r="UWR54" s="556"/>
      <c r="UWS54" s="556"/>
      <c r="UWT54" s="556"/>
      <c r="UWU54" s="556"/>
      <c r="UWV54" s="556"/>
      <c r="UWW54" s="556"/>
      <c r="UWX54" s="556"/>
      <c r="UWY54" s="556"/>
      <c r="UWZ54" s="556"/>
      <c r="UXA54" s="556"/>
      <c r="UXB54" s="556"/>
      <c r="UXC54" s="556"/>
      <c r="UXD54" s="556"/>
      <c r="UXE54" s="556"/>
      <c r="UXF54" s="556"/>
      <c r="UXG54" s="556"/>
      <c r="UXH54" s="556"/>
      <c r="UXI54" s="556"/>
      <c r="UXJ54" s="556"/>
      <c r="UXK54" s="556"/>
      <c r="UXL54" s="556"/>
      <c r="UXM54" s="556"/>
      <c r="UXN54" s="556"/>
      <c r="UXO54" s="556"/>
      <c r="UXP54" s="556"/>
      <c r="UXQ54" s="556"/>
      <c r="UXR54" s="556"/>
      <c r="UXS54" s="556"/>
      <c r="UXT54" s="556"/>
      <c r="UXU54" s="556"/>
      <c r="UXV54" s="556"/>
      <c r="UXW54" s="556"/>
      <c r="UXX54" s="556"/>
      <c r="UXY54" s="556"/>
      <c r="UXZ54" s="556"/>
      <c r="UYA54" s="556"/>
      <c r="UYB54" s="556"/>
      <c r="UYC54" s="556"/>
      <c r="UYD54" s="556"/>
      <c r="UYE54" s="556"/>
      <c r="UYF54" s="556"/>
      <c r="UYG54" s="556"/>
      <c r="UYH54" s="556"/>
      <c r="UYI54" s="556"/>
      <c r="UYJ54" s="556"/>
      <c r="UYK54" s="556"/>
      <c r="UYL54" s="556"/>
      <c r="UYM54" s="556"/>
      <c r="UYN54" s="556"/>
      <c r="UYO54" s="556"/>
      <c r="UYP54" s="556"/>
      <c r="UYQ54" s="556"/>
      <c r="UYR54" s="556"/>
      <c r="UYS54" s="556"/>
      <c r="UYT54" s="556"/>
      <c r="UYU54" s="556"/>
      <c r="UYV54" s="556"/>
      <c r="UYW54" s="556"/>
      <c r="UYX54" s="556"/>
      <c r="UYY54" s="556"/>
      <c r="UYZ54" s="556"/>
      <c r="UZA54" s="556"/>
      <c r="UZB54" s="556"/>
      <c r="UZC54" s="556"/>
      <c r="UZD54" s="556"/>
      <c r="UZE54" s="556"/>
      <c r="UZF54" s="556"/>
      <c r="UZG54" s="556"/>
      <c r="UZH54" s="556"/>
      <c r="UZI54" s="556"/>
      <c r="UZJ54" s="556"/>
      <c r="UZK54" s="556"/>
      <c r="UZL54" s="556"/>
      <c r="UZM54" s="556"/>
      <c r="UZN54" s="556"/>
      <c r="UZO54" s="556"/>
      <c r="UZP54" s="556"/>
      <c r="UZQ54" s="556"/>
      <c r="UZR54" s="556"/>
      <c r="UZS54" s="556"/>
      <c r="UZT54" s="556"/>
      <c r="UZU54" s="556"/>
      <c r="UZV54" s="556"/>
      <c r="UZW54" s="556"/>
      <c r="UZX54" s="556"/>
      <c r="UZY54" s="556"/>
      <c r="UZZ54" s="556"/>
      <c r="VAA54" s="556"/>
      <c r="VAB54" s="556"/>
      <c r="VAC54" s="556"/>
      <c r="VAD54" s="556"/>
      <c r="VAE54" s="556"/>
      <c r="VAF54" s="556"/>
      <c r="VAG54" s="556"/>
      <c r="VAH54" s="556"/>
      <c r="VAI54" s="556"/>
      <c r="VAJ54" s="556"/>
      <c r="VAK54" s="556"/>
      <c r="VAL54" s="556"/>
      <c r="VAM54" s="556"/>
      <c r="VAN54" s="556"/>
      <c r="VAO54" s="556"/>
      <c r="VAP54" s="556"/>
      <c r="VAQ54" s="556"/>
      <c r="VAR54" s="556"/>
      <c r="VAS54" s="556"/>
      <c r="VAT54" s="556"/>
      <c r="VAU54" s="556"/>
      <c r="VAV54" s="556"/>
      <c r="VAW54" s="556"/>
      <c r="VAX54" s="556"/>
      <c r="VAY54" s="556"/>
      <c r="VAZ54" s="556"/>
      <c r="VBA54" s="556"/>
      <c r="VBB54" s="556"/>
      <c r="VBC54" s="556"/>
      <c r="VBD54" s="556"/>
      <c r="VBE54" s="556"/>
      <c r="VBF54" s="556"/>
      <c r="VBG54" s="556"/>
      <c r="VBH54" s="556"/>
      <c r="VBI54" s="556"/>
      <c r="VBJ54" s="556"/>
      <c r="VBK54" s="556"/>
      <c r="VBL54" s="556"/>
      <c r="VBM54" s="556"/>
      <c r="VBN54" s="556"/>
      <c r="VBO54" s="556"/>
      <c r="VBP54" s="556"/>
      <c r="VBQ54" s="556"/>
      <c r="VBR54" s="556"/>
      <c r="VBS54" s="556"/>
      <c r="VBT54" s="556"/>
      <c r="VBU54" s="556"/>
      <c r="VBV54" s="556"/>
      <c r="VBW54" s="556"/>
      <c r="VBX54" s="556"/>
      <c r="VBY54" s="556"/>
      <c r="VBZ54" s="556"/>
      <c r="VCA54" s="556"/>
      <c r="VCB54" s="556"/>
      <c r="VCC54" s="556"/>
      <c r="VCD54" s="556"/>
      <c r="VCE54" s="556"/>
      <c r="VCF54" s="556"/>
      <c r="VCG54" s="556"/>
      <c r="VCH54" s="556"/>
      <c r="VCI54" s="556"/>
      <c r="VCJ54" s="556"/>
      <c r="VCK54" s="556"/>
      <c r="VCL54" s="556"/>
      <c r="VCM54" s="556"/>
      <c r="VCN54" s="556"/>
      <c r="VCO54" s="556"/>
      <c r="VCP54" s="556"/>
      <c r="VCQ54" s="556"/>
      <c r="VCR54" s="556"/>
      <c r="VCS54" s="556"/>
      <c r="VCT54" s="556"/>
      <c r="VCU54" s="556"/>
      <c r="VCV54" s="556"/>
      <c r="VCW54" s="556"/>
      <c r="VCX54" s="556"/>
      <c r="VCY54" s="556"/>
      <c r="VCZ54" s="556"/>
      <c r="VDA54" s="556"/>
      <c r="VDB54" s="556"/>
      <c r="VDC54" s="556"/>
      <c r="VDD54" s="556"/>
      <c r="VDE54" s="556"/>
      <c r="VDF54" s="556"/>
      <c r="VDG54" s="556"/>
      <c r="VDH54" s="556"/>
      <c r="VDI54" s="556"/>
      <c r="VDJ54" s="556"/>
      <c r="VDK54" s="556"/>
      <c r="VDL54" s="556"/>
      <c r="VDM54" s="556"/>
      <c r="VDN54" s="556"/>
      <c r="VDO54" s="556"/>
      <c r="VDP54" s="556"/>
      <c r="VDQ54" s="556"/>
      <c r="VDR54" s="556"/>
      <c r="VDS54" s="556"/>
      <c r="VDT54" s="556"/>
      <c r="VDU54" s="556"/>
      <c r="VDV54" s="556"/>
      <c r="VDW54" s="556"/>
      <c r="VDX54" s="556"/>
      <c r="VDY54" s="556"/>
      <c r="VDZ54" s="556"/>
      <c r="VEA54" s="556"/>
      <c r="VEB54" s="556"/>
      <c r="VEC54" s="556"/>
      <c r="VED54" s="556"/>
      <c r="VEE54" s="556"/>
      <c r="VEF54" s="556"/>
      <c r="VEG54" s="556"/>
      <c r="VEH54" s="556"/>
      <c r="VEI54" s="556"/>
      <c r="VEJ54" s="556"/>
      <c r="VEK54" s="556"/>
      <c r="VEL54" s="556"/>
      <c r="VEM54" s="556"/>
      <c r="VEN54" s="556"/>
      <c r="VEO54" s="556"/>
      <c r="VEP54" s="556"/>
      <c r="VEQ54" s="556"/>
      <c r="VER54" s="556"/>
      <c r="VES54" s="556"/>
      <c r="VET54" s="556"/>
      <c r="VEU54" s="556"/>
      <c r="VEV54" s="556"/>
      <c r="VEW54" s="556"/>
      <c r="VEX54" s="556"/>
      <c r="VEY54" s="556"/>
      <c r="VEZ54" s="556"/>
      <c r="VFA54" s="556"/>
      <c r="VFB54" s="556"/>
      <c r="VFC54" s="556"/>
      <c r="VFD54" s="556"/>
      <c r="VFE54" s="556"/>
      <c r="VFF54" s="556"/>
      <c r="VFG54" s="556"/>
      <c r="VFH54" s="556"/>
      <c r="VFI54" s="556"/>
      <c r="VFJ54" s="556"/>
      <c r="VFK54" s="556"/>
      <c r="VFL54" s="556"/>
      <c r="VFM54" s="556"/>
      <c r="VFN54" s="556"/>
      <c r="VFO54" s="556"/>
      <c r="VFP54" s="556"/>
      <c r="VFQ54" s="556"/>
      <c r="VFR54" s="556"/>
      <c r="VFS54" s="556"/>
      <c r="VFT54" s="556"/>
      <c r="VFU54" s="556"/>
      <c r="VFV54" s="556"/>
      <c r="VFW54" s="556"/>
      <c r="VFX54" s="556"/>
      <c r="VFY54" s="556"/>
      <c r="VFZ54" s="556"/>
      <c r="VGA54" s="556"/>
      <c r="VGB54" s="556"/>
      <c r="VGC54" s="556"/>
      <c r="VGD54" s="556"/>
      <c r="VGE54" s="556"/>
      <c r="VGF54" s="556"/>
      <c r="VGG54" s="556"/>
      <c r="VGH54" s="556"/>
      <c r="VGI54" s="556"/>
      <c r="VGJ54" s="556"/>
      <c r="VGK54" s="556"/>
      <c r="VGL54" s="556"/>
      <c r="VGM54" s="556"/>
      <c r="VGN54" s="556"/>
      <c r="VGO54" s="556"/>
      <c r="VGP54" s="556"/>
      <c r="VGQ54" s="556"/>
      <c r="VGR54" s="556"/>
      <c r="VGS54" s="556"/>
      <c r="VGT54" s="556"/>
      <c r="VGU54" s="556"/>
      <c r="VGV54" s="556"/>
      <c r="VGW54" s="556"/>
      <c r="VGX54" s="556"/>
      <c r="VGY54" s="556"/>
      <c r="VGZ54" s="556"/>
      <c r="VHA54" s="556"/>
      <c r="VHB54" s="556"/>
      <c r="VHC54" s="556"/>
      <c r="VHD54" s="556"/>
      <c r="VHE54" s="556"/>
      <c r="VHF54" s="556"/>
      <c r="VHG54" s="556"/>
      <c r="VHH54" s="556"/>
      <c r="VHI54" s="556"/>
      <c r="VHJ54" s="556"/>
      <c r="VHK54" s="556"/>
      <c r="VHL54" s="556"/>
      <c r="VHM54" s="556"/>
      <c r="VHN54" s="556"/>
      <c r="VHO54" s="556"/>
      <c r="VHP54" s="556"/>
      <c r="VHQ54" s="556"/>
      <c r="VHR54" s="556"/>
      <c r="VHS54" s="556"/>
      <c r="VHT54" s="556"/>
      <c r="VHU54" s="556"/>
      <c r="VHV54" s="556"/>
      <c r="VHW54" s="556"/>
      <c r="VHX54" s="556"/>
      <c r="VHY54" s="556"/>
      <c r="VHZ54" s="556"/>
      <c r="VIA54" s="556"/>
      <c r="VIB54" s="556"/>
      <c r="VIC54" s="556"/>
      <c r="VID54" s="556"/>
      <c r="VIE54" s="556"/>
      <c r="VIF54" s="556"/>
      <c r="VIG54" s="556"/>
      <c r="VIH54" s="556"/>
      <c r="VII54" s="556"/>
      <c r="VIJ54" s="556"/>
      <c r="VIK54" s="556"/>
      <c r="VIL54" s="556"/>
      <c r="VIM54" s="556"/>
      <c r="VIN54" s="556"/>
      <c r="VIO54" s="556"/>
      <c r="VIP54" s="556"/>
      <c r="VIQ54" s="556"/>
      <c r="VIR54" s="556"/>
      <c r="VIS54" s="556"/>
      <c r="VIT54" s="556"/>
      <c r="VIU54" s="556"/>
      <c r="VIV54" s="556"/>
      <c r="VIW54" s="556"/>
      <c r="VIX54" s="556"/>
      <c r="VIY54" s="556"/>
      <c r="VIZ54" s="556"/>
      <c r="VJA54" s="556"/>
      <c r="VJB54" s="556"/>
      <c r="VJC54" s="556"/>
      <c r="VJD54" s="556"/>
      <c r="VJE54" s="556"/>
      <c r="VJF54" s="556"/>
      <c r="VJG54" s="556"/>
      <c r="VJH54" s="556"/>
      <c r="VJI54" s="556"/>
      <c r="VJJ54" s="556"/>
      <c r="VJK54" s="556"/>
      <c r="VJL54" s="556"/>
      <c r="VJM54" s="556"/>
      <c r="VJN54" s="556"/>
      <c r="VJO54" s="556"/>
      <c r="VJP54" s="556"/>
      <c r="VJQ54" s="556"/>
      <c r="VJR54" s="556"/>
      <c r="VJS54" s="556"/>
      <c r="VJT54" s="556"/>
      <c r="VJU54" s="556"/>
      <c r="VJV54" s="556"/>
      <c r="VJW54" s="556"/>
      <c r="VJX54" s="556"/>
      <c r="VJY54" s="556"/>
      <c r="VJZ54" s="556"/>
      <c r="VKA54" s="556"/>
      <c r="VKB54" s="556"/>
      <c r="VKC54" s="556"/>
      <c r="VKD54" s="556"/>
      <c r="VKE54" s="556"/>
      <c r="VKF54" s="556"/>
      <c r="VKG54" s="556"/>
      <c r="VKH54" s="556"/>
      <c r="VKI54" s="556"/>
      <c r="VKJ54" s="556"/>
      <c r="VKK54" s="556"/>
      <c r="VKL54" s="556"/>
      <c r="VKM54" s="556"/>
      <c r="VKN54" s="556"/>
      <c r="VKO54" s="556"/>
      <c r="VKP54" s="556"/>
      <c r="VKQ54" s="556"/>
      <c r="VKR54" s="556"/>
      <c r="VKS54" s="556"/>
      <c r="VKT54" s="556"/>
      <c r="VKU54" s="556"/>
      <c r="VKV54" s="556"/>
      <c r="VKW54" s="556"/>
      <c r="VKX54" s="556"/>
      <c r="VKY54" s="556"/>
      <c r="VKZ54" s="556"/>
      <c r="VLA54" s="556"/>
      <c r="VLB54" s="556"/>
      <c r="VLC54" s="556"/>
      <c r="VLD54" s="556"/>
      <c r="VLE54" s="556"/>
      <c r="VLF54" s="556"/>
      <c r="VLG54" s="556"/>
      <c r="VLH54" s="556"/>
      <c r="VLI54" s="556"/>
      <c r="VLJ54" s="556"/>
      <c r="VLK54" s="556"/>
      <c r="VLL54" s="556"/>
      <c r="VLM54" s="556"/>
      <c r="VLN54" s="556"/>
      <c r="VLO54" s="556"/>
      <c r="VLP54" s="556"/>
      <c r="VLQ54" s="556"/>
      <c r="VLR54" s="556"/>
      <c r="VLS54" s="556"/>
      <c r="VLT54" s="556"/>
      <c r="VLU54" s="556"/>
      <c r="VLV54" s="556"/>
      <c r="VLW54" s="556"/>
      <c r="VLX54" s="556"/>
      <c r="VLY54" s="556"/>
      <c r="VLZ54" s="556"/>
      <c r="VMA54" s="556"/>
      <c r="VMB54" s="556"/>
      <c r="VMC54" s="556"/>
      <c r="VMD54" s="556"/>
      <c r="VME54" s="556"/>
      <c r="VMF54" s="556"/>
      <c r="VMG54" s="556"/>
      <c r="VMH54" s="556"/>
      <c r="VMI54" s="556"/>
      <c r="VMJ54" s="556"/>
      <c r="VMK54" s="556"/>
      <c r="VML54" s="556"/>
      <c r="VMM54" s="556"/>
      <c r="VMN54" s="556"/>
      <c r="VMO54" s="556"/>
      <c r="VMP54" s="556"/>
      <c r="VMQ54" s="556"/>
      <c r="VMR54" s="556"/>
      <c r="VMS54" s="556"/>
      <c r="VMT54" s="556"/>
      <c r="VMU54" s="556"/>
      <c r="VMV54" s="556"/>
      <c r="VMW54" s="556"/>
      <c r="VMX54" s="556"/>
      <c r="VMY54" s="556"/>
      <c r="VMZ54" s="556"/>
      <c r="VNA54" s="556"/>
      <c r="VNB54" s="556"/>
      <c r="VNC54" s="556"/>
      <c r="VND54" s="556"/>
      <c r="VNE54" s="556"/>
      <c r="VNF54" s="556"/>
      <c r="VNG54" s="556"/>
      <c r="VNH54" s="556"/>
      <c r="VNI54" s="556"/>
      <c r="VNJ54" s="556"/>
      <c r="VNK54" s="556"/>
      <c r="VNL54" s="556"/>
      <c r="VNM54" s="556"/>
      <c r="VNN54" s="556"/>
      <c r="VNO54" s="556"/>
      <c r="VNP54" s="556"/>
      <c r="VNQ54" s="556"/>
      <c r="VNR54" s="556"/>
      <c r="VNS54" s="556"/>
      <c r="VNT54" s="556"/>
      <c r="VNU54" s="556"/>
      <c r="VNV54" s="556"/>
      <c r="VNW54" s="556"/>
      <c r="VNX54" s="556"/>
      <c r="VNY54" s="556"/>
      <c r="VNZ54" s="556"/>
      <c r="VOA54" s="556"/>
      <c r="VOB54" s="556"/>
      <c r="VOC54" s="556"/>
      <c r="VOD54" s="556"/>
      <c r="VOE54" s="556"/>
      <c r="VOF54" s="556"/>
      <c r="VOG54" s="556"/>
      <c r="VOH54" s="556"/>
      <c r="VOI54" s="556"/>
      <c r="VOJ54" s="556"/>
      <c r="VOK54" s="556"/>
      <c r="VOL54" s="556"/>
      <c r="VOM54" s="556"/>
      <c r="VON54" s="556"/>
      <c r="VOO54" s="556"/>
      <c r="VOP54" s="556"/>
      <c r="VOQ54" s="556"/>
      <c r="VOR54" s="556"/>
      <c r="VOS54" s="556"/>
      <c r="VOT54" s="556"/>
      <c r="VOU54" s="556"/>
      <c r="VOV54" s="556"/>
      <c r="VOW54" s="556"/>
      <c r="VOX54" s="556"/>
      <c r="VOY54" s="556"/>
      <c r="VOZ54" s="556"/>
      <c r="VPA54" s="556"/>
      <c r="VPB54" s="556"/>
      <c r="VPC54" s="556"/>
      <c r="VPD54" s="556"/>
      <c r="VPE54" s="556"/>
      <c r="VPF54" s="556"/>
      <c r="VPG54" s="556"/>
      <c r="VPH54" s="556"/>
      <c r="VPI54" s="556"/>
      <c r="VPJ54" s="556"/>
      <c r="VPK54" s="556"/>
      <c r="VPL54" s="556"/>
      <c r="VPM54" s="556"/>
      <c r="VPN54" s="556"/>
      <c r="VPO54" s="556"/>
      <c r="VPP54" s="556"/>
      <c r="VPQ54" s="556"/>
      <c r="VPR54" s="556"/>
      <c r="VPS54" s="556"/>
      <c r="VPT54" s="556"/>
      <c r="VPU54" s="556"/>
      <c r="VPV54" s="556"/>
      <c r="VPW54" s="556"/>
      <c r="VPX54" s="556"/>
      <c r="VPY54" s="556"/>
      <c r="VPZ54" s="556"/>
      <c r="VQA54" s="556"/>
      <c r="VQB54" s="556"/>
      <c r="VQC54" s="556"/>
      <c r="VQD54" s="556"/>
      <c r="VQE54" s="556"/>
      <c r="VQF54" s="556"/>
      <c r="VQG54" s="556"/>
      <c r="VQH54" s="556"/>
      <c r="VQI54" s="556"/>
      <c r="VQJ54" s="556"/>
      <c r="VQK54" s="556"/>
      <c r="VQL54" s="556"/>
      <c r="VQM54" s="556"/>
      <c r="VQN54" s="556"/>
      <c r="VQO54" s="556"/>
      <c r="VQP54" s="556"/>
      <c r="VQQ54" s="556"/>
      <c r="VQR54" s="556"/>
      <c r="VQS54" s="556"/>
      <c r="VQT54" s="556"/>
      <c r="VQU54" s="556"/>
      <c r="VQV54" s="556"/>
      <c r="VQW54" s="556"/>
      <c r="VQX54" s="556"/>
      <c r="VQY54" s="556"/>
      <c r="VQZ54" s="556"/>
      <c r="VRA54" s="556"/>
      <c r="VRB54" s="556"/>
      <c r="VRC54" s="556"/>
      <c r="VRD54" s="556"/>
      <c r="VRE54" s="556"/>
      <c r="VRF54" s="556"/>
      <c r="VRG54" s="556"/>
      <c r="VRH54" s="556"/>
      <c r="VRI54" s="556"/>
      <c r="VRJ54" s="556"/>
      <c r="VRK54" s="556"/>
      <c r="VRL54" s="556"/>
      <c r="VRM54" s="556"/>
      <c r="VRN54" s="556"/>
      <c r="VRO54" s="556"/>
      <c r="VRP54" s="556"/>
      <c r="VRQ54" s="556"/>
      <c r="VRR54" s="556"/>
      <c r="VRS54" s="556"/>
      <c r="VRT54" s="556"/>
      <c r="VRU54" s="556"/>
      <c r="VRV54" s="556"/>
      <c r="VRW54" s="556"/>
      <c r="VRX54" s="556"/>
      <c r="VRY54" s="556"/>
      <c r="VRZ54" s="556"/>
      <c r="VSA54" s="556"/>
      <c r="VSB54" s="556"/>
      <c r="VSC54" s="556"/>
      <c r="VSD54" s="556"/>
      <c r="VSE54" s="556"/>
      <c r="VSF54" s="556"/>
      <c r="VSG54" s="556"/>
      <c r="VSH54" s="556"/>
      <c r="VSI54" s="556"/>
      <c r="VSJ54" s="556"/>
      <c r="VSK54" s="556"/>
      <c r="VSL54" s="556"/>
      <c r="VSM54" s="556"/>
      <c r="VSN54" s="556"/>
      <c r="VSO54" s="556"/>
      <c r="VSP54" s="556"/>
      <c r="VSQ54" s="556"/>
      <c r="VSR54" s="556"/>
      <c r="VSS54" s="556"/>
      <c r="VST54" s="556"/>
      <c r="VSU54" s="556"/>
      <c r="VSV54" s="556"/>
      <c r="VSW54" s="556"/>
      <c r="VSX54" s="556"/>
      <c r="VSY54" s="556"/>
      <c r="VSZ54" s="556"/>
      <c r="VTA54" s="556"/>
      <c r="VTB54" s="556"/>
      <c r="VTC54" s="556"/>
      <c r="VTD54" s="556"/>
      <c r="VTE54" s="556"/>
      <c r="VTF54" s="556"/>
      <c r="VTG54" s="556"/>
      <c r="VTH54" s="556"/>
      <c r="VTI54" s="556"/>
      <c r="VTJ54" s="556"/>
      <c r="VTK54" s="556"/>
      <c r="VTL54" s="556"/>
      <c r="VTM54" s="556"/>
      <c r="VTN54" s="556"/>
      <c r="VTO54" s="556"/>
      <c r="VTP54" s="556"/>
      <c r="VTQ54" s="556"/>
      <c r="VTR54" s="556"/>
      <c r="VTS54" s="556"/>
      <c r="VTT54" s="556"/>
      <c r="VTU54" s="556"/>
      <c r="VTV54" s="556"/>
      <c r="VTW54" s="556"/>
      <c r="VTX54" s="556"/>
      <c r="VTY54" s="556"/>
      <c r="VTZ54" s="556"/>
      <c r="VUA54" s="556"/>
      <c r="VUB54" s="556"/>
      <c r="VUC54" s="556"/>
      <c r="VUD54" s="556"/>
      <c r="VUE54" s="556"/>
      <c r="VUF54" s="556"/>
      <c r="VUG54" s="556"/>
      <c r="VUH54" s="556"/>
      <c r="VUI54" s="556"/>
      <c r="VUJ54" s="556"/>
      <c r="VUK54" s="556"/>
      <c r="VUL54" s="556"/>
      <c r="VUM54" s="556"/>
      <c r="VUN54" s="556"/>
      <c r="VUO54" s="556"/>
      <c r="VUP54" s="556"/>
      <c r="VUQ54" s="556"/>
      <c r="VUR54" s="556"/>
      <c r="VUS54" s="556"/>
      <c r="VUT54" s="556"/>
      <c r="VUU54" s="556"/>
      <c r="VUV54" s="556"/>
      <c r="VUW54" s="556"/>
      <c r="VUX54" s="556"/>
      <c r="VUY54" s="556"/>
      <c r="VUZ54" s="556"/>
      <c r="VVA54" s="556"/>
      <c r="VVB54" s="556"/>
      <c r="VVC54" s="556"/>
      <c r="VVD54" s="556"/>
      <c r="VVE54" s="556"/>
      <c r="VVF54" s="556"/>
      <c r="VVG54" s="556"/>
      <c r="VVH54" s="556"/>
      <c r="VVI54" s="556"/>
      <c r="VVJ54" s="556"/>
      <c r="VVK54" s="556"/>
      <c r="VVL54" s="556"/>
      <c r="VVM54" s="556"/>
      <c r="VVN54" s="556"/>
      <c r="VVO54" s="556"/>
      <c r="VVP54" s="556"/>
      <c r="VVQ54" s="556"/>
      <c r="VVR54" s="556"/>
      <c r="VVS54" s="556"/>
      <c r="VVT54" s="556"/>
      <c r="VVU54" s="556"/>
      <c r="VVV54" s="556"/>
      <c r="VVW54" s="556"/>
      <c r="VVX54" s="556"/>
      <c r="VVY54" s="556"/>
      <c r="VVZ54" s="556"/>
      <c r="VWA54" s="556"/>
      <c r="VWB54" s="556"/>
      <c r="VWC54" s="556"/>
      <c r="VWD54" s="556"/>
      <c r="VWE54" s="556"/>
      <c r="VWF54" s="556"/>
      <c r="VWG54" s="556"/>
      <c r="VWH54" s="556"/>
      <c r="VWI54" s="556"/>
      <c r="VWJ54" s="556"/>
      <c r="VWK54" s="556"/>
      <c r="VWL54" s="556"/>
      <c r="VWM54" s="556"/>
      <c r="VWN54" s="556"/>
      <c r="VWO54" s="556"/>
      <c r="VWP54" s="556"/>
      <c r="VWQ54" s="556"/>
      <c r="VWR54" s="556"/>
      <c r="VWS54" s="556"/>
      <c r="VWT54" s="556"/>
      <c r="VWU54" s="556"/>
      <c r="VWV54" s="556"/>
      <c r="VWW54" s="556"/>
      <c r="VWX54" s="556"/>
      <c r="VWY54" s="556"/>
      <c r="VWZ54" s="556"/>
      <c r="VXA54" s="556"/>
      <c r="VXB54" s="556"/>
      <c r="VXC54" s="556"/>
      <c r="VXD54" s="556"/>
      <c r="VXE54" s="556"/>
      <c r="VXF54" s="556"/>
      <c r="VXG54" s="556"/>
      <c r="VXH54" s="556"/>
      <c r="VXI54" s="556"/>
      <c r="VXJ54" s="556"/>
      <c r="VXK54" s="556"/>
      <c r="VXL54" s="556"/>
      <c r="VXM54" s="556"/>
      <c r="VXN54" s="556"/>
      <c r="VXO54" s="556"/>
      <c r="VXP54" s="556"/>
      <c r="VXQ54" s="556"/>
      <c r="VXR54" s="556"/>
      <c r="VXS54" s="556"/>
      <c r="VXT54" s="556"/>
      <c r="VXU54" s="556"/>
      <c r="VXV54" s="556"/>
      <c r="VXW54" s="556"/>
      <c r="VXX54" s="556"/>
      <c r="VXY54" s="556"/>
      <c r="VXZ54" s="556"/>
      <c r="VYA54" s="556"/>
      <c r="VYB54" s="556"/>
      <c r="VYC54" s="556"/>
      <c r="VYD54" s="556"/>
      <c r="VYE54" s="556"/>
      <c r="VYF54" s="556"/>
      <c r="VYG54" s="556"/>
      <c r="VYH54" s="556"/>
      <c r="VYI54" s="556"/>
      <c r="VYJ54" s="556"/>
      <c r="VYK54" s="556"/>
      <c r="VYL54" s="556"/>
      <c r="VYM54" s="556"/>
      <c r="VYN54" s="556"/>
      <c r="VYO54" s="556"/>
      <c r="VYP54" s="556"/>
      <c r="VYQ54" s="556"/>
      <c r="VYR54" s="556"/>
      <c r="VYS54" s="556"/>
      <c r="VYT54" s="556"/>
      <c r="VYU54" s="556"/>
      <c r="VYV54" s="556"/>
      <c r="VYW54" s="556"/>
      <c r="VYX54" s="556"/>
      <c r="VYY54" s="556"/>
      <c r="VYZ54" s="556"/>
      <c r="VZA54" s="556"/>
      <c r="VZB54" s="556"/>
      <c r="VZC54" s="556"/>
      <c r="VZD54" s="556"/>
      <c r="VZE54" s="556"/>
      <c r="VZF54" s="556"/>
      <c r="VZG54" s="556"/>
      <c r="VZH54" s="556"/>
      <c r="VZI54" s="556"/>
      <c r="VZJ54" s="556"/>
      <c r="VZK54" s="556"/>
      <c r="VZL54" s="556"/>
      <c r="VZM54" s="556"/>
      <c r="VZN54" s="556"/>
      <c r="VZO54" s="556"/>
      <c r="VZP54" s="556"/>
      <c r="VZQ54" s="556"/>
      <c r="VZR54" s="556"/>
      <c r="VZS54" s="556"/>
      <c r="VZT54" s="556"/>
      <c r="VZU54" s="556"/>
      <c r="VZV54" s="556"/>
      <c r="VZW54" s="556"/>
      <c r="VZX54" s="556"/>
      <c r="VZY54" s="556"/>
      <c r="VZZ54" s="556"/>
      <c r="WAA54" s="556"/>
      <c r="WAB54" s="556"/>
      <c r="WAC54" s="556"/>
      <c r="WAD54" s="556"/>
      <c r="WAE54" s="556"/>
      <c r="WAF54" s="556"/>
      <c r="WAG54" s="556"/>
      <c r="WAH54" s="556"/>
      <c r="WAI54" s="556"/>
      <c r="WAJ54" s="556"/>
      <c r="WAK54" s="556"/>
      <c r="WAL54" s="556"/>
      <c r="WAM54" s="556"/>
      <c r="WAN54" s="556"/>
      <c r="WAO54" s="556"/>
      <c r="WAP54" s="556"/>
      <c r="WAQ54" s="556"/>
      <c r="WAR54" s="556"/>
      <c r="WAS54" s="556"/>
      <c r="WAT54" s="556"/>
      <c r="WAU54" s="556"/>
      <c r="WAV54" s="556"/>
      <c r="WAW54" s="556"/>
      <c r="WAX54" s="556"/>
      <c r="WAY54" s="556"/>
      <c r="WAZ54" s="556"/>
      <c r="WBA54" s="556"/>
      <c r="WBB54" s="556"/>
      <c r="WBC54" s="556"/>
      <c r="WBD54" s="556"/>
      <c r="WBE54" s="556"/>
      <c r="WBF54" s="556"/>
      <c r="WBG54" s="556"/>
      <c r="WBH54" s="556"/>
      <c r="WBI54" s="556"/>
      <c r="WBJ54" s="556"/>
      <c r="WBK54" s="556"/>
      <c r="WBL54" s="556"/>
      <c r="WBM54" s="556"/>
      <c r="WBN54" s="556"/>
      <c r="WBO54" s="556"/>
      <c r="WBP54" s="556"/>
      <c r="WBQ54" s="556"/>
      <c r="WBR54" s="556"/>
      <c r="WBS54" s="556"/>
      <c r="WBT54" s="556"/>
      <c r="WBU54" s="556"/>
      <c r="WBV54" s="556"/>
      <c r="WBW54" s="556"/>
      <c r="WBX54" s="556"/>
      <c r="WBY54" s="556"/>
      <c r="WBZ54" s="556"/>
      <c r="WCA54" s="556"/>
      <c r="WCB54" s="556"/>
      <c r="WCC54" s="556"/>
      <c r="WCD54" s="556"/>
      <c r="WCE54" s="556"/>
      <c r="WCF54" s="556"/>
      <c r="WCG54" s="556"/>
      <c r="WCH54" s="556"/>
      <c r="WCI54" s="556"/>
      <c r="WCJ54" s="556"/>
      <c r="WCK54" s="556"/>
      <c r="WCL54" s="556"/>
      <c r="WCM54" s="556"/>
      <c r="WCN54" s="556"/>
      <c r="WCO54" s="556"/>
      <c r="WCP54" s="556"/>
      <c r="WCQ54" s="556"/>
      <c r="WCR54" s="556"/>
      <c r="WCS54" s="556"/>
      <c r="WCT54" s="556"/>
      <c r="WCU54" s="556"/>
      <c r="WCV54" s="556"/>
      <c r="WCW54" s="556"/>
      <c r="WCX54" s="556"/>
      <c r="WCY54" s="556"/>
      <c r="WCZ54" s="556"/>
      <c r="WDA54" s="556"/>
      <c r="WDB54" s="556"/>
      <c r="WDC54" s="556"/>
      <c r="WDD54" s="556"/>
      <c r="WDE54" s="556"/>
      <c r="WDF54" s="556"/>
      <c r="WDG54" s="556"/>
      <c r="WDH54" s="556"/>
      <c r="WDI54" s="556"/>
      <c r="WDJ54" s="556"/>
      <c r="WDK54" s="556"/>
      <c r="WDL54" s="556"/>
      <c r="WDM54" s="556"/>
      <c r="WDN54" s="556"/>
      <c r="WDO54" s="556"/>
      <c r="WDP54" s="556"/>
      <c r="WDQ54" s="556"/>
      <c r="WDR54" s="556"/>
      <c r="WDS54" s="556"/>
      <c r="WDT54" s="556"/>
      <c r="WDU54" s="556"/>
      <c r="WDV54" s="556"/>
      <c r="WDW54" s="556"/>
      <c r="WDX54" s="556"/>
      <c r="WDY54" s="556"/>
      <c r="WDZ54" s="556"/>
      <c r="WEA54" s="556"/>
      <c r="WEB54" s="556"/>
      <c r="WEC54" s="556"/>
      <c r="WED54" s="556"/>
      <c r="WEE54" s="556"/>
      <c r="WEF54" s="556"/>
      <c r="WEG54" s="556"/>
      <c r="WEH54" s="556"/>
      <c r="WEI54" s="556"/>
      <c r="WEJ54" s="556"/>
      <c r="WEK54" s="556"/>
      <c r="WEL54" s="556"/>
      <c r="WEM54" s="556"/>
      <c r="WEN54" s="556"/>
      <c r="WEO54" s="556"/>
      <c r="WEP54" s="556"/>
      <c r="WEQ54" s="556"/>
      <c r="WER54" s="556"/>
      <c r="WES54" s="556"/>
      <c r="WET54" s="556"/>
      <c r="WEU54" s="556"/>
      <c r="WEV54" s="556"/>
      <c r="WEW54" s="556"/>
      <c r="WEX54" s="556"/>
      <c r="WEY54" s="556"/>
      <c r="WEZ54" s="556"/>
      <c r="WFA54" s="556"/>
      <c r="WFB54" s="556"/>
      <c r="WFC54" s="556"/>
      <c r="WFD54" s="556"/>
      <c r="WFE54" s="556"/>
      <c r="WFF54" s="556"/>
      <c r="WFG54" s="556"/>
      <c r="WFH54" s="556"/>
      <c r="WFI54" s="556"/>
      <c r="WFJ54" s="556"/>
      <c r="WFK54" s="556"/>
      <c r="WFL54" s="556"/>
      <c r="WFM54" s="556"/>
      <c r="WFN54" s="556"/>
      <c r="WFO54" s="556"/>
      <c r="WFP54" s="556"/>
      <c r="WFQ54" s="556"/>
      <c r="WFR54" s="556"/>
      <c r="WFS54" s="556"/>
      <c r="WFT54" s="556"/>
      <c r="WFU54" s="556"/>
      <c r="WFV54" s="556"/>
      <c r="WFW54" s="556"/>
      <c r="WFX54" s="556"/>
      <c r="WFY54" s="556"/>
      <c r="WFZ54" s="556"/>
      <c r="WGA54" s="556"/>
      <c r="WGB54" s="556"/>
      <c r="WGC54" s="556"/>
      <c r="WGD54" s="556"/>
      <c r="WGE54" s="556"/>
      <c r="WGF54" s="556"/>
      <c r="WGG54" s="556"/>
      <c r="WGH54" s="556"/>
      <c r="WGI54" s="556"/>
      <c r="WGJ54" s="556"/>
      <c r="WGK54" s="556"/>
      <c r="WGL54" s="556"/>
      <c r="WGM54" s="556"/>
      <c r="WGN54" s="556"/>
      <c r="WGO54" s="556"/>
      <c r="WGP54" s="556"/>
      <c r="WGQ54" s="556"/>
      <c r="WGR54" s="556"/>
      <c r="WGS54" s="556"/>
      <c r="WGT54" s="556"/>
      <c r="WGU54" s="556"/>
      <c r="WGV54" s="556"/>
      <c r="WGW54" s="556"/>
      <c r="WGX54" s="556"/>
      <c r="WGY54" s="556"/>
      <c r="WGZ54" s="556"/>
      <c r="WHA54" s="556"/>
      <c r="WHB54" s="556"/>
      <c r="WHC54" s="556"/>
      <c r="WHD54" s="556"/>
      <c r="WHE54" s="556"/>
      <c r="WHF54" s="556"/>
      <c r="WHG54" s="556"/>
      <c r="WHH54" s="556"/>
      <c r="WHI54" s="556"/>
      <c r="WHJ54" s="556"/>
      <c r="WHK54" s="556"/>
      <c r="WHL54" s="556"/>
      <c r="WHM54" s="556"/>
      <c r="WHN54" s="556"/>
      <c r="WHO54" s="556"/>
      <c r="WHP54" s="556"/>
      <c r="WHQ54" s="556"/>
      <c r="WHR54" s="556"/>
      <c r="WHS54" s="556"/>
      <c r="WHT54" s="556"/>
      <c r="WHU54" s="556"/>
      <c r="WHV54" s="556"/>
      <c r="WHW54" s="556"/>
      <c r="WHX54" s="556"/>
      <c r="WHY54" s="556"/>
      <c r="WHZ54" s="556"/>
      <c r="WIA54" s="556"/>
      <c r="WIB54" s="556"/>
      <c r="WIC54" s="556"/>
      <c r="WID54" s="556"/>
      <c r="WIE54" s="556"/>
      <c r="WIF54" s="556"/>
      <c r="WIG54" s="556"/>
      <c r="WIH54" s="556"/>
      <c r="WII54" s="556"/>
      <c r="WIJ54" s="556"/>
      <c r="WIK54" s="556"/>
      <c r="WIL54" s="556"/>
      <c r="WIM54" s="556"/>
      <c r="WIN54" s="556"/>
      <c r="WIO54" s="556"/>
      <c r="WIP54" s="556"/>
      <c r="WIQ54" s="556"/>
      <c r="WIR54" s="556"/>
      <c r="WIS54" s="556"/>
      <c r="WIT54" s="556"/>
      <c r="WIU54" s="556"/>
      <c r="WIV54" s="556"/>
      <c r="WIW54" s="556"/>
      <c r="WIX54" s="556"/>
      <c r="WIY54" s="556"/>
      <c r="WIZ54" s="556"/>
      <c r="WJA54" s="556"/>
      <c r="WJB54" s="556"/>
      <c r="WJC54" s="556"/>
      <c r="WJD54" s="556"/>
      <c r="WJE54" s="556"/>
      <c r="WJF54" s="556"/>
      <c r="WJG54" s="556"/>
      <c r="WJH54" s="556"/>
      <c r="WJI54" s="556"/>
      <c r="WJJ54" s="556"/>
      <c r="WJK54" s="556"/>
      <c r="WJL54" s="556"/>
      <c r="WJM54" s="556"/>
      <c r="WJN54" s="556"/>
      <c r="WJO54" s="556"/>
      <c r="WJP54" s="556"/>
      <c r="WJQ54" s="556"/>
      <c r="WJR54" s="556"/>
      <c r="WJS54" s="556"/>
      <c r="WJT54" s="556"/>
      <c r="WJU54" s="556"/>
      <c r="WJV54" s="556"/>
      <c r="WJW54" s="556"/>
      <c r="WJX54" s="556"/>
      <c r="WJY54" s="556"/>
      <c r="WJZ54" s="556"/>
      <c r="WKA54" s="556"/>
      <c r="WKB54" s="556"/>
      <c r="WKC54" s="556"/>
      <c r="WKD54" s="556"/>
      <c r="WKE54" s="556"/>
      <c r="WKF54" s="556"/>
      <c r="WKG54" s="556"/>
      <c r="WKH54" s="556"/>
      <c r="WKI54" s="556"/>
      <c r="WKJ54" s="556"/>
      <c r="WKK54" s="556"/>
      <c r="WKL54" s="556"/>
      <c r="WKM54" s="556"/>
      <c r="WKN54" s="556"/>
      <c r="WKO54" s="556"/>
      <c r="WKP54" s="556"/>
      <c r="WKQ54" s="556"/>
      <c r="WKR54" s="556"/>
      <c r="WKS54" s="556"/>
      <c r="WKT54" s="556"/>
      <c r="WKU54" s="556"/>
      <c r="WKV54" s="556"/>
      <c r="WKW54" s="556"/>
      <c r="WKX54" s="556"/>
      <c r="WKY54" s="556"/>
      <c r="WKZ54" s="556"/>
      <c r="WLA54" s="556"/>
      <c r="WLB54" s="556"/>
      <c r="WLC54" s="556"/>
      <c r="WLD54" s="556"/>
      <c r="WLE54" s="556"/>
      <c r="WLF54" s="556"/>
      <c r="WLG54" s="556"/>
      <c r="WLH54" s="556"/>
      <c r="WLI54" s="556"/>
      <c r="WLJ54" s="556"/>
      <c r="WLK54" s="556"/>
      <c r="WLL54" s="556"/>
      <c r="WLM54" s="556"/>
      <c r="WLN54" s="556"/>
      <c r="WLO54" s="556"/>
      <c r="WLP54" s="556"/>
      <c r="WLQ54" s="556"/>
      <c r="WLR54" s="556"/>
      <c r="WLS54" s="556"/>
      <c r="WLT54" s="556"/>
      <c r="WLU54" s="556"/>
      <c r="WLV54" s="556"/>
      <c r="WLW54" s="556"/>
      <c r="WLX54" s="556"/>
      <c r="WLY54" s="556"/>
      <c r="WLZ54" s="556"/>
      <c r="WMA54" s="556"/>
      <c r="WMB54" s="556"/>
      <c r="WMC54" s="556"/>
      <c r="WMD54" s="556"/>
      <c r="WME54" s="556"/>
      <c r="WMF54" s="556"/>
      <c r="WMG54" s="556"/>
      <c r="WMH54" s="556"/>
      <c r="WMI54" s="556"/>
      <c r="WMJ54" s="556"/>
      <c r="WMK54" s="556"/>
      <c r="WML54" s="556"/>
      <c r="WMM54" s="556"/>
      <c r="WMN54" s="556"/>
      <c r="WMO54" s="556"/>
      <c r="WMP54" s="556"/>
      <c r="WMQ54" s="556"/>
      <c r="WMR54" s="556"/>
      <c r="WMS54" s="556"/>
      <c r="WMT54" s="556"/>
      <c r="WMU54" s="556"/>
      <c r="WMV54" s="556"/>
      <c r="WMW54" s="556"/>
      <c r="WMX54" s="556"/>
      <c r="WMY54" s="556"/>
      <c r="WMZ54" s="556"/>
      <c r="WNA54" s="556"/>
      <c r="WNB54" s="556"/>
      <c r="WNC54" s="556"/>
      <c r="WND54" s="556"/>
      <c r="WNE54" s="556"/>
      <c r="WNF54" s="556"/>
      <c r="WNG54" s="556"/>
      <c r="WNH54" s="556"/>
      <c r="WNI54" s="556"/>
      <c r="WNJ54" s="556"/>
      <c r="WNK54" s="556"/>
      <c r="WNL54" s="556"/>
      <c r="WNM54" s="556"/>
      <c r="WNN54" s="556"/>
      <c r="WNO54" s="556"/>
      <c r="WNP54" s="556"/>
      <c r="WNQ54" s="556"/>
      <c r="WNR54" s="556"/>
      <c r="WNS54" s="556"/>
      <c r="WNT54" s="556"/>
      <c r="WNU54" s="556"/>
      <c r="WNV54" s="556"/>
      <c r="WNW54" s="556"/>
      <c r="WNX54" s="556"/>
      <c r="WNY54" s="556"/>
      <c r="WNZ54" s="556"/>
      <c r="WOA54" s="556"/>
      <c r="WOB54" s="556"/>
      <c r="WOC54" s="556"/>
      <c r="WOD54" s="556"/>
      <c r="WOE54" s="556"/>
      <c r="WOF54" s="556"/>
      <c r="WOG54" s="556"/>
      <c r="WOH54" s="556"/>
      <c r="WOI54" s="556"/>
      <c r="WOJ54" s="556"/>
      <c r="WOK54" s="556"/>
      <c r="WOL54" s="556"/>
      <c r="WOM54" s="556"/>
      <c r="WON54" s="556"/>
      <c r="WOO54" s="556"/>
      <c r="WOP54" s="556"/>
      <c r="WOQ54" s="556"/>
      <c r="WOR54" s="556"/>
      <c r="WOS54" s="556"/>
      <c r="WOT54" s="556"/>
      <c r="WOU54" s="556"/>
      <c r="WOV54" s="556"/>
      <c r="WOW54" s="556"/>
      <c r="WOX54" s="556"/>
      <c r="WOY54" s="556"/>
      <c r="WOZ54" s="556"/>
      <c r="WPA54" s="556"/>
      <c r="WPB54" s="556"/>
      <c r="WPC54" s="556"/>
      <c r="WPD54" s="556"/>
      <c r="WPE54" s="556"/>
      <c r="WPF54" s="556"/>
      <c r="WPG54" s="556"/>
      <c r="WPH54" s="556"/>
      <c r="WPI54" s="556"/>
      <c r="WPJ54" s="556"/>
      <c r="WPK54" s="556"/>
      <c r="WPL54" s="556"/>
      <c r="WPM54" s="556"/>
      <c r="WPN54" s="556"/>
      <c r="WPO54" s="556"/>
      <c r="WPP54" s="556"/>
      <c r="WPQ54" s="556"/>
      <c r="WPR54" s="556"/>
      <c r="WPS54" s="556"/>
      <c r="WPT54" s="556"/>
      <c r="WPU54" s="556"/>
      <c r="WPV54" s="556"/>
      <c r="WPW54" s="556"/>
      <c r="WPX54" s="556"/>
      <c r="WPY54" s="556"/>
      <c r="WPZ54" s="556"/>
      <c r="WQA54" s="556"/>
      <c r="WQB54" s="556"/>
      <c r="WQC54" s="556"/>
      <c r="WQD54" s="556"/>
      <c r="WQE54" s="556"/>
      <c r="WQF54" s="556"/>
      <c r="WQG54" s="556"/>
      <c r="WQH54" s="556"/>
      <c r="WQI54" s="556"/>
      <c r="WQJ54" s="556"/>
      <c r="WQK54" s="556"/>
      <c r="WQL54" s="556"/>
      <c r="WQM54" s="556"/>
      <c r="WQN54" s="556"/>
      <c r="WQO54" s="556"/>
      <c r="WQP54" s="556"/>
      <c r="WQQ54" s="556"/>
      <c r="WQR54" s="556"/>
      <c r="WQS54" s="556"/>
      <c r="WQT54" s="556"/>
      <c r="WQU54" s="556"/>
      <c r="WQV54" s="556"/>
      <c r="WQW54" s="556"/>
      <c r="WQX54" s="556"/>
      <c r="WQY54" s="556"/>
      <c r="WQZ54" s="556"/>
      <c r="WRA54" s="556"/>
      <c r="WRB54" s="556"/>
      <c r="WRC54" s="556"/>
      <c r="WRD54" s="556"/>
      <c r="WRE54" s="556"/>
      <c r="WRF54" s="556"/>
      <c r="WRG54" s="556"/>
      <c r="WRH54" s="556"/>
      <c r="WRI54" s="556"/>
      <c r="WRJ54" s="556"/>
      <c r="WRK54" s="556"/>
      <c r="WRL54" s="556"/>
      <c r="WRM54" s="556"/>
      <c r="WRN54" s="556"/>
      <c r="WRO54" s="556"/>
      <c r="WRP54" s="556"/>
      <c r="WRQ54" s="556"/>
      <c r="WRR54" s="556"/>
      <c r="WRS54" s="556"/>
      <c r="WRT54" s="556"/>
      <c r="WRU54" s="556"/>
      <c r="WRV54" s="556"/>
      <c r="WRW54" s="556"/>
      <c r="WRX54" s="556"/>
      <c r="WRY54" s="556"/>
      <c r="WRZ54" s="556"/>
      <c r="WSA54" s="556"/>
      <c r="WSB54" s="556"/>
      <c r="WSC54" s="556"/>
      <c r="WSD54" s="556"/>
      <c r="WSE54" s="556"/>
      <c r="WSF54" s="556"/>
      <c r="WSG54" s="556"/>
      <c r="WSH54" s="556"/>
      <c r="WSI54" s="556"/>
      <c r="WSJ54" s="556"/>
      <c r="WSK54" s="556"/>
      <c r="WSL54" s="556"/>
      <c r="WSM54" s="556"/>
      <c r="WSN54" s="556"/>
      <c r="WSO54" s="556"/>
      <c r="WSP54" s="556"/>
      <c r="WSQ54" s="556"/>
      <c r="WSR54" s="556"/>
      <c r="WSS54" s="556"/>
      <c r="WST54" s="556"/>
      <c r="WSU54" s="556"/>
      <c r="WSV54" s="556"/>
      <c r="WSW54" s="556"/>
      <c r="WSX54" s="556"/>
      <c r="WSY54" s="556"/>
      <c r="WSZ54" s="556"/>
      <c r="WTA54" s="556"/>
      <c r="WTB54" s="556"/>
      <c r="WTC54" s="556"/>
      <c r="WTD54" s="556"/>
      <c r="WTE54" s="556"/>
      <c r="WTF54" s="556"/>
      <c r="WTG54" s="556"/>
      <c r="WTH54" s="556"/>
      <c r="WTI54" s="556"/>
      <c r="WTJ54" s="556"/>
      <c r="WTK54" s="556"/>
      <c r="WTL54" s="556"/>
      <c r="WTM54" s="556"/>
      <c r="WTN54" s="556"/>
      <c r="WTO54" s="556"/>
      <c r="WTP54" s="556"/>
      <c r="WTQ54" s="556"/>
      <c r="WTR54" s="556"/>
      <c r="WTS54" s="556"/>
      <c r="WTT54" s="556"/>
      <c r="WTU54" s="556"/>
      <c r="WTV54" s="556"/>
      <c r="WTW54" s="556"/>
      <c r="WTX54" s="556"/>
      <c r="WTY54" s="556"/>
      <c r="WTZ54" s="556"/>
      <c r="WUA54" s="556"/>
      <c r="WUB54" s="556"/>
      <c r="WUC54" s="556"/>
      <c r="WUD54" s="556"/>
      <c r="WUE54" s="556"/>
      <c r="WUF54" s="556"/>
      <c r="WUG54" s="556"/>
      <c r="WUH54" s="556"/>
      <c r="WUI54" s="556"/>
      <c r="WUJ54" s="556"/>
      <c r="WUK54" s="556"/>
      <c r="WUL54" s="556"/>
      <c r="WUM54" s="556"/>
      <c r="WUN54" s="556"/>
      <c r="WUO54" s="556"/>
      <c r="WUP54" s="556"/>
      <c r="WUQ54" s="556"/>
      <c r="WUR54" s="556"/>
      <c r="WUS54" s="556"/>
      <c r="WUT54" s="556"/>
      <c r="WUU54" s="556"/>
      <c r="WUV54" s="556"/>
      <c r="WUW54" s="556"/>
      <c r="WUX54" s="556"/>
      <c r="WUY54" s="556"/>
      <c r="WUZ54" s="556"/>
      <c r="WVA54" s="556"/>
      <c r="WVB54" s="556"/>
      <c r="WVC54" s="556"/>
      <c r="WVD54" s="556"/>
      <c r="WVE54" s="556"/>
      <c r="WVF54" s="556"/>
      <c r="WVG54" s="556"/>
      <c r="WVH54" s="556"/>
      <c r="WVI54" s="556"/>
      <c r="WVJ54" s="556"/>
      <c r="WVK54" s="556"/>
      <c r="WVL54" s="556"/>
      <c r="WVM54" s="556"/>
      <c r="WVN54" s="556"/>
      <c r="WVO54" s="556"/>
      <c r="WVP54" s="556"/>
      <c r="WVQ54" s="556"/>
      <c r="WVR54" s="556"/>
      <c r="WVS54" s="556"/>
      <c r="WVT54" s="556"/>
      <c r="WVU54" s="556"/>
      <c r="WVV54" s="556"/>
      <c r="WVW54" s="556"/>
      <c r="WVX54" s="556"/>
      <c r="WVY54" s="556"/>
      <c r="WVZ54" s="556"/>
      <c r="WWA54" s="556"/>
      <c r="WWB54" s="556"/>
      <c r="WWC54" s="556"/>
      <c r="WWD54" s="556"/>
      <c r="WWE54" s="556"/>
      <c r="WWF54" s="556"/>
      <c r="WWG54" s="556"/>
      <c r="WWH54" s="556"/>
      <c r="WWI54" s="556"/>
      <c r="WWJ54" s="556"/>
      <c r="WWK54" s="556"/>
      <c r="WWL54" s="556"/>
      <c r="WWM54" s="556"/>
      <c r="WWN54" s="556"/>
      <c r="WWO54" s="556"/>
      <c r="WWP54" s="556"/>
      <c r="WWQ54" s="556"/>
      <c r="WWR54" s="556"/>
      <c r="WWS54" s="556"/>
      <c r="WWT54" s="556"/>
      <c r="WWU54" s="556"/>
      <c r="WWV54" s="556"/>
      <c r="WWW54" s="556"/>
      <c r="WWX54" s="556"/>
      <c r="WWY54" s="556"/>
      <c r="WWZ54" s="556"/>
      <c r="WXA54" s="556"/>
      <c r="WXB54" s="556"/>
      <c r="WXC54" s="556"/>
      <c r="WXD54" s="556"/>
      <c r="WXE54" s="556"/>
      <c r="WXF54" s="556"/>
      <c r="WXG54" s="556"/>
      <c r="WXH54" s="556"/>
      <c r="WXI54" s="556"/>
      <c r="WXJ54" s="556"/>
      <c r="WXK54" s="556"/>
      <c r="WXL54" s="556"/>
      <c r="WXM54" s="556"/>
      <c r="WXN54" s="556"/>
      <c r="WXO54" s="556"/>
      <c r="WXP54" s="556"/>
      <c r="WXQ54" s="556"/>
      <c r="WXR54" s="556"/>
      <c r="WXS54" s="556"/>
      <c r="WXT54" s="556"/>
      <c r="WXU54" s="556"/>
      <c r="WXV54" s="556"/>
      <c r="WXW54" s="556"/>
      <c r="WXX54" s="556"/>
      <c r="WXY54" s="556"/>
      <c r="WXZ54" s="556"/>
      <c r="WYA54" s="556"/>
      <c r="WYB54" s="556"/>
      <c r="WYC54" s="556"/>
      <c r="WYD54" s="556"/>
      <c r="WYE54" s="556"/>
      <c r="WYF54" s="556"/>
      <c r="WYG54" s="556"/>
      <c r="WYH54" s="556"/>
      <c r="WYI54" s="556"/>
      <c r="WYJ54" s="556"/>
      <c r="WYK54" s="556"/>
      <c r="WYL54" s="556"/>
      <c r="WYM54" s="556"/>
      <c r="WYN54" s="556"/>
      <c r="WYO54" s="556"/>
      <c r="WYP54" s="556"/>
      <c r="WYQ54" s="556"/>
      <c r="WYR54" s="556"/>
      <c r="WYS54" s="556"/>
      <c r="WYT54" s="556"/>
      <c r="WYU54" s="556"/>
      <c r="WYV54" s="556"/>
      <c r="WYW54" s="556"/>
      <c r="WYX54" s="556"/>
      <c r="WYY54" s="556"/>
      <c r="WYZ54" s="556"/>
      <c r="WZA54" s="556"/>
      <c r="WZB54" s="556"/>
      <c r="WZC54" s="556"/>
      <c r="WZD54" s="556"/>
      <c r="WZE54" s="556"/>
      <c r="WZF54" s="556"/>
      <c r="WZG54" s="556"/>
      <c r="WZH54" s="556"/>
      <c r="WZI54" s="556"/>
      <c r="WZJ54" s="556"/>
      <c r="WZK54" s="556"/>
      <c r="WZL54" s="556"/>
      <c r="WZM54" s="556"/>
      <c r="WZN54" s="556"/>
      <c r="WZO54" s="556"/>
      <c r="WZP54" s="556"/>
      <c r="WZQ54" s="556"/>
      <c r="WZR54" s="556"/>
      <c r="WZS54" s="556"/>
      <c r="WZT54" s="556"/>
      <c r="WZU54" s="556"/>
      <c r="WZV54" s="556"/>
      <c r="WZW54" s="556"/>
      <c r="WZX54" s="556"/>
      <c r="WZY54" s="556"/>
      <c r="WZZ54" s="556"/>
      <c r="XAA54" s="556"/>
      <c r="XAB54" s="556"/>
      <c r="XAC54" s="556"/>
      <c r="XAD54" s="556"/>
      <c r="XAE54" s="556"/>
      <c r="XAF54" s="556"/>
      <c r="XAG54" s="556"/>
      <c r="XAH54" s="556"/>
      <c r="XAI54" s="556"/>
      <c r="XAJ54" s="556"/>
      <c r="XAK54" s="556"/>
      <c r="XAL54" s="556"/>
      <c r="XAM54" s="556"/>
      <c r="XAN54" s="556"/>
      <c r="XAO54" s="556"/>
      <c r="XAP54" s="556"/>
      <c r="XAQ54" s="556"/>
      <c r="XAR54" s="556"/>
      <c r="XAS54" s="556"/>
      <c r="XAT54" s="556"/>
      <c r="XAU54" s="556"/>
      <c r="XAV54" s="556"/>
      <c r="XAW54" s="556"/>
      <c r="XAX54" s="556"/>
      <c r="XAY54" s="556"/>
      <c r="XAZ54" s="556"/>
      <c r="XBA54" s="556"/>
      <c r="XBB54" s="556"/>
      <c r="XBC54" s="556"/>
      <c r="XBD54" s="556"/>
      <c r="XBE54" s="556"/>
      <c r="XBF54" s="556"/>
      <c r="XBG54" s="556"/>
      <c r="XBH54" s="556"/>
      <c r="XBI54" s="556"/>
      <c r="XBJ54" s="556"/>
      <c r="XBK54" s="556"/>
      <c r="XBL54" s="556"/>
      <c r="XBM54" s="556"/>
      <c r="XBN54" s="556"/>
      <c r="XBO54" s="556"/>
      <c r="XBP54" s="556"/>
      <c r="XBQ54" s="556"/>
      <c r="XBR54" s="556"/>
      <c r="XBS54" s="556"/>
      <c r="XBT54" s="556"/>
      <c r="XBU54" s="556"/>
      <c r="XBV54" s="556"/>
      <c r="XBW54" s="556"/>
      <c r="XBX54" s="556"/>
      <c r="XBY54" s="556"/>
      <c r="XBZ54" s="556"/>
      <c r="XCA54" s="556"/>
      <c r="XCB54" s="556"/>
      <c r="XCC54" s="556"/>
      <c r="XCD54" s="556"/>
      <c r="XCE54" s="556"/>
      <c r="XCF54" s="556"/>
      <c r="XCG54" s="556"/>
      <c r="XCH54" s="556"/>
      <c r="XCI54" s="556"/>
      <c r="XCJ54" s="556"/>
      <c r="XCK54" s="556"/>
      <c r="XCL54" s="556"/>
      <c r="XCM54" s="556"/>
      <c r="XCN54" s="556"/>
      <c r="XCO54" s="556"/>
      <c r="XCP54" s="556"/>
      <c r="XCQ54" s="556"/>
      <c r="XCR54" s="556"/>
      <c r="XCS54" s="556"/>
      <c r="XCT54" s="556"/>
      <c r="XCU54" s="556"/>
      <c r="XCV54" s="556"/>
      <c r="XCW54" s="556"/>
      <c r="XCX54" s="556"/>
      <c r="XCY54" s="556"/>
      <c r="XCZ54" s="556"/>
      <c r="XDA54" s="556"/>
      <c r="XDB54" s="556"/>
      <c r="XDC54" s="556"/>
      <c r="XDD54" s="556"/>
      <c r="XDE54" s="556"/>
      <c r="XDF54" s="556"/>
      <c r="XDG54" s="556"/>
      <c r="XDH54" s="556"/>
      <c r="XDI54" s="556"/>
      <c r="XDJ54" s="556"/>
      <c r="XDK54" s="556"/>
      <c r="XDL54" s="556"/>
      <c r="XDM54" s="556"/>
      <c r="XDN54" s="556"/>
      <c r="XDO54" s="556"/>
      <c r="XDP54" s="556"/>
      <c r="XDQ54" s="556"/>
      <c r="XDR54" s="556"/>
      <c r="XDS54" s="556"/>
      <c r="XDT54" s="556"/>
      <c r="XDU54" s="556"/>
      <c r="XDV54" s="556"/>
      <c r="XDW54" s="556"/>
      <c r="XDX54" s="556"/>
      <c r="XDY54" s="556"/>
      <c r="XDZ54" s="556"/>
      <c r="XEA54" s="556"/>
      <c r="XEB54" s="556"/>
      <c r="XEC54" s="556"/>
      <c r="XED54" s="556"/>
      <c r="XEE54" s="556"/>
      <c r="XEF54" s="556"/>
      <c r="XEG54" s="556"/>
      <c r="XEH54" s="556"/>
      <c r="XEI54" s="556"/>
      <c r="XEJ54" s="556"/>
      <c r="XEK54" s="556"/>
    </row>
    <row r="55" spans="1:16365" x14ac:dyDescent="0.3">
      <c r="A55" s="308"/>
      <c r="B55" s="308"/>
      <c r="C55" s="308"/>
      <c r="E55" s="351"/>
      <c r="F55" s="351"/>
      <c r="G55" s="337"/>
      <c r="H55" s="308"/>
      <c r="I55" s="308"/>
      <c r="J55" s="308"/>
      <c r="K55" s="308"/>
      <c r="L55" s="308"/>
      <c r="M55" s="352"/>
      <c r="N55" s="308"/>
      <c r="O55" s="308"/>
      <c r="P55" s="352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</row>
    <row r="56" spans="1:16365" x14ac:dyDescent="0.3">
      <c r="A56" s="308"/>
      <c r="B56" s="308"/>
      <c r="C56" s="308"/>
      <c r="E56" s="351"/>
      <c r="F56" s="351"/>
      <c r="G56" s="337"/>
      <c r="H56" s="308"/>
      <c r="I56" s="308"/>
      <c r="J56" s="308"/>
      <c r="K56" s="308"/>
      <c r="L56" s="308"/>
      <c r="M56" s="352"/>
      <c r="N56" s="308"/>
      <c r="O56" s="308"/>
      <c r="P56" s="353"/>
      <c r="Q56" s="308"/>
      <c r="R56" s="308"/>
      <c r="S56" s="308"/>
      <c r="T56" s="308"/>
      <c r="U56" s="308"/>
      <c r="V56" s="308"/>
      <c r="W56" s="308"/>
      <c r="X56" s="308"/>
      <c r="Y56" s="308"/>
      <c r="Z56" s="308"/>
      <c r="AA56" s="308"/>
    </row>
    <row r="57" spans="1:16365" x14ac:dyDescent="0.3">
      <c r="A57" s="308"/>
      <c r="B57" s="308"/>
      <c r="C57" s="308"/>
      <c r="E57" s="351"/>
      <c r="F57" s="351"/>
      <c r="G57" s="337"/>
      <c r="H57" s="352"/>
      <c r="I57" s="308"/>
      <c r="J57" s="308"/>
      <c r="K57" s="308"/>
      <c r="L57" s="308"/>
      <c r="M57" s="352"/>
      <c r="N57" s="308"/>
      <c r="O57" s="308"/>
      <c r="P57" s="352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8"/>
    </row>
    <row r="58" spans="1:16365" x14ac:dyDescent="0.3">
      <c r="A58" s="308"/>
      <c r="B58" s="308"/>
      <c r="C58" s="308"/>
      <c r="E58" s="351"/>
      <c r="F58" s="351"/>
      <c r="G58" s="337"/>
      <c r="H58" s="352"/>
      <c r="I58" s="308"/>
      <c r="J58" s="308"/>
      <c r="K58" s="308"/>
      <c r="L58" s="352"/>
      <c r="M58" s="308"/>
      <c r="N58" s="308"/>
      <c r="O58" s="308"/>
      <c r="P58" s="352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</row>
    <row r="59" spans="1:16365" x14ac:dyDescent="0.3">
      <c r="A59" s="556"/>
      <c r="B59" s="556"/>
      <c r="C59" s="556"/>
      <c r="D59" s="556"/>
      <c r="E59" s="556"/>
      <c r="F59" s="307"/>
      <c r="G59" s="337"/>
      <c r="H59" s="354"/>
      <c r="I59" s="308"/>
      <c r="J59" s="308"/>
      <c r="K59" s="308"/>
      <c r="L59" s="354"/>
      <c r="M59" s="308"/>
      <c r="N59" s="308"/>
      <c r="O59" s="308"/>
      <c r="P59" s="354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</row>
    <row r="60" spans="1:16365" x14ac:dyDescent="0.3">
      <c r="A60" s="308"/>
      <c r="B60" s="308"/>
      <c r="C60" s="308"/>
      <c r="E60" s="351"/>
      <c r="F60" s="351"/>
      <c r="G60" s="337"/>
      <c r="H60" s="352"/>
      <c r="I60" s="308"/>
      <c r="J60" s="308"/>
      <c r="K60" s="308"/>
      <c r="L60" s="352"/>
      <c r="M60" s="308"/>
      <c r="N60" s="308"/>
      <c r="O60" s="308"/>
      <c r="P60" s="352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</row>
    <row r="61" spans="1:16365" x14ac:dyDescent="0.3">
      <c r="A61" s="308"/>
      <c r="B61" s="308"/>
      <c r="C61" s="308"/>
      <c r="E61" s="351"/>
      <c r="F61" s="351"/>
      <c r="G61" s="337"/>
      <c r="H61" s="352"/>
      <c r="I61" s="308"/>
      <c r="J61" s="308"/>
      <c r="K61" s="308"/>
      <c r="L61" s="352"/>
      <c r="M61" s="308"/>
      <c r="N61" s="308"/>
      <c r="O61" s="308"/>
      <c r="P61" s="352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</row>
    <row r="62" spans="1:16365" x14ac:dyDescent="0.3">
      <c r="A62" s="308"/>
      <c r="B62" s="308"/>
      <c r="C62" s="308"/>
      <c r="E62" s="351"/>
      <c r="F62" s="351"/>
      <c r="G62" s="337"/>
      <c r="H62" s="352"/>
      <c r="I62" s="308"/>
      <c r="J62" s="308"/>
      <c r="K62" s="308"/>
      <c r="L62" s="352"/>
      <c r="M62" s="308"/>
      <c r="N62" s="308"/>
      <c r="O62" s="308"/>
      <c r="P62" s="352"/>
      <c r="Q62" s="30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</row>
    <row r="63" spans="1:16365" x14ac:dyDescent="0.3">
      <c r="A63" s="308"/>
      <c r="B63" s="308"/>
      <c r="C63" s="308"/>
      <c r="E63" s="351"/>
      <c r="F63" s="351"/>
      <c r="G63" s="337"/>
      <c r="H63" s="352"/>
      <c r="I63" s="308"/>
      <c r="J63" s="308"/>
      <c r="K63" s="308"/>
      <c r="L63" s="352"/>
      <c r="M63" s="308"/>
      <c r="N63" s="308"/>
      <c r="O63" s="308"/>
      <c r="P63" s="352"/>
      <c r="Q63" s="308"/>
      <c r="R63" s="308"/>
      <c r="S63" s="308"/>
      <c r="T63" s="308"/>
      <c r="U63" s="308"/>
      <c r="V63" s="308"/>
      <c r="W63" s="308"/>
      <c r="X63" s="308"/>
      <c r="Y63" s="308"/>
      <c r="Z63" s="308"/>
      <c r="AA63" s="308"/>
    </row>
    <row r="64" spans="1:16365" x14ac:dyDescent="0.3">
      <c r="A64" s="308"/>
      <c r="B64" s="308"/>
      <c r="C64" s="308"/>
      <c r="E64" s="351"/>
      <c r="F64" s="351"/>
      <c r="G64" s="337"/>
      <c r="H64" s="352"/>
      <c r="I64" s="308"/>
      <c r="J64" s="308"/>
      <c r="K64" s="308"/>
      <c r="L64" s="352"/>
      <c r="M64" s="308"/>
      <c r="N64" s="308"/>
      <c r="O64" s="308"/>
      <c r="P64" s="352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308"/>
    </row>
    <row r="65" spans="1:27" x14ac:dyDescent="0.3">
      <c r="A65" s="308"/>
      <c r="B65" s="308"/>
      <c r="C65" s="308"/>
      <c r="E65" s="351"/>
      <c r="F65" s="351"/>
      <c r="G65" s="337"/>
      <c r="H65" s="352"/>
      <c r="I65" s="308"/>
      <c r="J65" s="308"/>
      <c r="K65" s="308"/>
      <c r="L65" s="352"/>
      <c r="M65" s="308"/>
      <c r="N65" s="308"/>
      <c r="O65" s="308"/>
      <c r="P65" s="352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</row>
    <row r="66" spans="1:27" x14ac:dyDescent="0.3">
      <c r="A66" s="308"/>
      <c r="B66" s="308"/>
      <c r="C66" s="308"/>
      <c r="E66" s="351"/>
      <c r="F66" s="351"/>
      <c r="G66" s="337"/>
      <c r="H66" s="352"/>
      <c r="I66" s="308"/>
      <c r="J66" s="308"/>
      <c r="K66" s="308"/>
      <c r="L66" s="352"/>
      <c r="M66" s="308"/>
      <c r="N66" s="308"/>
      <c r="O66" s="308"/>
      <c r="P66" s="352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</row>
    <row r="67" spans="1:27" x14ac:dyDescent="0.3">
      <c r="A67" s="308"/>
      <c r="B67" s="308"/>
      <c r="C67" s="308"/>
      <c r="E67" s="351"/>
      <c r="F67" s="351"/>
      <c r="G67" s="337"/>
      <c r="H67" s="353"/>
      <c r="I67" s="308"/>
      <c r="J67" s="308"/>
      <c r="K67" s="308"/>
      <c r="L67" s="353"/>
      <c r="M67" s="308"/>
      <c r="N67" s="308"/>
      <c r="O67" s="308"/>
      <c r="P67" s="353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</row>
    <row r="68" spans="1:27" x14ac:dyDescent="0.3">
      <c r="A68" s="308"/>
      <c r="B68" s="308"/>
      <c r="C68" s="308"/>
      <c r="E68" s="351"/>
      <c r="F68" s="351"/>
      <c r="G68" s="337"/>
      <c r="H68" s="352"/>
      <c r="I68" s="308"/>
      <c r="J68" s="308"/>
      <c r="K68" s="308"/>
      <c r="L68" s="352"/>
      <c r="M68" s="308"/>
      <c r="N68" s="308"/>
      <c r="O68" s="308"/>
      <c r="P68" s="352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8"/>
    </row>
    <row r="69" spans="1:27" x14ac:dyDescent="0.3">
      <c r="A69" s="308"/>
      <c r="B69" s="308"/>
      <c r="C69" s="308"/>
      <c r="E69" s="351"/>
      <c r="F69" s="351"/>
      <c r="G69" s="337"/>
      <c r="H69" s="352"/>
      <c r="I69" s="308"/>
      <c r="J69" s="308"/>
      <c r="K69" s="308"/>
      <c r="L69" s="352"/>
      <c r="M69" s="308"/>
      <c r="N69" s="308"/>
      <c r="O69" s="308"/>
      <c r="P69" s="352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</row>
    <row r="70" spans="1:27" x14ac:dyDescent="0.3">
      <c r="A70" s="308"/>
      <c r="B70" s="308"/>
      <c r="C70" s="308"/>
      <c r="E70" s="351"/>
      <c r="F70" s="351"/>
      <c r="G70" s="337"/>
      <c r="H70" s="354"/>
      <c r="I70" s="308"/>
      <c r="J70" s="308"/>
      <c r="K70" s="308"/>
      <c r="L70" s="354"/>
      <c r="M70" s="308"/>
      <c r="N70" s="308"/>
      <c r="O70" s="308"/>
      <c r="P70" s="354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</row>
    <row r="71" spans="1:27" x14ac:dyDescent="0.3">
      <c r="A71" s="308"/>
      <c r="B71" s="308"/>
      <c r="C71" s="308"/>
      <c r="G71" s="337"/>
      <c r="H71" s="352"/>
      <c r="I71" s="308"/>
      <c r="J71" s="308"/>
      <c r="K71" s="308"/>
      <c r="L71" s="352"/>
      <c r="M71" s="308"/>
      <c r="N71" s="308"/>
      <c r="O71" s="308"/>
      <c r="P71" s="352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8"/>
    </row>
    <row r="72" spans="1:27" x14ac:dyDescent="0.3">
      <c r="A72" s="308"/>
      <c r="B72" s="308"/>
      <c r="C72" s="308"/>
      <c r="E72" s="355"/>
      <c r="F72" s="355"/>
      <c r="G72" s="337"/>
      <c r="H72" s="352"/>
      <c r="I72" s="308"/>
      <c r="J72" s="308"/>
      <c r="K72" s="308"/>
      <c r="L72" s="352"/>
      <c r="M72" s="308"/>
      <c r="N72" s="308"/>
      <c r="O72" s="308"/>
      <c r="P72" s="352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8"/>
    </row>
    <row r="73" spans="1:27" x14ac:dyDescent="0.3">
      <c r="A73" s="308"/>
      <c r="B73" s="308"/>
      <c r="C73" s="308"/>
      <c r="G73" s="337"/>
      <c r="H73" s="352"/>
      <c r="I73" s="308"/>
      <c r="J73" s="308"/>
      <c r="K73" s="308"/>
      <c r="L73" s="352"/>
      <c r="M73" s="308"/>
      <c r="N73" s="308"/>
      <c r="O73" s="308"/>
      <c r="P73" s="352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308"/>
    </row>
    <row r="74" spans="1:27" x14ac:dyDescent="0.3">
      <c r="A74" s="308"/>
      <c r="B74" s="308"/>
      <c r="C74" s="308"/>
      <c r="G74" s="337"/>
      <c r="H74" s="352"/>
      <c r="I74" s="308"/>
      <c r="J74" s="308"/>
      <c r="K74" s="308"/>
      <c r="L74" s="352"/>
      <c r="M74" s="308"/>
      <c r="N74" s="308"/>
      <c r="O74" s="308"/>
      <c r="P74" s="352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</row>
    <row r="75" spans="1:27" x14ac:dyDescent="0.3">
      <c r="A75" s="308"/>
      <c r="B75" s="308"/>
      <c r="C75" s="308"/>
      <c r="G75" s="337"/>
      <c r="H75" s="352"/>
      <c r="I75" s="308"/>
      <c r="J75" s="308"/>
      <c r="K75" s="308"/>
      <c r="L75" s="352"/>
      <c r="M75" s="308"/>
      <c r="N75" s="308"/>
      <c r="O75" s="308"/>
      <c r="P75" s="352"/>
      <c r="Q75" s="308"/>
      <c r="R75" s="308"/>
      <c r="S75" s="308"/>
      <c r="T75" s="308"/>
      <c r="U75" s="308"/>
      <c r="V75" s="308"/>
      <c r="W75" s="308"/>
      <c r="X75" s="308"/>
      <c r="Y75" s="308"/>
      <c r="Z75" s="308"/>
      <c r="AA75" s="308"/>
    </row>
    <row r="76" spans="1:27" x14ac:dyDescent="0.3">
      <c r="A76" s="308"/>
      <c r="B76" s="308"/>
      <c r="C76" s="308"/>
      <c r="G76" s="337"/>
      <c r="H76" s="352"/>
      <c r="I76" s="308"/>
      <c r="J76" s="308"/>
      <c r="K76" s="308"/>
      <c r="L76" s="352"/>
      <c r="M76" s="308"/>
      <c r="N76" s="308"/>
      <c r="O76" s="308"/>
      <c r="P76" s="352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</row>
    <row r="77" spans="1:27" x14ac:dyDescent="0.3">
      <c r="A77" s="308"/>
      <c r="B77" s="308"/>
      <c r="C77" s="308"/>
      <c r="G77" s="337"/>
      <c r="H77" s="352"/>
      <c r="I77" s="308"/>
      <c r="J77" s="308"/>
      <c r="K77" s="308"/>
      <c r="L77" s="352"/>
      <c r="M77" s="308"/>
      <c r="N77" s="308"/>
      <c r="O77" s="308"/>
      <c r="P77" s="352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</row>
    <row r="78" spans="1:27" x14ac:dyDescent="0.3">
      <c r="A78" s="308"/>
      <c r="B78" s="308"/>
      <c r="C78" s="308"/>
      <c r="G78" s="337"/>
      <c r="H78" s="353"/>
      <c r="I78" s="308"/>
      <c r="J78" s="308"/>
      <c r="K78" s="308"/>
      <c r="L78" s="353"/>
      <c r="M78" s="308"/>
      <c r="N78" s="308"/>
      <c r="O78" s="308"/>
      <c r="P78" s="353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308"/>
    </row>
    <row r="79" spans="1:27" x14ac:dyDescent="0.3">
      <c r="A79" s="308"/>
      <c r="B79" s="308"/>
      <c r="C79" s="308"/>
      <c r="G79" s="337"/>
      <c r="H79" s="352"/>
      <c r="I79" s="308"/>
      <c r="J79" s="308"/>
      <c r="K79" s="308"/>
      <c r="L79" s="352"/>
      <c r="M79" s="308"/>
      <c r="N79" s="308"/>
      <c r="O79" s="308"/>
      <c r="P79" s="352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</row>
    <row r="80" spans="1:27" x14ac:dyDescent="0.3">
      <c r="A80" s="308"/>
      <c r="B80" s="308"/>
      <c r="C80" s="308"/>
      <c r="G80" s="337"/>
      <c r="H80" s="352"/>
      <c r="I80" s="308"/>
      <c r="J80" s="308"/>
      <c r="K80" s="308"/>
      <c r="L80" s="352"/>
      <c r="M80" s="308"/>
      <c r="N80" s="308"/>
      <c r="O80" s="308"/>
      <c r="P80" s="352"/>
      <c r="Q80" s="308"/>
      <c r="R80" s="308"/>
      <c r="S80" s="308"/>
      <c r="T80" s="308"/>
      <c r="U80" s="308"/>
      <c r="V80" s="308"/>
      <c r="W80" s="308"/>
      <c r="X80" s="308"/>
      <c r="Y80" s="308"/>
      <c r="Z80" s="308"/>
      <c r="AA80" s="308"/>
    </row>
    <row r="81" spans="1:27" x14ac:dyDescent="0.3">
      <c r="A81" s="308"/>
      <c r="B81" s="308"/>
      <c r="C81" s="308"/>
      <c r="G81" s="337"/>
      <c r="H81" s="354"/>
      <c r="I81" s="308"/>
      <c r="J81" s="308"/>
      <c r="K81" s="308"/>
      <c r="L81" s="354"/>
      <c r="M81" s="308"/>
      <c r="N81" s="308"/>
      <c r="O81" s="308"/>
      <c r="P81" s="354"/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308"/>
    </row>
    <row r="82" spans="1:27" x14ac:dyDescent="0.3">
      <c r="A82" s="308"/>
      <c r="B82" s="308"/>
      <c r="C82" s="308"/>
      <c r="G82" s="337"/>
      <c r="H82" s="352"/>
      <c r="I82" s="308"/>
      <c r="J82" s="308"/>
      <c r="K82" s="308"/>
      <c r="L82" s="352"/>
      <c r="M82" s="308"/>
      <c r="N82" s="308"/>
      <c r="O82" s="308"/>
      <c r="P82" s="352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</row>
    <row r="83" spans="1:27" x14ac:dyDescent="0.3">
      <c r="A83" s="308"/>
      <c r="B83" s="308"/>
      <c r="C83" s="308"/>
      <c r="G83" s="337"/>
      <c r="H83" s="352"/>
      <c r="I83" s="308"/>
      <c r="J83" s="308"/>
      <c r="K83" s="308"/>
      <c r="L83" s="352"/>
      <c r="M83" s="308"/>
      <c r="N83" s="308"/>
      <c r="O83" s="308"/>
      <c r="P83" s="352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</row>
    <row r="84" spans="1:27" x14ac:dyDescent="0.3">
      <c r="A84" s="308"/>
      <c r="B84" s="308"/>
      <c r="C84" s="308"/>
      <c r="G84" s="337"/>
      <c r="H84" s="352"/>
      <c r="I84" s="308"/>
      <c r="J84" s="308"/>
      <c r="K84" s="308"/>
      <c r="L84" s="352"/>
      <c r="M84" s="308"/>
      <c r="N84" s="308"/>
      <c r="O84" s="308"/>
      <c r="P84" s="352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308"/>
    </row>
    <row r="85" spans="1:27" x14ac:dyDescent="0.3">
      <c r="A85" s="308"/>
      <c r="B85" s="308"/>
      <c r="C85" s="308"/>
      <c r="G85" s="337"/>
      <c r="H85" s="352"/>
      <c r="I85" s="308"/>
      <c r="J85" s="308"/>
      <c r="K85" s="308"/>
      <c r="L85" s="352"/>
      <c r="M85" s="308"/>
      <c r="N85" s="308"/>
      <c r="O85" s="308"/>
      <c r="P85" s="352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</row>
    <row r="86" spans="1:27" x14ac:dyDescent="0.3">
      <c r="A86" s="308"/>
      <c r="B86" s="308"/>
      <c r="C86" s="308"/>
      <c r="G86" s="337"/>
      <c r="H86" s="352"/>
      <c r="I86" s="308"/>
      <c r="J86" s="308"/>
      <c r="K86" s="308"/>
      <c r="L86" s="352"/>
      <c r="M86" s="308"/>
      <c r="N86" s="308"/>
      <c r="O86" s="308"/>
      <c r="P86" s="352"/>
      <c r="Q86" s="308"/>
      <c r="R86" s="308"/>
      <c r="S86" s="308"/>
      <c r="T86" s="308"/>
      <c r="U86" s="308"/>
      <c r="V86" s="308"/>
      <c r="W86" s="308"/>
      <c r="X86" s="308"/>
      <c r="Y86" s="308"/>
      <c r="Z86" s="308"/>
      <c r="AA86" s="308"/>
    </row>
    <row r="87" spans="1:27" x14ac:dyDescent="0.3">
      <c r="A87" s="308"/>
      <c r="B87" s="308"/>
      <c r="C87" s="308"/>
      <c r="G87" s="337"/>
      <c r="H87" s="352"/>
      <c r="I87" s="308"/>
      <c r="J87" s="308"/>
      <c r="K87" s="308"/>
      <c r="L87" s="352"/>
      <c r="M87" s="308"/>
      <c r="N87" s="308"/>
      <c r="O87" s="308"/>
      <c r="P87" s="352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</row>
    <row r="88" spans="1:27" x14ac:dyDescent="0.3">
      <c r="A88" s="308"/>
      <c r="B88" s="308"/>
      <c r="C88" s="308"/>
      <c r="G88" s="337"/>
      <c r="H88" s="352"/>
      <c r="I88" s="308"/>
      <c r="J88" s="308"/>
      <c r="K88" s="308"/>
      <c r="L88" s="352"/>
      <c r="M88" s="308"/>
      <c r="N88" s="308"/>
      <c r="O88" s="308"/>
      <c r="P88" s="352"/>
      <c r="Q88" s="308"/>
      <c r="R88" s="308"/>
      <c r="S88" s="308"/>
      <c r="T88" s="308"/>
      <c r="U88" s="308"/>
      <c r="V88" s="308"/>
      <c r="W88" s="308"/>
      <c r="X88" s="308"/>
      <c r="Y88" s="308"/>
      <c r="Z88" s="308"/>
      <c r="AA88" s="308"/>
    </row>
    <row r="89" spans="1:27" x14ac:dyDescent="0.3">
      <c r="A89" s="308"/>
      <c r="B89" s="308"/>
      <c r="C89" s="308"/>
      <c r="G89" s="337"/>
      <c r="H89" s="353"/>
      <c r="I89" s="308"/>
      <c r="J89" s="308"/>
      <c r="K89" s="308"/>
      <c r="L89" s="353"/>
      <c r="M89" s="308"/>
      <c r="N89" s="308"/>
      <c r="O89" s="308"/>
      <c r="P89" s="353"/>
      <c r="Q89" s="308"/>
      <c r="R89" s="308"/>
      <c r="S89" s="308"/>
      <c r="T89" s="308"/>
      <c r="U89" s="308"/>
      <c r="V89" s="308"/>
      <c r="W89" s="308"/>
      <c r="X89" s="308"/>
      <c r="Y89" s="308"/>
      <c r="Z89" s="308"/>
      <c r="AA89" s="308"/>
    </row>
    <row r="90" spans="1:27" x14ac:dyDescent="0.3">
      <c r="A90" s="308"/>
      <c r="B90" s="308"/>
      <c r="C90" s="308"/>
      <c r="G90" s="337"/>
      <c r="H90" s="352"/>
      <c r="I90" s="308"/>
      <c r="J90" s="308"/>
      <c r="K90" s="308"/>
      <c r="L90" s="352"/>
      <c r="M90" s="308"/>
      <c r="N90" s="308"/>
      <c r="O90" s="308"/>
      <c r="P90" s="352"/>
      <c r="Q90" s="308"/>
      <c r="R90" s="308"/>
      <c r="S90" s="308"/>
      <c r="T90" s="308"/>
      <c r="U90" s="308"/>
      <c r="V90" s="308"/>
      <c r="W90" s="308"/>
      <c r="X90" s="308"/>
      <c r="Y90" s="308"/>
      <c r="Z90" s="308"/>
      <c r="AA90" s="308"/>
    </row>
    <row r="91" spans="1:27" x14ac:dyDescent="0.3">
      <c r="A91" s="308"/>
      <c r="B91" s="308"/>
      <c r="C91" s="308"/>
      <c r="G91" s="337"/>
      <c r="H91" s="352"/>
      <c r="I91" s="308"/>
      <c r="J91" s="308"/>
      <c r="K91" s="308"/>
      <c r="L91" s="352"/>
      <c r="M91" s="308"/>
      <c r="N91" s="308"/>
      <c r="O91" s="308"/>
      <c r="P91" s="352"/>
      <c r="Q91" s="308"/>
      <c r="R91" s="308"/>
      <c r="S91" s="308"/>
      <c r="T91" s="308"/>
      <c r="U91" s="308"/>
      <c r="V91" s="308"/>
      <c r="W91" s="308"/>
      <c r="X91" s="308"/>
      <c r="Y91" s="308"/>
      <c r="Z91" s="308"/>
      <c r="AA91" s="308"/>
    </row>
    <row r="92" spans="1:27" x14ac:dyDescent="0.3">
      <c r="A92" s="308"/>
      <c r="B92" s="308"/>
      <c r="C92" s="308"/>
      <c r="G92" s="337"/>
      <c r="H92" s="354"/>
      <c r="I92" s="308"/>
      <c r="J92" s="308"/>
      <c r="K92" s="308"/>
      <c r="L92" s="354"/>
      <c r="M92" s="308"/>
      <c r="N92" s="308"/>
      <c r="O92" s="308"/>
      <c r="P92" s="354"/>
      <c r="Q92" s="308"/>
      <c r="R92" s="308"/>
      <c r="S92" s="308"/>
      <c r="T92" s="308"/>
      <c r="U92" s="308"/>
      <c r="V92" s="308"/>
      <c r="W92" s="308"/>
      <c r="X92" s="308"/>
      <c r="Y92" s="308"/>
      <c r="Z92" s="308"/>
      <c r="AA92" s="308"/>
    </row>
    <row r="93" spans="1:27" x14ac:dyDescent="0.3">
      <c r="A93" s="308"/>
      <c r="B93" s="308"/>
      <c r="C93" s="308"/>
      <c r="G93" s="337"/>
      <c r="H93" s="352"/>
      <c r="I93" s="308"/>
      <c r="J93" s="308"/>
      <c r="K93" s="308"/>
      <c r="L93" s="352"/>
      <c r="M93" s="308"/>
      <c r="N93" s="308"/>
      <c r="O93" s="308"/>
      <c r="P93" s="352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</row>
    <row r="94" spans="1:27" x14ac:dyDescent="0.3">
      <c r="A94" s="308"/>
      <c r="B94" s="308"/>
      <c r="C94" s="308"/>
      <c r="G94" s="337"/>
      <c r="H94" s="352"/>
      <c r="I94" s="308"/>
      <c r="J94" s="308"/>
      <c r="K94" s="308"/>
      <c r="L94" s="352"/>
      <c r="M94" s="308"/>
      <c r="N94" s="308"/>
      <c r="O94" s="308"/>
      <c r="P94" s="352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</row>
    <row r="95" spans="1:27" x14ac:dyDescent="0.3">
      <c r="A95" s="308"/>
      <c r="B95" s="308"/>
      <c r="C95" s="308"/>
      <c r="G95" s="337"/>
      <c r="H95" s="352"/>
      <c r="I95" s="308"/>
      <c r="J95" s="308"/>
      <c r="K95" s="308"/>
      <c r="L95" s="352"/>
      <c r="M95" s="308"/>
      <c r="N95" s="308"/>
      <c r="O95" s="308"/>
      <c r="P95" s="352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</row>
    <row r="96" spans="1:27" x14ac:dyDescent="0.3">
      <c r="A96" s="308"/>
      <c r="B96" s="308"/>
      <c r="C96" s="308"/>
      <c r="G96" s="337"/>
      <c r="H96" s="352"/>
      <c r="I96" s="308"/>
      <c r="J96" s="308"/>
      <c r="K96" s="308"/>
      <c r="L96" s="352"/>
      <c r="M96" s="308"/>
      <c r="N96" s="308"/>
      <c r="O96" s="308"/>
      <c r="P96" s="352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8"/>
    </row>
    <row r="97" spans="1:27" x14ac:dyDescent="0.3">
      <c r="A97" s="308"/>
      <c r="B97" s="308"/>
      <c r="C97" s="308"/>
      <c r="G97" s="337"/>
      <c r="H97" s="352"/>
      <c r="I97" s="308"/>
      <c r="J97" s="308"/>
      <c r="K97" s="308"/>
      <c r="L97" s="352"/>
      <c r="M97" s="308"/>
      <c r="N97" s="308"/>
      <c r="O97" s="308"/>
      <c r="P97" s="352"/>
      <c r="Q97" s="308"/>
      <c r="R97" s="308"/>
      <c r="S97" s="308"/>
      <c r="T97" s="308"/>
      <c r="U97" s="308"/>
      <c r="V97" s="308"/>
      <c r="W97" s="308"/>
      <c r="X97" s="308"/>
      <c r="Y97" s="308"/>
      <c r="Z97" s="308"/>
      <c r="AA97" s="308"/>
    </row>
    <row r="98" spans="1:27" x14ac:dyDescent="0.3">
      <c r="A98" s="308"/>
      <c r="B98" s="308"/>
      <c r="C98" s="308"/>
      <c r="G98" s="337"/>
      <c r="H98" s="352"/>
      <c r="I98" s="308"/>
      <c r="J98" s="308"/>
      <c r="K98" s="308"/>
      <c r="L98" s="352"/>
      <c r="M98" s="308"/>
      <c r="N98" s="308"/>
      <c r="O98" s="308"/>
      <c r="P98" s="352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</row>
    <row r="99" spans="1:27" x14ac:dyDescent="0.3">
      <c r="A99" s="308"/>
      <c r="B99" s="308"/>
      <c r="C99" s="308"/>
      <c r="G99" s="337"/>
      <c r="H99" s="352"/>
      <c r="I99" s="308"/>
      <c r="J99" s="308"/>
      <c r="K99" s="308"/>
      <c r="L99" s="352"/>
      <c r="M99" s="308"/>
      <c r="N99" s="308"/>
      <c r="O99" s="308"/>
      <c r="P99" s="352"/>
      <c r="Q99" s="308"/>
      <c r="R99" s="308"/>
      <c r="S99" s="308"/>
      <c r="T99" s="308"/>
      <c r="U99" s="308"/>
      <c r="V99" s="308"/>
      <c r="W99" s="308"/>
      <c r="X99" s="308"/>
      <c r="Y99" s="308"/>
      <c r="Z99" s="308"/>
      <c r="AA99" s="308"/>
    </row>
    <row r="100" spans="1:27" x14ac:dyDescent="0.3">
      <c r="A100" s="308"/>
      <c r="B100" s="308"/>
      <c r="C100" s="308"/>
      <c r="G100" s="337"/>
      <c r="H100" s="353"/>
      <c r="I100" s="308"/>
      <c r="J100" s="308"/>
      <c r="K100" s="308"/>
      <c r="L100" s="353"/>
      <c r="M100" s="308"/>
      <c r="N100" s="308"/>
      <c r="O100" s="308"/>
      <c r="P100" s="353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308"/>
    </row>
    <row r="101" spans="1:27" x14ac:dyDescent="0.3">
      <c r="A101" s="308"/>
      <c r="B101" s="308"/>
      <c r="C101" s="308"/>
      <c r="G101" s="337"/>
      <c r="H101" s="352"/>
      <c r="I101" s="308"/>
      <c r="J101" s="308"/>
      <c r="K101" s="308"/>
      <c r="L101" s="352"/>
      <c r="M101" s="308"/>
      <c r="N101" s="308"/>
      <c r="O101" s="308"/>
      <c r="P101" s="352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</row>
    <row r="102" spans="1:27" x14ac:dyDescent="0.3">
      <c r="A102" s="308"/>
      <c r="B102" s="308"/>
      <c r="C102" s="308"/>
      <c r="G102" s="337"/>
      <c r="H102" s="352"/>
      <c r="I102" s="308"/>
      <c r="J102" s="308"/>
      <c r="K102" s="308"/>
      <c r="L102" s="352"/>
      <c r="M102" s="308"/>
      <c r="N102" s="308"/>
      <c r="O102" s="308"/>
      <c r="P102" s="352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  <c r="AA102" s="308"/>
    </row>
    <row r="103" spans="1:27" x14ac:dyDescent="0.3">
      <c r="A103" s="308"/>
      <c r="B103" s="308"/>
      <c r="C103" s="308"/>
      <c r="G103" s="337"/>
      <c r="H103" s="354"/>
      <c r="I103" s="308"/>
      <c r="J103" s="308"/>
      <c r="K103" s="308"/>
      <c r="L103" s="354"/>
      <c r="M103" s="308"/>
      <c r="N103" s="308"/>
      <c r="O103" s="308"/>
      <c r="P103" s="354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308"/>
    </row>
    <row r="104" spans="1:27" x14ac:dyDescent="0.3">
      <c r="A104" s="308"/>
      <c r="B104" s="308"/>
      <c r="C104" s="308"/>
      <c r="G104" s="337"/>
      <c r="H104" s="352"/>
      <c r="I104" s="308"/>
      <c r="J104" s="308"/>
      <c r="K104" s="308"/>
      <c r="L104" s="352"/>
      <c r="M104" s="308"/>
      <c r="N104" s="308"/>
      <c r="O104" s="308"/>
      <c r="P104" s="352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  <c r="AA104" s="308"/>
    </row>
    <row r="105" spans="1:27" x14ac:dyDescent="0.3">
      <c r="A105" s="308"/>
      <c r="B105" s="308"/>
      <c r="C105" s="308"/>
      <c r="G105" s="337"/>
      <c r="H105" s="352"/>
      <c r="I105" s="308"/>
      <c r="J105" s="308"/>
      <c r="K105" s="308"/>
      <c r="L105" s="352"/>
      <c r="M105" s="308"/>
      <c r="N105" s="308"/>
      <c r="O105" s="308"/>
      <c r="P105" s="352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  <c r="AA105" s="308"/>
    </row>
    <row r="106" spans="1:27" x14ac:dyDescent="0.3">
      <c r="A106" s="308"/>
      <c r="B106" s="308"/>
      <c r="C106" s="308"/>
      <c r="G106" s="337"/>
      <c r="H106" s="352"/>
      <c r="I106" s="308"/>
      <c r="J106" s="308"/>
      <c r="K106" s="308"/>
      <c r="L106" s="352"/>
      <c r="M106" s="308"/>
      <c r="N106" s="308"/>
      <c r="O106" s="308"/>
      <c r="P106" s="352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</row>
    <row r="107" spans="1:27" x14ac:dyDescent="0.3">
      <c r="A107" s="308"/>
      <c r="B107" s="308"/>
      <c r="C107" s="308"/>
      <c r="G107" s="337"/>
      <c r="H107" s="352"/>
      <c r="I107" s="308"/>
      <c r="J107" s="308"/>
      <c r="K107" s="308"/>
      <c r="L107" s="352"/>
      <c r="M107" s="308"/>
      <c r="N107" s="308"/>
      <c r="O107" s="308"/>
      <c r="P107" s="352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  <c r="AA107" s="308"/>
    </row>
    <row r="108" spans="1:27" x14ac:dyDescent="0.3">
      <c r="A108" s="308"/>
      <c r="B108" s="308"/>
      <c r="C108" s="308"/>
      <c r="G108" s="337"/>
      <c r="H108" s="352"/>
      <c r="I108" s="308"/>
      <c r="J108" s="308"/>
      <c r="K108" s="308"/>
      <c r="L108" s="352"/>
      <c r="M108" s="308"/>
      <c r="N108" s="308"/>
      <c r="O108" s="308"/>
      <c r="P108" s="352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  <c r="AA108" s="308"/>
    </row>
    <row r="109" spans="1:27" x14ac:dyDescent="0.3">
      <c r="A109" s="308"/>
      <c r="B109" s="308"/>
      <c r="C109" s="308"/>
      <c r="G109" s="337"/>
      <c r="H109" s="352"/>
      <c r="I109" s="308"/>
      <c r="J109" s="308"/>
      <c r="K109" s="308"/>
      <c r="L109" s="352"/>
      <c r="M109" s="308"/>
      <c r="N109" s="308"/>
      <c r="O109" s="308"/>
      <c r="P109" s="352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308"/>
    </row>
    <row r="110" spans="1:27" x14ac:dyDescent="0.3">
      <c r="A110" s="308"/>
      <c r="B110" s="308"/>
      <c r="C110" s="308"/>
      <c r="G110" s="337"/>
      <c r="H110" s="352"/>
      <c r="I110" s="308"/>
      <c r="J110" s="308"/>
      <c r="K110" s="308"/>
      <c r="L110" s="352"/>
      <c r="M110" s="308"/>
      <c r="N110" s="308"/>
      <c r="O110" s="308"/>
      <c r="P110" s="352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</row>
    <row r="111" spans="1:27" x14ac:dyDescent="0.3">
      <c r="A111" s="308"/>
      <c r="B111" s="308"/>
      <c r="C111" s="308"/>
      <c r="G111" s="337"/>
      <c r="H111" s="353"/>
      <c r="I111" s="308"/>
      <c r="J111" s="308"/>
      <c r="K111" s="308"/>
      <c r="L111" s="353"/>
      <c r="M111" s="308"/>
      <c r="N111" s="308"/>
      <c r="O111" s="308"/>
      <c r="P111" s="353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  <c r="AA111" s="308"/>
    </row>
    <row r="112" spans="1:27" x14ac:dyDescent="0.3">
      <c r="A112" s="308"/>
      <c r="B112" s="308"/>
      <c r="C112" s="308"/>
      <c r="G112" s="337"/>
      <c r="H112" s="352"/>
      <c r="I112" s="308"/>
      <c r="J112" s="308"/>
      <c r="K112" s="308"/>
      <c r="L112" s="352"/>
      <c r="M112" s="308"/>
      <c r="N112" s="308"/>
      <c r="O112" s="308"/>
      <c r="P112" s="352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  <c r="AA112" s="308"/>
    </row>
    <row r="113" spans="1:27" x14ac:dyDescent="0.3">
      <c r="A113" s="308"/>
      <c r="B113" s="308"/>
      <c r="C113" s="308"/>
      <c r="G113" s="337"/>
      <c r="H113" s="352"/>
      <c r="I113" s="308"/>
      <c r="J113" s="308"/>
      <c r="K113" s="308"/>
      <c r="L113" s="352"/>
      <c r="M113" s="308"/>
      <c r="N113" s="308"/>
      <c r="O113" s="308"/>
      <c r="P113" s="352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  <c r="AA113" s="308"/>
    </row>
    <row r="114" spans="1:27" x14ac:dyDescent="0.3">
      <c r="A114" s="308"/>
      <c r="B114" s="308"/>
      <c r="C114" s="308"/>
      <c r="G114" s="337"/>
      <c r="H114" s="354"/>
      <c r="I114" s="308"/>
      <c r="J114" s="308"/>
      <c r="K114" s="308"/>
      <c r="L114" s="354"/>
      <c r="M114" s="308"/>
      <c r="N114" s="308"/>
      <c r="O114" s="308"/>
      <c r="P114" s="354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308"/>
    </row>
    <row r="115" spans="1:27" x14ac:dyDescent="0.3">
      <c r="A115" s="308"/>
      <c r="B115" s="308"/>
      <c r="C115" s="308"/>
      <c r="G115" s="337"/>
      <c r="H115" s="352"/>
      <c r="I115" s="308"/>
      <c r="J115" s="308"/>
      <c r="K115" s="308"/>
      <c r="L115" s="352"/>
      <c r="M115" s="308"/>
      <c r="N115" s="308"/>
      <c r="O115" s="308"/>
      <c r="P115" s="352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  <c r="AA115" s="308"/>
    </row>
    <row r="116" spans="1:27" x14ac:dyDescent="0.3">
      <c r="A116" s="308"/>
      <c r="B116" s="308"/>
      <c r="C116" s="308"/>
      <c r="G116" s="337"/>
      <c r="H116" s="352"/>
      <c r="I116" s="308"/>
      <c r="J116" s="308"/>
      <c r="K116" s="308"/>
      <c r="L116" s="352"/>
      <c r="M116" s="308"/>
      <c r="N116" s="308"/>
      <c r="O116" s="308"/>
      <c r="P116" s="352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  <c r="AA116" s="308"/>
    </row>
    <row r="117" spans="1:27" x14ac:dyDescent="0.3">
      <c r="A117" s="308"/>
      <c r="B117" s="308"/>
      <c r="C117" s="308"/>
      <c r="G117" s="337"/>
      <c r="H117" s="352"/>
      <c r="I117" s="308"/>
      <c r="J117" s="308"/>
      <c r="K117" s="308"/>
      <c r="L117" s="352"/>
      <c r="M117" s="308"/>
      <c r="N117" s="308"/>
      <c r="O117" s="308"/>
      <c r="P117" s="352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  <c r="AA117" s="308"/>
    </row>
    <row r="118" spans="1:27" x14ac:dyDescent="0.3">
      <c r="A118" s="308"/>
      <c r="B118" s="308"/>
      <c r="C118" s="308"/>
      <c r="G118" s="337"/>
      <c r="H118" s="352"/>
      <c r="I118" s="308"/>
      <c r="J118" s="308"/>
      <c r="K118" s="308"/>
      <c r="L118" s="352"/>
      <c r="M118" s="308"/>
      <c r="N118" s="308"/>
      <c r="O118" s="308"/>
      <c r="P118" s="352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  <c r="AA118" s="308"/>
    </row>
    <row r="119" spans="1:27" x14ac:dyDescent="0.3">
      <c r="A119" s="308"/>
      <c r="B119" s="308"/>
      <c r="C119" s="308"/>
      <c r="G119" s="337"/>
      <c r="H119" s="352"/>
      <c r="I119" s="308"/>
      <c r="J119" s="308"/>
      <c r="K119" s="308"/>
      <c r="L119" s="352"/>
      <c r="M119" s="308"/>
      <c r="N119" s="308"/>
      <c r="O119" s="308"/>
      <c r="P119" s="352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308"/>
    </row>
    <row r="120" spans="1:27" x14ac:dyDescent="0.3">
      <c r="A120" s="308"/>
      <c r="B120" s="308"/>
      <c r="C120" s="308"/>
      <c r="G120" s="337"/>
      <c r="H120" s="352"/>
      <c r="I120" s="308"/>
      <c r="J120" s="308"/>
      <c r="K120" s="308"/>
      <c r="L120" s="352"/>
      <c r="M120" s="308"/>
      <c r="N120" s="308"/>
      <c r="O120" s="308"/>
      <c r="P120" s="352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  <c r="AA120" s="308"/>
    </row>
    <row r="121" spans="1:27" x14ac:dyDescent="0.3">
      <c r="A121" s="308"/>
      <c r="B121" s="308"/>
      <c r="C121" s="308"/>
      <c r="G121" s="337"/>
      <c r="H121" s="352"/>
      <c r="I121" s="308"/>
      <c r="J121" s="308"/>
      <c r="K121" s="308"/>
      <c r="L121" s="352"/>
      <c r="M121" s="308"/>
      <c r="N121" s="308"/>
      <c r="O121" s="308"/>
      <c r="P121" s="352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308"/>
    </row>
    <row r="122" spans="1:27" x14ac:dyDescent="0.3">
      <c r="A122" s="308"/>
      <c r="B122" s="308"/>
      <c r="C122" s="308"/>
      <c r="G122" s="337"/>
      <c r="H122" s="353"/>
      <c r="I122" s="308"/>
      <c r="J122" s="308"/>
      <c r="K122" s="308"/>
      <c r="L122" s="353"/>
      <c r="M122" s="308"/>
      <c r="N122" s="308"/>
      <c r="O122" s="308"/>
      <c r="P122" s="353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  <c r="AA122" s="308"/>
    </row>
    <row r="123" spans="1:27" x14ac:dyDescent="0.3">
      <c r="A123" s="308"/>
      <c r="B123" s="308"/>
      <c r="C123" s="308"/>
      <c r="G123" s="337"/>
      <c r="H123" s="352"/>
      <c r="I123" s="308"/>
      <c r="J123" s="308"/>
      <c r="K123" s="308"/>
      <c r="L123" s="352"/>
      <c r="M123" s="308"/>
      <c r="N123" s="308"/>
      <c r="O123" s="308"/>
      <c r="P123" s="352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  <c r="AA123" s="308"/>
    </row>
    <row r="124" spans="1:27" x14ac:dyDescent="0.3">
      <c r="A124" s="308"/>
      <c r="B124" s="308"/>
      <c r="C124" s="308"/>
      <c r="G124" s="337"/>
      <c r="H124" s="352"/>
      <c r="I124" s="308"/>
      <c r="J124" s="308"/>
      <c r="K124" s="308"/>
      <c r="L124" s="352"/>
      <c r="M124" s="308"/>
      <c r="N124" s="308"/>
      <c r="O124" s="308"/>
      <c r="P124" s="352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</row>
    <row r="125" spans="1:27" x14ac:dyDescent="0.3">
      <c r="A125" s="308"/>
      <c r="B125" s="308"/>
      <c r="C125" s="308"/>
      <c r="G125" s="337"/>
      <c r="H125" s="354"/>
      <c r="I125" s="308"/>
      <c r="J125" s="308"/>
      <c r="K125" s="308"/>
      <c r="L125" s="354"/>
      <c r="M125" s="308"/>
      <c r="N125" s="308"/>
      <c r="O125" s="308"/>
      <c r="P125" s="354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308"/>
    </row>
    <row r="126" spans="1:27" x14ac:dyDescent="0.3">
      <c r="A126" s="308"/>
      <c r="B126" s="308"/>
      <c r="C126" s="308"/>
      <c r="G126" s="337"/>
      <c r="H126" s="352"/>
      <c r="I126" s="308"/>
      <c r="J126" s="308"/>
      <c r="K126" s="308"/>
      <c r="L126" s="352"/>
      <c r="M126" s="308"/>
      <c r="N126" s="308"/>
      <c r="O126" s="308"/>
      <c r="P126" s="352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  <c r="AA126" s="308"/>
    </row>
    <row r="127" spans="1:27" x14ac:dyDescent="0.3">
      <c r="A127" s="308"/>
      <c r="B127" s="308"/>
      <c r="C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  <c r="AA127" s="308"/>
    </row>
    <row r="128" spans="1:27" x14ac:dyDescent="0.3">
      <c r="A128" s="308"/>
      <c r="B128" s="308"/>
      <c r="C128" s="308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  <c r="AA128" s="308"/>
    </row>
    <row r="129" spans="1:27" x14ac:dyDescent="0.3">
      <c r="A129" s="308"/>
      <c r="B129" s="308"/>
      <c r="C129" s="308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  <c r="AA129" s="308"/>
    </row>
    <row r="130" spans="1:27" x14ac:dyDescent="0.3">
      <c r="A130" s="308"/>
      <c r="B130" s="308"/>
      <c r="C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</row>
    <row r="131" spans="1:27" x14ac:dyDescent="0.3">
      <c r="A131" s="308"/>
      <c r="B131" s="308"/>
      <c r="C131" s="308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</row>
    <row r="132" spans="1:27" x14ac:dyDescent="0.3">
      <c r="A132" s="308"/>
      <c r="B132" s="308"/>
      <c r="C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  <c r="AA132" s="308"/>
    </row>
    <row r="133" spans="1:27" x14ac:dyDescent="0.3">
      <c r="A133" s="308"/>
      <c r="B133" s="308"/>
      <c r="C133" s="308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  <c r="AA133" s="308"/>
    </row>
    <row r="134" spans="1:27" x14ac:dyDescent="0.3">
      <c r="A134" s="308"/>
      <c r="B134" s="308"/>
      <c r="C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  <c r="AA134" s="308"/>
    </row>
    <row r="135" spans="1:27" x14ac:dyDescent="0.3">
      <c r="A135" s="308"/>
      <c r="B135" s="308"/>
      <c r="C135" s="308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  <c r="AA135" s="308"/>
    </row>
    <row r="136" spans="1:27" x14ac:dyDescent="0.3">
      <c r="A136" s="308"/>
      <c r="B136" s="308"/>
      <c r="C136" s="308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  <c r="AA136" s="308"/>
    </row>
    <row r="137" spans="1:27" x14ac:dyDescent="0.3">
      <c r="A137" s="308"/>
      <c r="B137" s="308"/>
      <c r="C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308"/>
    </row>
    <row r="138" spans="1:27" x14ac:dyDescent="0.3">
      <c r="A138" s="308"/>
      <c r="B138" s="308"/>
      <c r="C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  <c r="AA138" s="308"/>
    </row>
    <row r="139" spans="1:27" x14ac:dyDescent="0.3">
      <c r="A139" s="308"/>
      <c r="B139" s="308"/>
      <c r="C139" s="308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  <c r="AA139" s="308"/>
    </row>
    <row r="140" spans="1:27" x14ac:dyDescent="0.3">
      <c r="A140" s="308"/>
      <c r="B140" s="308"/>
      <c r="C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  <c r="AA140" s="308"/>
    </row>
    <row r="141" spans="1:27" x14ac:dyDescent="0.3">
      <c r="A141" s="308"/>
      <c r="B141" s="308"/>
      <c r="C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  <c r="AA141" s="308"/>
    </row>
    <row r="142" spans="1:27" x14ac:dyDescent="0.3">
      <c r="A142" s="308"/>
      <c r="B142" s="308"/>
      <c r="C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  <c r="AA142" s="308"/>
    </row>
    <row r="143" spans="1:27" x14ac:dyDescent="0.3">
      <c r="A143" s="308"/>
      <c r="B143" s="308"/>
      <c r="C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  <c r="AA143" s="308"/>
    </row>
    <row r="144" spans="1:27" x14ac:dyDescent="0.3">
      <c r="A144" s="308"/>
      <c r="B144" s="308"/>
      <c r="C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308"/>
    </row>
    <row r="145" spans="1:27" x14ac:dyDescent="0.3">
      <c r="A145" s="308"/>
      <c r="B145" s="308"/>
      <c r="C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  <c r="AA145" s="308"/>
    </row>
    <row r="146" spans="1:27" x14ac:dyDescent="0.3">
      <c r="A146" s="308"/>
      <c r="B146" s="308"/>
      <c r="C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  <c r="AA146" s="308"/>
    </row>
    <row r="147" spans="1:27" x14ac:dyDescent="0.3">
      <c r="A147" s="308"/>
      <c r="B147" s="308"/>
      <c r="C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308"/>
    </row>
    <row r="148" spans="1:27" x14ac:dyDescent="0.3">
      <c r="A148" s="308"/>
      <c r="B148" s="308"/>
      <c r="C148" s="308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  <c r="AA148" s="308"/>
    </row>
    <row r="149" spans="1:27" x14ac:dyDescent="0.3">
      <c r="A149" s="308"/>
      <c r="B149" s="308"/>
      <c r="C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  <c r="AA149" s="308"/>
    </row>
    <row r="150" spans="1:27" x14ac:dyDescent="0.3">
      <c r="A150" s="308"/>
      <c r="B150" s="308"/>
      <c r="C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308"/>
    </row>
    <row r="151" spans="1:27" x14ac:dyDescent="0.3">
      <c r="A151" s="308"/>
      <c r="B151" s="308"/>
      <c r="C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  <c r="AA151" s="308"/>
    </row>
    <row r="152" spans="1:27" x14ac:dyDescent="0.3">
      <c r="A152" s="308"/>
      <c r="B152" s="308"/>
      <c r="C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  <c r="AA152" s="308"/>
    </row>
    <row r="153" spans="1:27" x14ac:dyDescent="0.3">
      <c r="A153" s="308"/>
      <c r="B153" s="308"/>
      <c r="C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  <c r="AA153" s="308"/>
    </row>
    <row r="154" spans="1:27" x14ac:dyDescent="0.3">
      <c r="A154" s="308"/>
      <c r="B154" s="308"/>
      <c r="C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  <c r="AA154" s="308"/>
    </row>
    <row r="155" spans="1:27" x14ac:dyDescent="0.3">
      <c r="A155" s="308"/>
      <c r="B155" s="308"/>
      <c r="C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  <c r="AA155" s="308"/>
    </row>
    <row r="156" spans="1:27" x14ac:dyDescent="0.3">
      <c r="A156" s="308"/>
      <c r="B156" s="308"/>
      <c r="C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308"/>
    </row>
    <row r="157" spans="1:27" x14ac:dyDescent="0.3">
      <c r="A157" s="308"/>
      <c r="B157" s="308"/>
      <c r="C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  <c r="AA157" s="308"/>
    </row>
    <row r="158" spans="1:27" x14ac:dyDescent="0.3">
      <c r="A158" s="308"/>
      <c r="B158" s="308"/>
      <c r="C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  <c r="AA158" s="308"/>
    </row>
    <row r="159" spans="1:27" x14ac:dyDescent="0.3">
      <c r="A159" s="308"/>
      <c r="B159" s="308"/>
      <c r="C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  <c r="AA159" s="308"/>
    </row>
    <row r="160" spans="1:27" x14ac:dyDescent="0.3">
      <c r="A160" s="308"/>
      <c r="B160" s="308"/>
      <c r="C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308"/>
    </row>
    <row r="161" spans="1:27" x14ac:dyDescent="0.3">
      <c r="A161" s="308"/>
      <c r="B161" s="308"/>
      <c r="C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  <c r="AA161" s="308"/>
    </row>
    <row r="162" spans="1:27" x14ac:dyDescent="0.3">
      <c r="A162" s="308"/>
      <c r="B162" s="308"/>
      <c r="C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308"/>
    </row>
    <row r="163" spans="1:27" x14ac:dyDescent="0.3">
      <c r="A163" s="308"/>
      <c r="B163" s="308"/>
      <c r="C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  <c r="AA163" s="308"/>
    </row>
    <row r="164" spans="1:27" x14ac:dyDescent="0.3">
      <c r="A164" s="308"/>
      <c r="B164" s="308"/>
      <c r="C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  <c r="AA164" s="308"/>
    </row>
    <row r="165" spans="1:27" x14ac:dyDescent="0.3">
      <c r="A165" s="308"/>
      <c r="B165" s="308"/>
      <c r="C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308"/>
    </row>
    <row r="166" spans="1:27" x14ac:dyDescent="0.3">
      <c r="A166" s="308"/>
      <c r="B166" s="308"/>
      <c r="C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  <c r="AA166" s="308"/>
    </row>
    <row r="167" spans="1:27" x14ac:dyDescent="0.3">
      <c r="A167" s="308"/>
      <c r="B167" s="308"/>
      <c r="C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308"/>
    </row>
    <row r="168" spans="1:27" x14ac:dyDescent="0.3">
      <c r="A168" s="308"/>
      <c r="B168" s="308"/>
      <c r="C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  <c r="AA168" s="308"/>
    </row>
    <row r="169" spans="1:27" x14ac:dyDescent="0.3">
      <c r="A169" s="308"/>
      <c r="B169" s="308"/>
      <c r="C169" s="308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  <c r="AA169" s="308"/>
    </row>
    <row r="170" spans="1:27" x14ac:dyDescent="0.3">
      <c r="A170" s="308"/>
      <c r="B170" s="308"/>
      <c r="C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308"/>
    </row>
    <row r="171" spans="1:27" x14ac:dyDescent="0.3">
      <c r="A171" s="308"/>
      <c r="B171" s="308"/>
      <c r="C171" s="308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  <c r="AA171" s="308"/>
    </row>
    <row r="172" spans="1:27" x14ac:dyDescent="0.3">
      <c r="A172" s="308"/>
      <c r="B172" s="308"/>
      <c r="C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308"/>
    </row>
    <row r="173" spans="1:27" x14ac:dyDescent="0.3">
      <c r="A173" s="308"/>
      <c r="B173" s="308"/>
      <c r="C173" s="308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  <c r="AA173" s="308"/>
    </row>
    <row r="174" spans="1:27" x14ac:dyDescent="0.3">
      <c r="A174" s="308"/>
      <c r="B174" s="308"/>
      <c r="C174" s="308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  <c r="AA174" s="308"/>
    </row>
    <row r="175" spans="1:27" x14ac:dyDescent="0.3">
      <c r="A175" s="308"/>
      <c r="B175" s="308"/>
      <c r="C175" s="308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  <c r="AA175" s="308"/>
    </row>
    <row r="176" spans="1:27" x14ac:dyDescent="0.3">
      <c r="A176" s="308"/>
      <c r="B176" s="308"/>
      <c r="C176" s="308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  <c r="AA176" s="308"/>
    </row>
    <row r="177" spans="1:27" x14ac:dyDescent="0.3">
      <c r="A177" s="308"/>
      <c r="B177" s="308"/>
      <c r="C177" s="308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308"/>
    </row>
    <row r="178" spans="1:27" x14ac:dyDescent="0.3">
      <c r="A178" s="308"/>
      <c r="B178" s="308"/>
      <c r="C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308"/>
    </row>
    <row r="179" spans="1:27" x14ac:dyDescent="0.3">
      <c r="A179" s="308"/>
      <c r="B179" s="308"/>
      <c r="C179" s="308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  <c r="AA179" s="308"/>
    </row>
    <row r="180" spans="1:27" x14ac:dyDescent="0.3">
      <c r="A180" s="308"/>
      <c r="B180" s="308"/>
      <c r="C180" s="308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  <c r="AA180" s="308"/>
    </row>
    <row r="181" spans="1:27" x14ac:dyDescent="0.3">
      <c r="A181" s="308"/>
      <c r="B181" s="308"/>
      <c r="C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308"/>
    </row>
    <row r="182" spans="1:27" x14ac:dyDescent="0.3">
      <c r="A182" s="308"/>
      <c r="B182" s="308"/>
      <c r="C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  <c r="AA182" s="308"/>
    </row>
    <row r="183" spans="1:27" x14ac:dyDescent="0.3">
      <c r="A183" s="308"/>
      <c r="B183" s="308"/>
      <c r="C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  <c r="AA183" s="308"/>
    </row>
    <row r="184" spans="1:27" x14ac:dyDescent="0.3">
      <c r="A184" s="308"/>
      <c r="B184" s="308"/>
      <c r="C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308"/>
    </row>
    <row r="185" spans="1:27" x14ac:dyDescent="0.3">
      <c r="A185" s="308"/>
      <c r="B185" s="308"/>
      <c r="C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  <c r="AA185" s="308"/>
    </row>
    <row r="186" spans="1:27" x14ac:dyDescent="0.3">
      <c r="A186" s="308"/>
      <c r="B186" s="308"/>
      <c r="C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308"/>
    </row>
    <row r="187" spans="1:27" x14ac:dyDescent="0.3">
      <c r="A187" s="308"/>
      <c r="B187" s="308"/>
      <c r="C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  <c r="AA187" s="308"/>
    </row>
    <row r="188" spans="1:27" x14ac:dyDescent="0.3">
      <c r="A188" s="308"/>
      <c r="B188" s="308"/>
      <c r="C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  <c r="AA188" s="308"/>
    </row>
    <row r="189" spans="1:27" x14ac:dyDescent="0.3">
      <c r="A189" s="308"/>
      <c r="B189" s="308"/>
      <c r="C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308"/>
    </row>
    <row r="190" spans="1:27" x14ac:dyDescent="0.3">
      <c r="A190" s="308"/>
      <c r="B190" s="308"/>
      <c r="C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308"/>
    </row>
    <row r="191" spans="1:27" x14ac:dyDescent="0.3">
      <c r="A191" s="308"/>
      <c r="B191" s="308"/>
      <c r="C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</row>
    <row r="192" spans="1:27" x14ac:dyDescent="0.3">
      <c r="A192" s="308"/>
      <c r="B192" s="308"/>
      <c r="C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  <c r="AA192" s="308"/>
    </row>
    <row r="193" spans="1:27" x14ac:dyDescent="0.3">
      <c r="A193" s="308"/>
      <c r="B193" s="308"/>
      <c r="C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  <c r="AA193" s="308"/>
    </row>
    <row r="194" spans="1:27" x14ac:dyDescent="0.3">
      <c r="A194" s="308"/>
      <c r="B194" s="308"/>
      <c r="C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  <c r="AA194" s="308"/>
    </row>
    <row r="195" spans="1:27" x14ac:dyDescent="0.3">
      <c r="A195" s="308"/>
      <c r="B195" s="308"/>
      <c r="C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  <c r="AA195" s="308"/>
    </row>
    <row r="196" spans="1:27" x14ac:dyDescent="0.3">
      <c r="A196" s="308"/>
      <c r="B196" s="308"/>
      <c r="C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  <c r="AA196" s="308"/>
    </row>
    <row r="197" spans="1:27" x14ac:dyDescent="0.3">
      <c r="A197" s="308"/>
      <c r="B197" s="308"/>
      <c r="C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308"/>
    </row>
    <row r="198" spans="1:27" x14ac:dyDescent="0.3">
      <c r="A198" s="308"/>
      <c r="B198" s="308"/>
      <c r="C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  <c r="AA198" s="308"/>
    </row>
    <row r="199" spans="1:27" x14ac:dyDescent="0.3">
      <c r="A199" s="308"/>
      <c r="B199" s="308"/>
      <c r="C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308"/>
    </row>
    <row r="200" spans="1:27" x14ac:dyDescent="0.3">
      <c r="A200" s="308"/>
      <c r="B200" s="308"/>
      <c r="C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  <c r="AA200" s="308"/>
    </row>
    <row r="201" spans="1:27" x14ac:dyDescent="0.3">
      <c r="A201" s="308"/>
      <c r="B201" s="308"/>
      <c r="C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  <c r="AA201" s="308"/>
    </row>
    <row r="202" spans="1:27" x14ac:dyDescent="0.3">
      <c r="A202" s="308"/>
      <c r="B202" s="308"/>
      <c r="C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308"/>
    </row>
    <row r="203" spans="1:27" x14ac:dyDescent="0.3">
      <c r="A203" s="308"/>
      <c r="B203" s="308"/>
      <c r="C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308"/>
    </row>
    <row r="204" spans="1:27" x14ac:dyDescent="0.3">
      <c r="A204" s="308"/>
      <c r="B204" s="308"/>
      <c r="C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  <c r="AA204" s="308"/>
    </row>
    <row r="205" spans="1:27" x14ac:dyDescent="0.3">
      <c r="A205" s="308"/>
      <c r="B205" s="308"/>
      <c r="C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  <c r="AA205" s="308"/>
    </row>
    <row r="206" spans="1:27" x14ac:dyDescent="0.3">
      <c r="A206" s="308"/>
      <c r="B206" s="308"/>
      <c r="C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308"/>
    </row>
    <row r="207" spans="1:27" x14ac:dyDescent="0.3">
      <c r="A207" s="308"/>
      <c r="B207" s="308"/>
      <c r="C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  <c r="AA207" s="308"/>
    </row>
    <row r="208" spans="1:27" x14ac:dyDescent="0.3">
      <c r="A208" s="308"/>
      <c r="B208" s="308"/>
      <c r="C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  <c r="Z208" s="308"/>
      <c r="AA208" s="308"/>
    </row>
    <row r="209" spans="1:27" x14ac:dyDescent="0.3">
      <c r="A209" s="308"/>
      <c r="B209" s="308"/>
      <c r="C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  <c r="AA209" s="308"/>
    </row>
    <row r="210" spans="1:27" x14ac:dyDescent="0.3">
      <c r="A210" s="308"/>
      <c r="B210" s="308"/>
      <c r="C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308"/>
    </row>
    <row r="211" spans="1:27" x14ac:dyDescent="0.3">
      <c r="A211" s="308"/>
      <c r="B211" s="308"/>
      <c r="C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  <c r="AA211" s="308"/>
    </row>
    <row r="212" spans="1:27" x14ac:dyDescent="0.3">
      <c r="A212" s="308"/>
      <c r="B212" s="308"/>
      <c r="C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  <c r="AA212" s="308"/>
    </row>
    <row r="213" spans="1:27" x14ac:dyDescent="0.3">
      <c r="A213" s="308"/>
      <c r="B213" s="308"/>
      <c r="C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308"/>
    </row>
    <row r="214" spans="1:27" x14ac:dyDescent="0.3">
      <c r="A214" s="308"/>
      <c r="B214" s="308"/>
      <c r="C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  <c r="AA214" s="308"/>
    </row>
    <row r="215" spans="1:27" x14ac:dyDescent="0.3">
      <c r="A215" s="308"/>
      <c r="B215" s="308"/>
      <c r="C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  <c r="AA215" s="308"/>
    </row>
    <row r="216" spans="1:27" x14ac:dyDescent="0.3">
      <c r="A216" s="308"/>
      <c r="B216" s="308"/>
      <c r="C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308"/>
    </row>
    <row r="217" spans="1:27" x14ac:dyDescent="0.3">
      <c r="A217" s="308"/>
      <c r="B217" s="308"/>
      <c r="C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  <c r="AA217" s="308"/>
    </row>
    <row r="218" spans="1:27" x14ac:dyDescent="0.3">
      <c r="A218" s="308"/>
      <c r="B218" s="308"/>
      <c r="C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  <c r="AA218" s="308"/>
    </row>
    <row r="219" spans="1:27" x14ac:dyDescent="0.3">
      <c r="A219" s="308"/>
      <c r="B219" s="308"/>
      <c r="C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</row>
    <row r="220" spans="1:27" x14ac:dyDescent="0.3">
      <c r="A220" s="308"/>
      <c r="B220" s="308"/>
      <c r="C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308"/>
    </row>
    <row r="221" spans="1:27" x14ac:dyDescent="0.3">
      <c r="A221" s="308"/>
      <c r="B221" s="308"/>
      <c r="C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308"/>
    </row>
    <row r="222" spans="1:27" x14ac:dyDescent="0.3">
      <c r="A222" s="308"/>
      <c r="B222" s="308"/>
      <c r="C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</row>
    <row r="223" spans="1:27" x14ac:dyDescent="0.3">
      <c r="A223" s="308"/>
      <c r="B223" s="308"/>
      <c r="C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  <c r="AA223" s="308"/>
    </row>
    <row r="224" spans="1:27" x14ac:dyDescent="0.3">
      <c r="A224" s="308"/>
      <c r="B224" s="308"/>
      <c r="C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  <c r="AA224" s="308"/>
    </row>
    <row r="225" spans="1:27" x14ac:dyDescent="0.3">
      <c r="A225" s="308"/>
      <c r="B225" s="308"/>
      <c r="C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  <c r="AA225" s="308"/>
    </row>
    <row r="226" spans="1:27" x14ac:dyDescent="0.3">
      <c r="A226" s="308"/>
      <c r="B226" s="308"/>
      <c r="C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308"/>
    </row>
    <row r="227" spans="1:27" x14ac:dyDescent="0.3">
      <c r="A227" s="308"/>
      <c r="B227" s="308"/>
      <c r="C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308"/>
    </row>
    <row r="228" spans="1:27" x14ac:dyDescent="0.3">
      <c r="A228" s="308"/>
      <c r="B228" s="308"/>
      <c r="C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  <c r="AA228" s="308"/>
    </row>
    <row r="229" spans="1:27" x14ac:dyDescent="0.3">
      <c r="A229" s="308"/>
      <c r="B229" s="308"/>
      <c r="C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  <c r="AA229" s="308"/>
    </row>
    <row r="230" spans="1:27" x14ac:dyDescent="0.3">
      <c r="A230" s="308"/>
      <c r="B230" s="308"/>
      <c r="C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  <c r="AA230" s="308"/>
    </row>
    <row r="231" spans="1:27" x14ac:dyDescent="0.3">
      <c r="A231" s="308"/>
      <c r="B231" s="308"/>
      <c r="C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  <c r="AA231" s="308"/>
    </row>
    <row r="232" spans="1:27" x14ac:dyDescent="0.3">
      <c r="A232" s="308"/>
      <c r="B232" s="308"/>
      <c r="C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308"/>
    </row>
    <row r="233" spans="1:27" x14ac:dyDescent="0.3">
      <c r="A233" s="308"/>
      <c r="B233" s="308"/>
      <c r="C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308"/>
    </row>
    <row r="234" spans="1:27" x14ac:dyDescent="0.3">
      <c r="A234" s="308"/>
      <c r="B234" s="308"/>
      <c r="C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  <c r="AA234" s="308"/>
    </row>
    <row r="235" spans="1:27" x14ac:dyDescent="0.3">
      <c r="A235" s="308"/>
      <c r="B235" s="308"/>
      <c r="C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  <c r="AA235" s="308"/>
    </row>
    <row r="236" spans="1:27" x14ac:dyDescent="0.3">
      <c r="A236" s="308"/>
      <c r="B236" s="308"/>
      <c r="C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  <c r="AA236" s="308"/>
    </row>
    <row r="237" spans="1:27" x14ac:dyDescent="0.3">
      <c r="A237" s="308"/>
      <c r="B237" s="308"/>
      <c r="C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308"/>
    </row>
    <row r="238" spans="1:27" x14ac:dyDescent="0.3">
      <c r="A238" s="308"/>
      <c r="B238" s="308"/>
      <c r="C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  <c r="AA238" s="308"/>
    </row>
    <row r="239" spans="1:27" x14ac:dyDescent="0.3">
      <c r="A239" s="308"/>
      <c r="B239" s="308"/>
      <c r="C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  <c r="AA239" s="308"/>
    </row>
    <row r="240" spans="1:27" x14ac:dyDescent="0.3">
      <c r="A240" s="308"/>
      <c r="B240" s="308"/>
      <c r="C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  <c r="AA240" s="308"/>
    </row>
    <row r="241" spans="1:27" x14ac:dyDescent="0.3">
      <c r="A241" s="308"/>
      <c r="B241" s="308"/>
      <c r="C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  <c r="AA241" s="308"/>
    </row>
    <row r="242" spans="1:27" x14ac:dyDescent="0.3">
      <c r="A242" s="308"/>
      <c r="B242" s="308"/>
      <c r="C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308"/>
    </row>
    <row r="243" spans="1:27" x14ac:dyDescent="0.3">
      <c r="A243" s="308"/>
      <c r="B243" s="308"/>
      <c r="C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308"/>
    </row>
    <row r="244" spans="1:27" x14ac:dyDescent="0.3">
      <c r="A244" s="308"/>
      <c r="B244" s="308"/>
      <c r="C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  <c r="AA244" s="308"/>
    </row>
    <row r="245" spans="1:27" x14ac:dyDescent="0.3">
      <c r="A245" s="308"/>
      <c r="B245" s="308"/>
      <c r="C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</row>
    <row r="246" spans="1:27" x14ac:dyDescent="0.3">
      <c r="A246" s="308"/>
      <c r="B246" s="308"/>
      <c r="C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308"/>
    </row>
    <row r="247" spans="1:27" x14ac:dyDescent="0.3">
      <c r="A247" s="308"/>
      <c r="B247" s="308"/>
      <c r="C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308"/>
    </row>
    <row r="248" spans="1:27" x14ac:dyDescent="0.3">
      <c r="A248" s="308"/>
      <c r="B248" s="308"/>
      <c r="C248" s="308"/>
      <c r="H248" s="308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  <c r="AA248" s="308"/>
    </row>
    <row r="249" spans="1:27" x14ac:dyDescent="0.3">
      <c r="A249" s="308"/>
      <c r="B249" s="308"/>
      <c r="C249" s="308"/>
      <c r="H249" s="308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  <c r="AA249" s="308"/>
    </row>
    <row r="250" spans="1:27" x14ac:dyDescent="0.3">
      <c r="A250" s="308"/>
      <c r="B250" s="308"/>
      <c r="C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  <c r="AA250" s="308"/>
    </row>
    <row r="251" spans="1:27" x14ac:dyDescent="0.3">
      <c r="A251" s="308"/>
      <c r="B251" s="308"/>
      <c r="C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  <c r="AA251" s="308"/>
    </row>
    <row r="252" spans="1:27" x14ac:dyDescent="0.3">
      <c r="A252" s="308"/>
      <c r="B252" s="308"/>
      <c r="C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  <c r="AA252" s="308"/>
    </row>
    <row r="253" spans="1:27" x14ac:dyDescent="0.3">
      <c r="A253" s="308"/>
      <c r="B253" s="308"/>
      <c r="C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308"/>
    </row>
    <row r="254" spans="1:27" x14ac:dyDescent="0.3">
      <c r="A254" s="308"/>
      <c r="B254" s="308"/>
      <c r="C254" s="308"/>
      <c r="H254" s="308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  <c r="AA254" s="308"/>
    </row>
    <row r="255" spans="1:27" x14ac:dyDescent="0.3">
      <c r="A255" s="308"/>
      <c r="B255" s="308"/>
      <c r="C255" s="308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  <c r="AA255" s="308"/>
    </row>
    <row r="256" spans="1:27" x14ac:dyDescent="0.3">
      <c r="A256" s="308"/>
      <c r="B256" s="308"/>
      <c r="C256" s="308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  <c r="AA256" s="308"/>
    </row>
    <row r="257" spans="1:27" x14ac:dyDescent="0.3">
      <c r="A257" s="308"/>
      <c r="B257" s="308"/>
      <c r="C257" s="308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  <c r="AA257" s="308"/>
    </row>
    <row r="258" spans="1:27" x14ac:dyDescent="0.3">
      <c r="A258" s="308"/>
      <c r="B258" s="308"/>
      <c r="C258" s="308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  <c r="AA258" s="308"/>
    </row>
    <row r="259" spans="1:27" x14ac:dyDescent="0.3">
      <c r="A259" s="308"/>
      <c r="B259" s="308"/>
      <c r="C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308"/>
    </row>
    <row r="260" spans="1:27" x14ac:dyDescent="0.3">
      <c r="A260" s="308"/>
      <c r="B260" s="308"/>
      <c r="C260" s="308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  <c r="AA260" s="308"/>
    </row>
    <row r="261" spans="1:27" x14ac:dyDescent="0.3">
      <c r="A261" s="308"/>
      <c r="B261" s="308"/>
      <c r="C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8"/>
    </row>
    <row r="262" spans="1:27" x14ac:dyDescent="0.3">
      <c r="A262" s="308"/>
      <c r="B262" s="308"/>
      <c r="C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  <c r="AA262" s="308"/>
    </row>
  </sheetData>
  <mergeCells count="3072">
    <mergeCell ref="A1:E1"/>
    <mergeCell ref="A51:E51"/>
    <mergeCell ref="A52:E52"/>
    <mergeCell ref="N52:AC52"/>
    <mergeCell ref="AD52:AS52"/>
    <mergeCell ref="AT52:BI52"/>
    <mergeCell ref="IT52:JI52"/>
    <mergeCell ref="JJ52:JY52"/>
    <mergeCell ref="JZ52:KO52"/>
    <mergeCell ref="KP52:LE52"/>
    <mergeCell ref="LF52:LU52"/>
    <mergeCell ref="LV52:MK52"/>
    <mergeCell ref="FB52:FQ52"/>
    <mergeCell ref="FR52:GG52"/>
    <mergeCell ref="GH52:GW52"/>
    <mergeCell ref="GX52:HM52"/>
    <mergeCell ref="HN52:IC52"/>
    <mergeCell ref="ID52:IS52"/>
    <mergeCell ref="BJ52:BY52"/>
    <mergeCell ref="BZ52:CO52"/>
    <mergeCell ref="CP52:DE52"/>
    <mergeCell ref="DF52:DU52"/>
    <mergeCell ref="DV52:EK52"/>
    <mergeCell ref="EL52:FA52"/>
    <mergeCell ref="TV52:UK52"/>
    <mergeCell ref="UL52:VA52"/>
    <mergeCell ref="VB52:VQ52"/>
    <mergeCell ref="VR52:WG52"/>
    <mergeCell ref="WH52:WW52"/>
    <mergeCell ref="WX52:XM52"/>
    <mergeCell ref="QD52:QS52"/>
    <mergeCell ref="QT52:RI52"/>
    <mergeCell ref="RJ52:RY52"/>
    <mergeCell ref="RZ52:SO52"/>
    <mergeCell ref="SP52:TE52"/>
    <mergeCell ref="TF52:TU52"/>
    <mergeCell ref="ML52:NA52"/>
    <mergeCell ref="NB52:NQ52"/>
    <mergeCell ref="NR52:OG52"/>
    <mergeCell ref="OH52:OW52"/>
    <mergeCell ref="OX52:PM52"/>
    <mergeCell ref="PN52:QC52"/>
    <mergeCell ref="AEX52:AFM52"/>
    <mergeCell ref="AFN52:AGC52"/>
    <mergeCell ref="AGD52:AGS52"/>
    <mergeCell ref="AGT52:AHI52"/>
    <mergeCell ref="AHJ52:AHY52"/>
    <mergeCell ref="AHZ52:AIO52"/>
    <mergeCell ref="ABF52:ABU52"/>
    <mergeCell ref="ABV52:ACK52"/>
    <mergeCell ref="ACL52:ADA52"/>
    <mergeCell ref="ADB52:ADQ52"/>
    <mergeCell ref="ADR52:AEG52"/>
    <mergeCell ref="AEH52:AEW52"/>
    <mergeCell ref="XN52:YC52"/>
    <mergeCell ref="YD52:YS52"/>
    <mergeCell ref="YT52:ZI52"/>
    <mergeCell ref="ZJ52:ZY52"/>
    <mergeCell ref="ZZ52:AAO52"/>
    <mergeCell ref="AAP52:ABE52"/>
    <mergeCell ref="APZ52:AQO52"/>
    <mergeCell ref="AQP52:ARE52"/>
    <mergeCell ref="ARF52:ARU52"/>
    <mergeCell ref="ARV52:ASK52"/>
    <mergeCell ref="ASL52:ATA52"/>
    <mergeCell ref="ATB52:ATQ52"/>
    <mergeCell ref="AMH52:AMW52"/>
    <mergeCell ref="AMX52:ANM52"/>
    <mergeCell ref="ANN52:AOC52"/>
    <mergeCell ref="AOD52:AOS52"/>
    <mergeCell ref="AOT52:API52"/>
    <mergeCell ref="APJ52:APY52"/>
    <mergeCell ref="AIP52:AJE52"/>
    <mergeCell ref="AJF52:AJU52"/>
    <mergeCell ref="AJV52:AKK52"/>
    <mergeCell ref="AKL52:ALA52"/>
    <mergeCell ref="ALB52:ALQ52"/>
    <mergeCell ref="ALR52:AMG52"/>
    <mergeCell ref="BBB52:BBQ52"/>
    <mergeCell ref="BBR52:BCG52"/>
    <mergeCell ref="BCH52:BCW52"/>
    <mergeCell ref="BCX52:BDM52"/>
    <mergeCell ref="BDN52:BEC52"/>
    <mergeCell ref="BED52:BES52"/>
    <mergeCell ref="AXJ52:AXY52"/>
    <mergeCell ref="AXZ52:AYO52"/>
    <mergeCell ref="AYP52:AZE52"/>
    <mergeCell ref="AZF52:AZU52"/>
    <mergeCell ref="AZV52:BAK52"/>
    <mergeCell ref="BAL52:BBA52"/>
    <mergeCell ref="ATR52:AUG52"/>
    <mergeCell ref="AUH52:AUW52"/>
    <mergeCell ref="AUX52:AVM52"/>
    <mergeCell ref="AVN52:AWC52"/>
    <mergeCell ref="AWD52:AWS52"/>
    <mergeCell ref="AWT52:AXI52"/>
    <mergeCell ref="BMD52:BMS52"/>
    <mergeCell ref="BMT52:BNI52"/>
    <mergeCell ref="BNJ52:BNY52"/>
    <mergeCell ref="BNZ52:BOO52"/>
    <mergeCell ref="BOP52:BPE52"/>
    <mergeCell ref="BPF52:BPU52"/>
    <mergeCell ref="BIL52:BJA52"/>
    <mergeCell ref="BJB52:BJQ52"/>
    <mergeCell ref="BJR52:BKG52"/>
    <mergeCell ref="BKH52:BKW52"/>
    <mergeCell ref="BKX52:BLM52"/>
    <mergeCell ref="BLN52:BMC52"/>
    <mergeCell ref="BET52:BFI52"/>
    <mergeCell ref="BFJ52:BFY52"/>
    <mergeCell ref="BFZ52:BGO52"/>
    <mergeCell ref="BGP52:BHE52"/>
    <mergeCell ref="BHF52:BHU52"/>
    <mergeCell ref="BHV52:BIK52"/>
    <mergeCell ref="BXF52:BXU52"/>
    <mergeCell ref="BXV52:BYK52"/>
    <mergeCell ref="BYL52:BZA52"/>
    <mergeCell ref="BZB52:BZQ52"/>
    <mergeCell ref="BZR52:CAG52"/>
    <mergeCell ref="CAH52:CAW52"/>
    <mergeCell ref="BTN52:BUC52"/>
    <mergeCell ref="BUD52:BUS52"/>
    <mergeCell ref="BUT52:BVI52"/>
    <mergeCell ref="BVJ52:BVY52"/>
    <mergeCell ref="BVZ52:BWO52"/>
    <mergeCell ref="BWP52:BXE52"/>
    <mergeCell ref="BPV52:BQK52"/>
    <mergeCell ref="BQL52:BRA52"/>
    <mergeCell ref="BRB52:BRQ52"/>
    <mergeCell ref="BRR52:BSG52"/>
    <mergeCell ref="BSH52:BSW52"/>
    <mergeCell ref="BSX52:BTM52"/>
    <mergeCell ref="CIH52:CIW52"/>
    <mergeCell ref="CIX52:CJM52"/>
    <mergeCell ref="CJN52:CKC52"/>
    <mergeCell ref="CKD52:CKS52"/>
    <mergeCell ref="CKT52:CLI52"/>
    <mergeCell ref="CLJ52:CLY52"/>
    <mergeCell ref="CEP52:CFE52"/>
    <mergeCell ref="CFF52:CFU52"/>
    <mergeCell ref="CFV52:CGK52"/>
    <mergeCell ref="CGL52:CHA52"/>
    <mergeCell ref="CHB52:CHQ52"/>
    <mergeCell ref="CHR52:CIG52"/>
    <mergeCell ref="CAX52:CBM52"/>
    <mergeCell ref="CBN52:CCC52"/>
    <mergeCell ref="CCD52:CCS52"/>
    <mergeCell ref="CCT52:CDI52"/>
    <mergeCell ref="CDJ52:CDY52"/>
    <mergeCell ref="CDZ52:CEO52"/>
    <mergeCell ref="CTJ52:CTY52"/>
    <mergeCell ref="CTZ52:CUO52"/>
    <mergeCell ref="CUP52:CVE52"/>
    <mergeCell ref="CVF52:CVU52"/>
    <mergeCell ref="CVV52:CWK52"/>
    <mergeCell ref="CWL52:CXA52"/>
    <mergeCell ref="CPR52:CQG52"/>
    <mergeCell ref="CQH52:CQW52"/>
    <mergeCell ref="CQX52:CRM52"/>
    <mergeCell ref="CRN52:CSC52"/>
    <mergeCell ref="CSD52:CSS52"/>
    <mergeCell ref="CST52:CTI52"/>
    <mergeCell ref="CLZ52:CMO52"/>
    <mergeCell ref="CMP52:CNE52"/>
    <mergeCell ref="CNF52:CNU52"/>
    <mergeCell ref="CNV52:COK52"/>
    <mergeCell ref="COL52:CPA52"/>
    <mergeCell ref="CPB52:CPQ52"/>
    <mergeCell ref="DEL52:DFA52"/>
    <mergeCell ref="DFB52:DFQ52"/>
    <mergeCell ref="DFR52:DGG52"/>
    <mergeCell ref="DGH52:DGW52"/>
    <mergeCell ref="DGX52:DHM52"/>
    <mergeCell ref="DHN52:DIC52"/>
    <mergeCell ref="DAT52:DBI52"/>
    <mergeCell ref="DBJ52:DBY52"/>
    <mergeCell ref="DBZ52:DCO52"/>
    <mergeCell ref="DCP52:DDE52"/>
    <mergeCell ref="DDF52:DDU52"/>
    <mergeCell ref="DDV52:DEK52"/>
    <mergeCell ref="CXB52:CXQ52"/>
    <mergeCell ref="CXR52:CYG52"/>
    <mergeCell ref="CYH52:CYW52"/>
    <mergeCell ref="CYX52:CZM52"/>
    <mergeCell ref="CZN52:DAC52"/>
    <mergeCell ref="DAD52:DAS52"/>
    <mergeCell ref="DPN52:DQC52"/>
    <mergeCell ref="DQD52:DQS52"/>
    <mergeCell ref="DQT52:DRI52"/>
    <mergeCell ref="DRJ52:DRY52"/>
    <mergeCell ref="DRZ52:DSO52"/>
    <mergeCell ref="DSP52:DTE52"/>
    <mergeCell ref="DLV52:DMK52"/>
    <mergeCell ref="DML52:DNA52"/>
    <mergeCell ref="DNB52:DNQ52"/>
    <mergeCell ref="DNR52:DOG52"/>
    <mergeCell ref="DOH52:DOW52"/>
    <mergeCell ref="DOX52:DPM52"/>
    <mergeCell ref="DID52:DIS52"/>
    <mergeCell ref="DIT52:DJI52"/>
    <mergeCell ref="DJJ52:DJY52"/>
    <mergeCell ref="DJZ52:DKO52"/>
    <mergeCell ref="DKP52:DLE52"/>
    <mergeCell ref="DLF52:DLU52"/>
    <mergeCell ref="EAP52:EBE52"/>
    <mergeCell ref="EBF52:EBU52"/>
    <mergeCell ref="EBV52:ECK52"/>
    <mergeCell ref="ECL52:EDA52"/>
    <mergeCell ref="EDB52:EDQ52"/>
    <mergeCell ref="EDR52:EEG52"/>
    <mergeCell ref="DWX52:DXM52"/>
    <mergeCell ref="DXN52:DYC52"/>
    <mergeCell ref="DYD52:DYS52"/>
    <mergeCell ref="DYT52:DZI52"/>
    <mergeCell ref="DZJ52:DZY52"/>
    <mergeCell ref="DZZ52:EAO52"/>
    <mergeCell ref="DTF52:DTU52"/>
    <mergeCell ref="DTV52:DUK52"/>
    <mergeCell ref="DUL52:DVA52"/>
    <mergeCell ref="DVB52:DVQ52"/>
    <mergeCell ref="DVR52:DWG52"/>
    <mergeCell ref="DWH52:DWW52"/>
    <mergeCell ref="ELR52:EMG52"/>
    <mergeCell ref="EMH52:EMW52"/>
    <mergeCell ref="EMX52:ENM52"/>
    <mergeCell ref="ENN52:EOC52"/>
    <mergeCell ref="EOD52:EOS52"/>
    <mergeCell ref="EOT52:EPI52"/>
    <mergeCell ref="EHZ52:EIO52"/>
    <mergeCell ref="EIP52:EJE52"/>
    <mergeCell ref="EJF52:EJU52"/>
    <mergeCell ref="EJV52:EKK52"/>
    <mergeCell ref="EKL52:ELA52"/>
    <mergeCell ref="ELB52:ELQ52"/>
    <mergeCell ref="EEH52:EEW52"/>
    <mergeCell ref="EEX52:EFM52"/>
    <mergeCell ref="EFN52:EGC52"/>
    <mergeCell ref="EGD52:EGS52"/>
    <mergeCell ref="EGT52:EHI52"/>
    <mergeCell ref="EHJ52:EHY52"/>
    <mergeCell ref="EWT52:EXI52"/>
    <mergeCell ref="EXJ52:EXY52"/>
    <mergeCell ref="EXZ52:EYO52"/>
    <mergeCell ref="EYP52:EZE52"/>
    <mergeCell ref="EZF52:EZU52"/>
    <mergeCell ref="EZV52:FAK52"/>
    <mergeCell ref="ETB52:ETQ52"/>
    <mergeCell ref="ETR52:EUG52"/>
    <mergeCell ref="EUH52:EUW52"/>
    <mergeCell ref="EUX52:EVM52"/>
    <mergeCell ref="EVN52:EWC52"/>
    <mergeCell ref="EWD52:EWS52"/>
    <mergeCell ref="EPJ52:EPY52"/>
    <mergeCell ref="EPZ52:EQO52"/>
    <mergeCell ref="EQP52:ERE52"/>
    <mergeCell ref="ERF52:ERU52"/>
    <mergeCell ref="ERV52:ESK52"/>
    <mergeCell ref="ESL52:ETA52"/>
    <mergeCell ref="FHV52:FIK52"/>
    <mergeCell ref="FIL52:FJA52"/>
    <mergeCell ref="FJB52:FJQ52"/>
    <mergeCell ref="FJR52:FKG52"/>
    <mergeCell ref="FKH52:FKW52"/>
    <mergeCell ref="FKX52:FLM52"/>
    <mergeCell ref="FED52:FES52"/>
    <mergeCell ref="FET52:FFI52"/>
    <mergeCell ref="FFJ52:FFY52"/>
    <mergeCell ref="FFZ52:FGO52"/>
    <mergeCell ref="FGP52:FHE52"/>
    <mergeCell ref="FHF52:FHU52"/>
    <mergeCell ref="FAL52:FBA52"/>
    <mergeCell ref="FBB52:FBQ52"/>
    <mergeCell ref="FBR52:FCG52"/>
    <mergeCell ref="FCH52:FCW52"/>
    <mergeCell ref="FCX52:FDM52"/>
    <mergeCell ref="FDN52:FEC52"/>
    <mergeCell ref="FSX52:FTM52"/>
    <mergeCell ref="FTN52:FUC52"/>
    <mergeCell ref="FUD52:FUS52"/>
    <mergeCell ref="FUT52:FVI52"/>
    <mergeCell ref="FVJ52:FVY52"/>
    <mergeCell ref="FVZ52:FWO52"/>
    <mergeCell ref="FPF52:FPU52"/>
    <mergeCell ref="FPV52:FQK52"/>
    <mergeCell ref="FQL52:FRA52"/>
    <mergeCell ref="FRB52:FRQ52"/>
    <mergeCell ref="FRR52:FSG52"/>
    <mergeCell ref="FSH52:FSW52"/>
    <mergeCell ref="FLN52:FMC52"/>
    <mergeCell ref="FMD52:FMS52"/>
    <mergeCell ref="FMT52:FNI52"/>
    <mergeCell ref="FNJ52:FNY52"/>
    <mergeCell ref="FNZ52:FOO52"/>
    <mergeCell ref="FOP52:FPE52"/>
    <mergeCell ref="GDZ52:GEO52"/>
    <mergeCell ref="GEP52:GFE52"/>
    <mergeCell ref="GFF52:GFU52"/>
    <mergeCell ref="GFV52:GGK52"/>
    <mergeCell ref="GGL52:GHA52"/>
    <mergeCell ref="GHB52:GHQ52"/>
    <mergeCell ref="GAH52:GAW52"/>
    <mergeCell ref="GAX52:GBM52"/>
    <mergeCell ref="GBN52:GCC52"/>
    <mergeCell ref="GCD52:GCS52"/>
    <mergeCell ref="GCT52:GDI52"/>
    <mergeCell ref="GDJ52:GDY52"/>
    <mergeCell ref="FWP52:FXE52"/>
    <mergeCell ref="FXF52:FXU52"/>
    <mergeCell ref="FXV52:FYK52"/>
    <mergeCell ref="FYL52:FZA52"/>
    <mergeCell ref="FZB52:FZQ52"/>
    <mergeCell ref="FZR52:GAG52"/>
    <mergeCell ref="GPB52:GPQ52"/>
    <mergeCell ref="GPR52:GQG52"/>
    <mergeCell ref="GQH52:GQW52"/>
    <mergeCell ref="GQX52:GRM52"/>
    <mergeCell ref="GRN52:GSC52"/>
    <mergeCell ref="GSD52:GSS52"/>
    <mergeCell ref="GLJ52:GLY52"/>
    <mergeCell ref="GLZ52:GMO52"/>
    <mergeCell ref="GMP52:GNE52"/>
    <mergeCell ref="GNF52:GNU52"/>
    <mergeCell ref="GNV52:GOK52"/>
    <mergeCell ref="GOL52:GPA52"/>
    <mergeCell ref="GHR52:GIG52"/>
    <mergeCell ref="GIH52:GIW52"/>
    <mergeCell ref="GIX52:GJM52"/>
    <mergeCell ref="GJN52:GKC52"/>
    <mergeCell ref="GKD52:GKS52"/>
    <mergeCell ref="GKT52:GLI52"/>
    <mergeCell ref="HAD52:HAS52"/>
    <mergeCell ref="HAT52:HBI52"/>
    <mergeCell ref="HBJ52:HBY52"/>
    <mergeCell ref="HBZ52:HCO52"/>
    <mergeCell ref="HCP52:HDE52"/>
    <mergeCell ref="HDF52:HDU52"/>
    <mergeCell ref="GWL52:GXA52"/>
    <mergeCell ref="GXB52:GXQ52"/>
    <mergeCell ref="GXR52:GYG52"/>
    <mergeCell ref="GYH52:GYW52"/>
    <mergeCell ref="GYX52:GZM52"/>
    <mergeCell ref="GZN52:HAC52"/>
    <mergeCell ref="GST52:GTI52"/>
    <mergeCell ref="GTJ52:GTY52"/>
    <mergeCell ref="GTZ52:GUO52"/>
    <mergeCell ref="GUP52:GVE52"/>
    <mergeCell ref="GVF52:GVU52"/>
    <mergeCell ref="GVV52:GWK52"/>
    <mergeCell ref="HLF52:HLU52"/>
    <mergeCell ref="HLV52:HMK52"/>
    <mergeCell ref="HML52:HNA52"/>
    <mergeCell ref="HNB52:HNQ52"/>
    <mergeCell ref="HNR52:HOG52"/>
    <mergeCell ref="HOH52:HOW52"/>
    <mergeCell ref="HHN52:HIC52"/>
    <mergeCell ref="HID52:HIS52"/>
    <mergeCell ref="HIT52:HJI52"/>
    <mergeCell ref="HJJ52:HJY52"/>
    <mergeCell ref="HJZ52:HKO52"/>
    <mergeCell ref="HKP52:HLE52"/>
    <mergeCell ref="HDV52:HEK52"/>
    <mergeCell ref="HEL52:HFA52"/>
    <mergeCell ref="HFB52:HFQ52"/>
    <mergeCell ref="HFR52:HGG52"/>
    <mergeCell ref="HGH52:HGW52"/>
    <mergeCell ref="HGX52:HHM52"/>
    <mergeCell ref="HWH52:HWW52"/>
    <mergeCell ref="HWX52:HXM52"/>
    <mergeCell ref="HXN52:HYC52"/>
    <mergeCell ref="HYD52:HYS52"/>
    <mergeCell ref="HYT52:HZI52"/>
    <mergeCell ref="HZJ52:HZY52"/>
    <mergeCell ref="HSP52:HTE52"/>
    <mergeCell ref="HTF52:HTU52"/>
    <mergeCell ref="HTV52:HUK52"/>
    <mergeCell ref="HUL52:HVA52"/>
    <mergeCell ref="HVB52:HVQ52"/>
    <mergeCell ref="HVR52:HWG52"/>
    <mergeCell ref="HOX52:HPM52"/>
    <mergeCell ref="HPN52:HQC52"/>
    <mergeCell ref="HQD52:HQS52"/>
    <mergeCell ref="HQT52:HRI52"/>
    <mergeCell ref="HRJ52:HRY52"/>
    <mergeCell ref="HRZ52:HSO52"/>
    <mergeCell ref="IHJ52:IHY52"/>
    <mergeCell ref="IHZ52:IIO52"/>
    <mergeCell ref="IIP52:IJE52"/>
    <mergeCell ref="IJF52:IJU52"/>
    <mergeCell ref="IJV52:IKK52"/>
    <mergeCell ref="IKL52:ILA52"/>
    <mergeCell ref="IDR52:IEG52"/>
    <mergeCell ref="IEH52:IEW52"/>
    <mergeCell ref="IEX52:IFM52"/>
    <mergeCell ref="IFN52:IGC52"/>
    <mergeCell ref="IGD52:IGS52"/>
    <mergeCell ref="IGT52:IHI52"/>
    <mergeCell ref="HZZ52:IAO52"/>
    <mergeCell ref="IAP52:IBE52"/>
    <mergeCell ref="IBF52:IBU52"/>
    <mergeCell ref="IBV52:ICK52"/>
    <mergeCell ref="ICL52:IDA52"/>
    <mergeCell ref="IDB52:IDQ52"/>
    <mergeCell ref="ISL52:ITA52"/>
    <mergeCell ref="ITB52:ITQ52"/>
    <mergeCell ref="ITR52:IUG52"/>
    <mergeCell ref="IUH52:IUW52"/>
    <mergeCell ref="IUX52:IVM52"/>
    <mergeCell ref="IVN52:IWC52"/>
    <mergeCell ref="IOT52:IPI52"/>
    <mergeCell ref="IPJ52:IPY52"/>
    <mergeCell ref="IPZ52:IQO52"/>
    <mergeCell ref="IQP52:IRE52"/>
    <mergeCell ref="IRF52:IRU52"/>
    <mergeCell ref="IRV52:ISK52"/>
    <mergeCell ref="ILB52:ILQ52"/>
    <mergeCell ref="ILR52:IMG52"/>
    <mergeCell ref="IMH52:IMW52"/>
    <mergeCell ref="IMX52:INM52"/>
    <mergeCell ref="INN52:IOC52"/>
    <mergeCell ref="IOD52:IOS52"/>
    <mergeCell ref="JDN52:JEC52"/>
    <mergeCell ref="JED52:JES52"/>
    <mergeCell ref="JET52:JFI52"/>
    <mergeCell ref="JFJ52:JFY52"/>
    <mergeCell ref="JFZ52:JGO52"/>
    <mergeCell ref="JGP52:JHE52"/>
    <mergeCell ref="IZV52:JAK52"/>
    <mergeCell ref="JAL52:JBA52"/>
    <mergeCell ref="JBB52:JBQ52"/>
    <mergeCell ref="JBR52:JCG52"/>
    <mergeCell ref="JCH52:JCW52"/>
    <mergeCell ref="JCX52:JDM52"/>
    <mergeCell ref="IWD52:IWS52"/>
    <mergeCell ref="IWT52:IXI52"/>
    <mergeCell ref="IXJ52:IXY52"/>
    <mergeCell ref="IXZ52:IYO52"/>
    <mergeCell ref="IYP52:IZE52"/>
    <mergeCell ref="IZF52:IZU52"/>
    <mergeCell ref="JOP52:JPE52"/>
    <mergeCell ref="JPF52:JPU52"/>
    <mergeCell ref="JPV52:JQK52"/>
    <mergeCell ref="JQL52:JRA52"/>
    <mergeCell ref="JRB52:JRQ52"/>
    <mergeCell ref="JRR52:JSG52"/>
    <mergeCell ref="JKX52:JLM52"/>
    <mergeCell ref="JLN52:JMC52"/>
    <mergeCell ref="JMD52:JMS52"/>
    <mergeCell ref="JMT52:JNI52"/>
    <mergeCell ref="JNJ52:JNY52"/>
    <mergeCell ref="JNZ52:JOO52"/>
    <mergeCell ref="JHF52:JHU52"/>
    <mergeCell ref="JHV52:JIK52"/>
    <mergeCell ref="JIL52:JJA52"/>
    <mergeCell ref="JJB52:JJQ52"/>
    <mergeCell ref="JJR52:JKG52"/>
    <mergeCell ref="JKH52:JKW52"/>
    <mergeCell ref="JZR52:KAG52"/>
    <mergeCell ref="KAH52:KAW52"/>
    <mergeCell ref="KAX52:KBM52"/>
    <mergeCell ref="KBN52:KCC52"/>
    <mergeCell ref="KCD52:KCS52"/>
    <mergeCell ref="KCT52:KDI52"/>
    <mergeCell ref="JVZ52:JWO52"/>
    <mergeCell ref="JWP52:JXE52"/>
    <mergeCell ref="JXF52:JXU52"/>
    <mergeCell ref="JXV52:JYK52"/>
    <mergeCell ref="JYL52:JZA52"/>
    <mergeCell ref="JZB52:JZQ52"/>
    <mergeCell ref="JSH52:JSW52"/>
    <mergeCell ref="JSX52:JTM52"/>
    <mergeCell ref="JTN52:JUC52"/>
    <mergeCell ref="JUD52:JUS52"/>
    <mergeCell ref="JUT52:JVI52"/>
    <mergeCell ref="JVJ52:JVY52"/>
    <mergeCell ref="KKT52:KLI52"/>
    <mergeCell ref="KLJ52:KLY52"/>
    <mergeCell ref="KLZ52:KMO52"/>
    <mergeCell ref="KMP52:KNE52"/>
    <mergeCell ref="KNF52:KNU52"/>
    <mergeCell ref="KNV52:KOK52"/>
    <mergeCell ref="KHB52:KHQ52"/>
    <mergeCell ref="KHR52:KIG52"/>
    <mergeCell ref="KIH52:KIW52"/>
    <mergeCell ref="KIX52:KJM52"/>
    <mergeCell ref="KJN52:KKC52"/>
    <mergeCell ref="KKD52:KKS52"/>
    <mergeCell ref="KDJ52:KDY52"/>
    <mergeCell ref="KDZ52:KEO52"/>
    <mergeCell ref="KEP52:KFE52"/>
    <mergeCell ref="KFF52:KFU52"/>
    <mergeCell ref="KFV52:KGK52"/>
    <mergeCell ref="KGL52:KHA52"/>
    <mergeCell ref="KVV52:KWK52"/>
    <mergeCell ref="KWL52:KXA52"/>
    <mergeCell ref="KXB52:KXQ52"/>
    <mergeCell ref="KXR52:KYG52"/>
    <mergeCell ref="KYH52:KYW52"/>
    <mergeCell ref="KYX52:KZM52"/>
    <mergeCell ref="KSD52:KSS52"/>
    <mergeCell ref="KST52:KTI52"/>
    <mergeCell ref="KTJ52:KTY52"/>
    <mergeCell ref="KTZ52:KUO52"/>
    <mergeCell ref="KUP52:KVE52"/>
    <mergeCell ref="KVF52:KVU52"/>
    <mergeCell ref="KOL52:KPA52"/>
    <mergeCell ref="KPB52:KPQ52"/>
    <mergeCell ref="KPR52:KQG52"/>
    <mergeCell ref="KQH52:KQW52"/>
    <mergeCell ref="KQX52:KRM52"/>
    <mergeCell ref="KRN52:KSC52"/>
    <mergeCell ref="LGX52:LHM52"/>
    <mergeCell ref="LHN52:LIC52"/>
    <mergeCell ref="LID52:LIS52"/>
    <mergeCell ref="LIT52:LJI52"/>
    <mergeCell ref="LJJ52:LJY52"/>
    <mergeCell ref="LJZ52:LKO52"/>
    <mergeCell ref="LDF52:LDU52"/>
    <mergeCell ref="LDV52:LEK52"/>
    <mergeCell ref="LEL52:LFA52"/>
    <mergeCell ref="LFB52:LFQ52"/>
    <mergeCell ref="LFR52:LGG52"/>
    <mergeCell ref="LGH52:LGW52"/>
    <mergeCell ref="KZN52:LAC52"/>
    <mergeCell ref="LAD52:LAS52"/>
    <mergeCell ref="LAT52:LBI52"/>
    <mergeCell ref="LBJ52:LBY52"/>
    <mergeCell ref="LBZ52:LCO52"/>
    <mergeCell ref="LCP52:LDE52"/>
    <mergeCell ref="LRZ52:LSO52"/>
    <mergeCell ref="LSP52:LTE52"/>
    <mergeCell ref="LTF52:LTU52"/>
    <mergeCell ref="LTV52:LUK52"/>
    <mergeCell ref="LUL52:LVA52"/>
    <mergeCell ref="LVB52:LVQ52"/>
    <mergeCell ref="LOH52:LOW52"/>
    <mergeCell ref="LOX52:LPM52"/>
    <mergeCell ref="LPN52:LQC52"/>
    <mergeCell ref="LQD52:LQS52"/>
    <mergeCell ref="LQT52:LRI52"/>
    <mergeCell ref="LRJ52:LRY52"/>
    <mergeCell ref="LKP52:LLE52"/>
    <mergeCell ref="LLF52:LLU52"/>
    <mergeCell ref="LLV52:LMK52"/>
    <mergeCell ref="LML52:LNA52"/>
    <mergeCell ref="LNB52:LNQ52"/>
    <mergeCell ref="LNR52:LOG52"/>
    <mergeCell ref="MDB52:MDQ52"/>
    <mergeCell ref="MDR52:MEG52"/>
    <mergeCell ref="MEH52:MEW52"/>
    <mergeCell ref="MEX52:MFM52"/>
    <mergeCell ref="MFN52:MGC52"/>
    <mergeCell ref="MGD52:MGS52"/>
    <mergeCell ref="LZJ52:LZY52"/>
    <mergeCell ref="LZZ52:MAO52"/>
    <mergeCell ref="MAP52:MBE52"/>
    <mergeCell ref="MBF52:MBU52"/>
    <mergeCell ref="MBV52:MCK52"/>
    <mergeCell ref="MCL52:MDA52"/>
    <mergeCell ref="LVR52:LWG52"/>
    <mergeCell ref="LWH52:LWW52"/>
    <mergeCell ref="LWX52:LXM52"/>
    <mergeCell ref="LXN52:LYC52"/>
    <mergeCell ref="LYD52:LYS52"/>
    <mergeCell ref="LYT52:LZI52"/>
    <mergeCell ref="MOD52:MOS52"/>
    <mergeCell ref="MOT52:MPI52"/>
    <mergeCell ref="MPJ52:MPY52"/>
    <mergeCell ref="MPZ52:MQO52"/>
    <mergeCell ref="MQP52:MRE52"/>
    <mergeCell ref="MRF52:MRU52"/>
    <mergeCell ref="MKL52:MLA52"/>
    <mergeCell ref="MLB52:MLQ52"/>
    <mergeCell ref="MLR52:MMG52"/>
    <mergeCell ref="MMH52:MMW52"/>
    <mergeCell ref="MMX52:MNM52"/>
    <mergeCell ref="MNN52:MOC52"/>
    <mergeCell ref="MGT52:MHI52"/>
    <mergeCell ref="MHJ52:MHY52"/>
    <mergeCell ref="MHZ52:MIO52"/>
    <mergeCell ref="MIP52:MJE52"/>
    <mergeCell ref="MJF52:MJU52"/>
    <mergeCell ref="MJV52:MKK52"/>
    <mergeCell ref="MZF52:MZU52"/>
    <mergeCell ref="MZV52:NAK52"/>
    <mergeCell ref="NAL52:NBA52"/>
    <mergeCell ref="NBB52:NBQ52"/>
    <mergeCell ref="NBR52:NCG52"/>
    <mergeCell ref="NCH52:NCW52"/>
    <mergeCell ref="MVN52:MWC52"/>
    <mergeCell ref="MWD52:MWS52"/>
    <mergeCell ref="MWT52:MXI52"/>
    <mergeCell ref="MXJ52:MXY52"/>
    <mergeCell ref="MXZ52:MYO52"/>
    <mergeCell ref="MYP52:MZE52"/>
    <mergeCell ref="MRV52:MSK52"/>
    <mergeCell ref="MSL52:MTA52"/>
    <mergeCell ref="MTB52:MTQ52"/>
    <mergeCell ref="MTR52:MUG52"/>
    <mergeCell ref="MUH52:MUW52"/>
    <mergeCell ref="MUX52:MVM52"/>
    <mergeCell ref="NKH52:NKW52"/>
    <mergeCell ref="NKX52:NLM52"/>
    <mergeCell ref="NLN52:NMC52"/>
    <mergeCell ref="NMD52:NMS52"/>
    <mergeCell ref="NMT52:NNI52"/>
    <mergeCell ref="NNJ52:NNY52"/>
    <mergeCell ref="NGP52:NHE52"/>
    <mergeCell ref="NHF52:NHU52"/>
    <mergeCell ref="NHV52:NIK52"/>
    <mergeCell ref="NIL52:NJA52"/>
    <mergeCell ref="NJB52:NJQ52"/>
    <mergeCell ref="NJR52:NKG52"/>
    <mergeCell ref="NCX52:NDM52"/>
    <mergeCell ref="NDN52:NEC52"/>
    <mergeCell ref="NED52:NES52"/>
    <mergeCell ref="NET52:NFI52"/>
    <mergeCell ref="NFJ52:NFY52"/>
    <mergeCell ref="NFZ52:NGO52"/>
    <mergeCell ref="NVJ52:NVY52"/>
    <mergeCell ref="NVZ52:NWO52"/>
    <mergeCell ref="NWP52:NXE52"/>
    <mergeCell ref="NXF52:NXU52"/>
    <mergeCell ref="NXV52:NYK52"/>
    <mergeCell ref="NYL52:NZA52"/>
    <mergeCell ref="NRR52:NSG52"/>
    <mergeCell ref="NSH52:NSW52"/>
    <mergeCell ref="NSX52:NTM52"/>
    <mergeCell ref="NTN52:NUC52"/>
    <mergeCell ref="NUD52:NUS52"/>
    <mergeCell ref="NUT52:NVI52"/>
    <mergeCell ref="NNZ52:NOO52"/>
    <mergeCell ref="NOP52:NPE52"/>
    <mergeCell ref="NPF52:NPU52"/>
    <mergeCell ref="NPV52:NQK52"/>
    <mergeCell ref="NQL52:NRA52"/>
    <mergeCell ref="NRB52:NRQ52"/>
    <mergeCell ref="OGL52:OHA52"/>
    <mergeCell ref="OHB52:OHQ52"/>
    <mergeCell ref="OHR52:OIG52"/>
    <mergeCell ref="OIH52:OIW52"/>
    <mergeCell ref="OIX52:OJM52"/>
    <mergeCell ref="OJN52:OKC52"/>
    <mergeCell ref="OCT52:ODI52"/>
    <mergeCell ref="ODJ52:ODY52"/>
    <mergeCell ref="ODZ52:OEO52"/>
    <mergeCell ref="OEP52:OFE52"/>
    <mergeCell ref="OFF52:OFU52"/>
    <mergeCell ref="OFV52:OGK52"/>
    <mergeCell ref="NZB52:NZQ52"/>
    <mergeCell ref="NZR52:OAG52"/>
    <mergeCell ref="OAH52:OAW52"/>
    <mergeCell ref="OAX52:OBM52"/>
    <mergeCell ref="OBN52:OCC52"/>
    <mergeCell ref="OCD52:OCS52"/>
    <mergeCell ref="ORN52:OSC52"/>
    <mergeCell ref="OSD52:OSS52"/>
    <mergeCell ref="OST52:OTI52"/>
    <mergeCell ref="OTJ52:OTY52"/>
    <mergeCell ref="OTZ52:OUO52"/>
    <mergeCell ref="OUP52:OVE52"/>
    <mergeCell ref="ONV52:OOK52"/>
    <mergeCell ref="OOL52:OPA52"/>
    <mergeCell ref="OPB52:OPQ52"/>
    <mergeCell ref="OPR52:OQG52"/>
    <mergeCell ref="OQH52:OQW52"/>
    <mergeCell ref="OQX52:ORM52"/>
    <mergeCell ref="OKD52:OKS52"/>
    <mergeCell ref="OKT52:OLI52"/>
    <mergeCell ref="OLJ52:OLY52"/>
    <mergeCell ref="OLZ52:OMO52"/>
    <mergeCell ref="OMP52:ONE52"/>
    <mergeCell ref="ONF52:ONU52"/>
    <mergeCell ref="PCP52:PDE52"/>
    <mergeCell ref="PDF52:PDU52"/>
    <mergeCell ref="PDV52:PEK52"/>
    <mergeCell ref="PEL52:PFA52"/>
    <mergeCell ref="PFB52:PFQ52"/>
    <mergeCell ref="PFR52:PGG52"/>
    <mergeCell ref="OYX52:OZM52"/>
    <mergeCell ref="OZN52:PAC52"/>
    <mergeCell ref="PAD52:PAS52"/>
    <mergeCell ref="PAT52:PBI52"/>
    <mergeCell ref="PBJ52:PBY52"/>
    <mergeCell ref="PBZ52:PCO52"/>
    <mergeCell ref="OVF52:OVU52"/>
    <mergeCell ref="OVV52:OWK52"/>
    <mergeCell ref="OWL52:OXA52"/>
    <mergeCell ref="OXB52:OXQ52"/>
    <mergeCell ref="OXR52:OYG52"/>
    <mergeCell ref="OYH52:OYW52"/>
    <mergeCell ref="PNR52:POG52"/>
    <mergeCell ref="POH52:POW52"/>
    <mergeCell ref="POX52:PPM52"/>
    <mergeCell ref="PPN52:PQC52"/>
    <mergeCell ref="PQD52:PQS52"/>
    <mergeCell ref="PQT52:PRI52"/>
    <mergeCell ref="PJZ52:PKO52"/>
    <mergeCell ref="PKP52:PLE52"/>
    <mergeCell ref="PLF52:PLU52"/>
    <mergeCell ref="PLV52:PMK52"/>
    <mergeCell ref="PML52:PNA52"/>
    <mergeCell ref="PNB52:PNQ52"/>
    <mergeCell ref="PGH52:PGW52"/>
    <mergeCell ref="PGX52:PHM52"/>
    <mergeCell ref="PHN52:PIC52"/>
    <mergeCell ref="PID52:PIS52"/>
    <mergeCell ref="PIT52:PJI52"/>
    <mergeCell ref="PJJ52:PJY52"/>
    <mergeCell ref="PYT52:PZI52"/>
    <mergeCell ref="PZJ52:PZY52"/>
    <mergeCell ref="PZZ52:QAO52"/>
    <mergeCell ref="QAP52:QBE52"/>
    <mergeCell ref="QBF52:QBU52"/>
    <mergeCell ref="QBV52:QCK52"/>
    <mergeCell ref="PVB52:PVQ52"/>
    <mergeCell ref="PVR52:PWG52"/>
    <mergeCell ref="PWH52:PWW52"/>
    <mergeCell ref="PWX52:PXM52"/>
    <mergeCell ref="PXN52:PYC52"/>
    <mergeCell ref="PYD52:PYS52"/>
    <mergeCell ref="PRJ52:PRY52"/>
    <mergeCell ref="PRZ52:PSO52"/>
    <mergeCell ref="PSP52:PTE52"/>
    <mergeCell ref="PTF52:PTU52"/>
    <mergeCell ref="PTV52:PUK52"/>
    <mergeCell ref="PUL52:PVA52"/>
    <mergeCell ref="QJV52:QKK52"/>
    <mergeCell ref="QKL52:QLA52"/>
    <mergeCell ref="QLB52:QLQ52"/>
    <mergeCell ref="QLR52:QMG52"/>
    <mergeCell ref="QMH52:QMW52"/>
    <mergeCell ref="QMX52:QNM52"/>
    <mergeCell ref="QGD52:QGS52"/>
    <mergeCell ref="QGT52:QHI52"/>
    <mergeCell ref="QHJ52:QHY52"/>
    <mergeCell ref="QHZ52:QIO52"/>
    <mergeCell ref="QIP52:QJE52"/>
    <mergeCell ref="QJF52:QJU52"/>
    <mergeCell ref="QCL52:QDA52"/>
    <mergeCell ref="QDB52:QDQ52"/>
    <mergeCell ref="QDR52:QEG52"/>
    <mergeCell ref="QEH52:QEW52"/>
    <mergeCell ref="QEX52:QFM52"/>
    <mergeCell ref="QFN52:QGC52"/>
    <mergeCell ref="QUX52:QVM52"/>
    <mergeCell ref="QVN52:QWC52"/>
    <mergeCell ref="QWD52:QWS52"/>
    <mergeCell ref="QWT52:QXI52"/>
    <mergeCell ref="QXJ52:QXY52"/>
    <mergeCell ref="QXZ52:QYO52"/>
    <mergeCell ref="QRF52:QRU52"/>
    <mergeCell ref="QRV52:QSK52"/>
    <mergeCell ref="QSL52:QTA52"/>
    <mergeCell ref="QTB52:QTQ52"/>
    <mergeCell ref="QTR52:QUG52"/>
    <mergeCell ref="QUH52:QUW52"/>
    <mergeCell ref="QNN52:QOC52"/>
    <mergeCell ref="QOD52:QOS52"/>
    <mergeCell ref="QOT52:QPI52"/>
    <mergeCell ref="QPJ52:QPY52"/>
    <mergeCell ref="QPZ52:QQO52"/>
    <mergeCell ref="QQP52:QRE52"/>
    <mergeCell ref="RFZ52:RGO52"/>
    <mergeCell ref="RGP52:RHE52"/>
    <mergeCell ref="RHF52:RHU52"/>
    <mergeCell ref="RHV52:RIK52"/>
    <mergeCell ref="RIL52:RJA52"/>
    <mergeCell ref="RJB52:RJQ52"/>
    <mergeCell ref="RCH52:RCW52"/>
    <mergeCell ref="RCX52:RDM52"/>
    <mergeCell ref="RDN52:REC52"/>
    <mergeCell ref="RED52:RES52"/>
    <mergeCell ref="RET52:RFI52"/>
    <mergeCell ref="RFJ52:RFY52"/>
    <mergeCell ref="QYP52:QZE52"/>
    <mergeCell ref="QZF52:QZU52"/>
    <mergeCell ref="QZV52:RAK52"/>
    <mergeCell ref="RAL52:RBA52"/>
    <mergeCell ref="RBB52:RBQ52"/>
    <mergeCell ref="RBR52:RCG52"/>
    <mergeCell ref="RRB52:RRQ52"/>
    <mergeCell ref="RRR52:RSG52"/>
    <mergeCell ref="RSH52:RSW52"/>
    <mergeCell ref="RSX52:RTM52"/>
    <mergeCell ref="RTN52:RUC52"/>
    <mergeCell ref="RUD52:RUS52"/>
    <mergeCell ref="RNJ52:RNY52"/>
    <mergeCell ref="RNZ52:ROO52"/>
    <mergeCell ref="ROP52:RPE52"/>
    <mergeCell ref="RPF52:RPU52"/>
    <mergeCell ref="RPV52:RQK52"/>
    <mergeCell ref="RQL52:RRA52"/>
    <mergeCell ref="RJR52:RKG52"/>
    <mergeCell ref="RKH52:RKW52"/>
    <mergeCell ref="RKX52:RLM52"/>
    <mergeCell ref="RLN52:RMC52"/>
    <mergeCell ref="RMD52:RMS52"/>
    <mergeCell ref="RMT52:RNI52"/>
    <mergeCell ref="SCD52:SCS52"/>
    <mergeCell ref="SCT52:SDI52"/>
    <mergeCell ref="SDJ52:SDY52"/>
    <mergeCell ref="SDZ52:SEO52"/>
    <mergeCell ref="SEP52:SFE52"/>
    <mergeCell ref="SFF52:SFU52"/>
    <mergeCell ref="RYL52:RZA52"/>
    <mergeCell ref="RZB52:RZQ52"/>
    <mergeCell ref="RZR52:SAG52"/>
    <mergeCell ref="SAH52:SAW52"/>
    <mergeCell ref="SAX52:SBM52"/>
    <mergeCell ref="SBN52:SCC52"/>
    <mergeCell ref="RUT52:RVI52"/>
    <mergeCell ref="RVJ52:RVY52"/>
    <mergeCell ref="RVZ52:RWO52"/>
    <mergeCell ref="RWP52:RXE52"/>
    <mergeCell ref="RXF52:RXU52"/>
    <mergeCell ref="RXV52:RYK52"/>
    <mergeCell ref="SNF52:SNU52"/>
    <mergeCell ref="SNV52:SOK52"/>
    <mergeCell ref="SOL52:SPA52"/>
    <mergeCell ref="SPB52:SPQ52"/>
    <mergeCell ref="SPR52:SQG52"/>
    <mergeCell ref="SQH52:SQW52"/>
    <mergeCell ref="SJN52:SKC52"/>
    <mergeCell ref="SKD52:SKS52"/>
    <mergeCell ref="SKT52:SLI52"/>
    <mergeCell ref="SLJ52:SLY52"/>
    <mergeCell ref="SLZ52:SMO52"/>
    <mergeCell ref="SMP52:SNE52"/>
    <mergeCell ref="SFV52:SGK52"/>
    <mergeCell ref="SGL52:SHA52"/>
    <mergeCell ref="SHB52:SHQ52"/>
    <mergeCell ref="SHR52:SIG52"/>
    <mergeCell ref="SIH52:SIW52"/>
    <mergeCell ref="SIX52:SJM52"/>
    <mergeCell ref="SYH52:SYW52"/>
    <mergeCell ref="SYX52:SZM52"/>
    <mergeCell ref="SZN52:TAC52"/>
    <mergeCell ref="TAD52:TAS52"/>
    <mergeCell ref="TAT52:TBI52"/>
    <mergeCell ref="TBJ52:TBY52"/>
    <mergeCell ref="SUP52:SVE52"/>
    <mergeCell ref="SVF52:SVU52"/>
    <mergeCell ref="SVV52:SWK52"/>
    <mergeCell ref="SWL52:SXA52"/>
    <mergeCell ref="SXB52:SXQ52"/>
    <mergeCell ref="SXR52:SYG52"/>
    <mergeCell ref="SQX52:SRM52"/>
    <mergeCell ref="SRN52:SSC52"/>
    <mergeCell ref="SSD52:SSS52"/>
    <mergeCell ref="SST52:STI52"/>
    <mergeCell ref="STJ52:STY52"/>
    <mergeCell ref="STZ52:SUO52"/>
    <mergeCell ref="TJJ52:TJY52"/>
    <mergeCell ref="TJZ52:TKO52"/>
    <mergeCell ref="TKP52:TLE52"/>
    <mergeCell ref="TLF52:TLU52"/>
    <mergeCell ref="TLV52:TMK52"/>
    <mergeCell ref="TML52:TNA52"/>
    <mergeCell ref="TFR52:TGG52"/>
    <mergeCell ref="TGH52:TGW52"/>
    <mergeCell ref="TGX52:THM52"/>
    <mergeCell ref="THN52:TIC52"/>
    <mergeCell ref="TID52:TIS52"/>
    <mergeCell ref="TIT52:TJI52"/>
    <mergeCell ref="TBZ52:TCO52"/>
    <mergeCell ref="TCP52:TDE52"/>
    <mergeCell ref="TDF52:TDU52"/>
    <mergeCell ref="TDV52:TEK52"/>
    <mergeCell ref="TEL52:TFA52"/>
    <mergeCell ref="TFB52:TFQ52"/>
    <mergeCell ref="TUL52:TVA52"/>
    <mergeCell ref="TVB52:TVQ52"/>
    <mergeCell ref="TVR52:TWG52"/>
    <mergeCell ref="TWH52:TWW52"/>
    <mergeCell ref="TWX52:TXM52"/>
    <mergeCell ref="TXN52:TYC52"/>
    <mergeCell ref="TQT52:TRI52"/>
    <mergeCell ref="TRJ52:TRY52"/>
    <mergeCell ref="TRZ52:TSO52"/>
    <mergeCell ref="TSP52:TTE52"/>
    <mergeCell ref="TTF52:TTU52"/>
    <mergeCell ref="TTV52:TUK52"/>
    <mergeCell ref="TNB52:TNQ52"/>
    <mergeCell ref="TNR52:TOG52"/>
    <mergeCell ref="TOH52:TOW52"/>
    <mergeCell ref="TOX52:TPM52"/>
    <mergeCell ref="TPN52:TQC52"/>
    <mergeCell ref="TQD52:TQS52"/>
    <mergeCell ref="UFN52:UGC52"/>
    <mergeCell ref="UGD52:UGS52"/>
    <mergeCell ref="UGT52:UHI52"/>
    <mergeCell ref="UHJ52:UHY52"/>
    <mergeCell ref="UHZ52:UIO52"/>
    <mergeCell ref="UIP52:UJE52"/>
    <mergeCell ref="UBV52:UCK52"/>
    <mergeCell ref="UCL52:UDA52"/>
    <mergeCell ref="UDB52:UDQ52"/>
    <mergeCell ref="UDR52:UEG52"/>
    <mergeCell ref="UEH52:UEW52"/>
    <mergeCell ref="UEX52:UFM52"/>
    <mergeCell ref="TYD52:TYS52"/>
    <mergeCell ref="TYT52:TZI52"/>
    <mergeCell ref="TZJ52:TZY52"/>
    <mergeCell ref="TZZ52:UAO52"/>
    <mergeCell ref="UAP52:UBE52"/>
    <mergeCell ref="UBF52:UBU52"/>
    <mergeCell ref="UQP52:URE52"/>
    <mergeCell ref="URF52:URU52"/>
    <mergeCell ref="URV52:USK52"/>
    <mergeCell ref="USL52:UTA52"/>
    <mergeCell ref="UTB52:UTQ52"/>
    <mergeCell ref="UTR52:UUG52"/>
    <mergeCell ref="UMX52:UNM52"/>
    <mergeCell ref="UNN52:UOC52"/>
    <mergeCell ref="UOD52:UOS52"/>
    <mergeCell ref="UOT52:UPI52"/>
    <mergeCell ref="UPJ52:UPY52"/>
    <mergeCell ref="UPZ52:UQO52"/>
    <mergeCell ref="UJF52:UJU52"/>
    <mergeCell ref="UJV52:UKK52"/>
    <mergeCell ref="UKL52:ULA52"/>
    <mergeCell ref="ULB52:ULQ52"/>
    <mergeCell ref="ULR52:UMG52"/>
    <mergeCell ref="UMH52:UMW52"/>
    <mergeCell ref="VBR52:VCG52"/>
    <mergeCell ref="VCH52:VCW52"/>
    <mergeCell ref="VCX52:VDM52"/>
    <mergeCell ref="VDN52:VEC52"/>
    <mergeCell ref="VED52:VES52"/>
    <mergeCell ref="VET52:VFI52"/>
    <mergeCell ref="UXZ52:UYO52"/>
    <mergeCell ref="UYP52:UZE52"/>
    <mergeCell ref="UZF52:UZU52"/>
    <mergeCell ref="UZV52:VAK52"/>
    <mergeCell ref="VAL52:VBA52"/>
    <mergeCell ref="VBB52:VBQ52"/>
    <mergeCell ref="UUH52:UUW52"/>
    <mergeCell ref="UUX52:UVM52"/>
    <mergeCell ref="UVN52:UWC52"/>
    <mergeCell ref="UWD52:UWS52"/>
    <mergeCell ref="UWT52:UXI52"/>
    <mergeCell ref="UXJ52:UXY52"/>
    <mergeCell ref="VMT52:VNI52"/>
    <mergeCell ref="VNJ52:VNY52"/>
    <mergeCell ref="VNZ52:VOO52"/>
    <mergeCell ref="VOP52:VPE52"/>
    <mergeCell ref="VPF52:VPU52"/>
    <mergeCell ref="VPV52:VQK52"/>
    <mergeCell ref="VJB52:VJQ52"/>
    <mergeCell ref="VJR52:VKG52"/>
    <mergeCell ref="VKH52:VKW52"/>
    <mergeCell ref="VKX52:VLM52"/>
    <mergeCell ref="VLN52:VMC52"/>
    <mergeCell ref="VMD52:VMS52"/>
    <mergeCell ref="VFJ52:VFY52"/>
    <mergeCell ref="VFZ52:VGO52"/>
    <mergeCell ref="VGP52:VHE52"/>
    <mergeCell ref="VHF52:VHU52"/>
    <mergeCell ref="VHV52:VIK52"/>
    <mergeCell ref="VIL52:VJA52"/>
    <mergeCell ref="VXV52:VYK52"/>
    <mergeCell ref="VYL52:VZA52"/>
    <mergeCell ref="VZB52:VZQ52"/>
    <mergeCell ref="VZR52:WAG52"/>
    <mergeCell ref="WAH52:WAW52"/>
    <mergeCell ref="WAX52:WBM52"/>
    <mergeCell ref="VUD52:VUS52"/>
    <mergeCell ref="VUT52:VVI52"/>
    <mergeCell ref="VVJ52:VVY52"/>
    <mergeCell ref="VVZ52:VWO52"/>
    <mergeCell ref="VWP52:VXE52"/>
    <mergeCell ref="VXF52:VXU52"/>
    <mergeCell ref="VQL52:VRA52"/>
    <mergeCell ref="VRB52:VRQ52"/>
    <mergeCell ref="VRR52:VSG52"/>
    <mergeCell ref="VSH52:VSW52"/>
    <mergeCell ref="VSX52:VTM52"/>
    <mergeCell ref="VTN52:VUC52"/>
    <mergeCell ref="A53:E53"/>
    <mergeCell ref="N53:AC53"/>
    <mergeCell ref="AD53:AS53"/>
    <mergeCell ref="AT53:BI53"/>
    <mergeCell ref="BJ53:BY53"/>
    <mergeCell ref="WXR52:WYG52"/>
    <mergeCell ref="WYH52:WYW52"/>
    <mergeCell ref="WYX52:WZM52"/>
    <mergeCell ref="WZN52:XAC52"/>
    <mergeCell ref="XAD52:XAS52"/>
    <mergeCell ref="XAT52:XBI52"/>
    <mergeCell ref="WTZ52:WUO52"/>
    <mergeCell ref="WUP52:WVE52"/>
    <mergeCell ref="WVF52:WVU52"/>
    <mergeCell ref="WVV52:WWK52"/>
    <mergeCell ref="WWL52:WXA52"/>
    <mergeCell ref="WXB52:WXQ52"/>
    <mergeCell ref="WQH52:WQW52"/>
    <mergeCell ref="WQX52:WRM52"/>
    <mergeCell ref="WRN52:WSC52"/>
    <mergeCell ref="WSD52:WSS52"/>
    <mergeCell ref="WST52:WTI52"/>
    <mergeCell ref="WTJ52:WTY52"/>
    <mergeCell ref="WMP52:WNE52"/>
    <mergeCell ref="WNF52:WNU52"/>
    <mergeCell ref="WNV52:WOK52"/>
    <mergeCell ref="WOL52:WPA52"/>
    <mergeCell ref="WPB52:WPQ52"/>
    <mergeCell ref="WPR52:WQG52"/>
    <mergeCell ref="WIX52:WJM52"/>
    <mergeCell ref="WJN52:WKC52"/>
    <mergeCell ref="WKD52:WKS52"/>
    <mergeCell ref="FR53:GG53"/>
    <mergeCell ref="GH53:GW53"/>
    <mergeCell ref="GX53:HM53"/>
    <mergeCell ref="HN53:IC53"/>
    <mergeCell ref="ID53:IS53"/>
    <mergeCell ref="IT53:JI53"/>
    <mergeCell ref="BZ53:CO53"/>
    <mergeCell ref="CP53:DE53"/>
    <mergeCell ref="DF53:DU53"/>
    <mergeCell ref="DV53:EK53"/>
    <mergeCell ref="EL53:FA53"/>
    <mergeCell ref="FB53:FQ53"/>
    <mergeCell ref="XBJ52:XBY52"/>
    <mergeCell ref="XBZ52:XCO52"/>
    <mergeCell ref="XCP52:XDE52"/>
    <mergeCell ref="XDF52:XDU52"/>
    <mergeCell ref="XDV52:XEK52"/>
    <mergeCell ref="WKT52:WLI52"/>
    <mergeCell ref="WLJ52:WLY52"/>
    <mergeCell ref="WLZ52:WMO52"/>
    <mergeCell ref="WFF52:WFU52"/>
    <mergeCell ref="WFV52:WGK52"/>
    <mergeCell ref="WGL52:WHA52"/>
    <mergeCell ref="WHB52:WHQ52"/>
    <mergeCell ref="WHR52:WIG52"/>
    <mergeCell ref="WIH52:WIW52"/>
    <mergeCell ref="WBN52:WCC52"/>
    <mergeCell ref="WCD52:WCS52"/>
    <mergeCell ref="WCT52:WDI52"/>
    <mergeCell ref="WDJ52:WDY52"/>
    <mergeCell ref="WDZ52:WEO52"/>
    <mergeCell ref="WEP52:WFE52"/>
    <mergeCell ref="QT53:RI53"/>
    <mergeCell ref="RJ53:RY53"/>
    <mergeCell ref="RZ53:SO53"/>
    <mergeCell ref="SP53:TE53"/>
    <mergeCell ref="TF53:TU53"/>
    <mergeCell ref="TV53:UK53"/>
    <mergeCell ref="NB53:NQ53"/>
    <mergeCell ref="NR53:OG53"/>
    <mergeCell ref="OH53:OW53"/>
    <mergeCell ref="OX53:PM53"/>
    <mergeCell ref="PN53:QC53"/>
    <mergeCell ref="QD53:QS53"/>
    <mergeCell ref="JJ53:JY53"/>
    <mergeCell ref="JZ53:KO53"/>
    <mergeCell ref="KP53:LE53"/>
    <mergeCell ref="LF53:LU53"/>
    <mergeCell ref="LV53:MK53"/>
    <mergeCell ref="ML53:NA53"/>
    <mergeCell ref="ABV53:ACK53"/>
    <mergeCell ref="ACL53:ADA53"/>
    <mergeCell ref="ADB53:ADQ53"/>
    <mergeCell ref="ADR53:AEG53"/>
    <mergeCell ref="AEH53:AEW53"/>
    <mergeCell ref="AEX53:AFM53"/>
    <mergeCell ref="YD53:YS53"/>
    <mergeCell ref="YT53:ZI53"/>
    <mergeCell ref="ZJ53:ZY53"/>
    <mergeCell ref="ZZ53:AAO53"/>
    <mergeCell ref="AAP53:ABE53"/>
    <mergeCell ref="ABF53:ABU53"/>
    <mergeCell ref="UL53:VA53"/>
    <mergeCell ref="VB53:VQ53"/>
    <mergeCell ref="VR53:WG53"/>
    <mergeCell ref="WH53:WW53"/>
    <mergeCell ref="WX53:XM53"/>
    <mergeCell ref="XN53:YC53"/>
    <mergeCell ref="AMX53:ANM53"/>
    <mergeCell ref="ANN53:AOC53"/>
    <mergeCell ref="AOD53:AOS53"/>
    <mergeCell ref="AOT53:API53"/>
    <mergeCell ref="APJ53:APY53"/>
    <mergeCell ref="APZ53:AQO53"/>
    <mergeCell ref="AJF53:AJU53"/>
    <mergeCell ref="AJV53:AKK53"/>
    <mergeCell ref="AKL53:ALA53"/>
    <mergeCell ref="ALB53:ALQ53"/>
    <mergeCell ref="ALR53:AMG53"/>
    <mergeCell ref="AMH53:AMW53"/>
    <mergeCell ref="AFN53:AGC53"/>
    <mergeCell ref="AGD53:AGS53"/>
    <mergeCell ref="AGT53:AHI53"/>
    <mergeCell ref="AHJ53:AHY53"/>
    <mergeCell ref="AHZ53:AIO53"/>
    <mergeCell ref="AIP53:AJE53"/>
    <mergeCell ref="AXZ53:AYO53"/>
    <mergeCell ref="AYP53:AZE53"/>
    <mergeCell ref="AZF53:AZU53"/>
    <mergeCell ref="AZV53:BAK53"/>
    <mergeCell ref="BAL53:BBA53"/>
    <mergeCell ref="BBB53:BBQ53"/>
    <mergeCell ref="AUH53:AUW53"/>
    <mergeCell ref="AUX53:AVM53"/>
    <mergeCell ref="AVN53:AWC53"/>
    <mergeCell ref="AWD53:AWS53"/>
    <mergeCell ref="AWT53:AXI53"/>
    <mergeCell ref="AXJ53:AXY53"/>
    <mergeCell ref="AQP53:ARE53"/>
    <mergeCell ref="ARF53:ARU53"/>
    <mergeCell ref="ARV53:ASK53"/>
    <mergeCell ref="ASL53:ATA53"/>
    <mergeCell ref="ATB53:ATQ53"/>
    <mergeCell ref="ATR53:AUG53"/>
    <mergeCell ref="BJB53:BJQ53"/>
    <mergeCell ref="BJR53:BKG53"/>
    <mergeCell ref="BKH53:BKW53"/>
    <mergeCell ref="BKX53:BLM53"/>
    <mergeCell ref="BLN53:BMC53"/>
    <mergeCell ref="BMD53:BMS53"/>
    <mergeCell ref="BFJ53:BFY53"/>
    <mergeCell ref="BFZ53:BGO53"/>
    <mergeCell ref="BGP53:BHE53"/>
    <mergeCell ref="BHF53:BHU53"/>
    <mergeCell ref="BHV53:BIK53"/>
    <mergeCell ref="BIL53:BJA53"/>
    <mergeCell ref="BBR53:BCG53"/>
    <mergeCell ref="BCH53:BCW53"/>
    <mergeCell ref="BCX53:BDM53"/>
    <mergeCell ref="BDN53:BEC53"/>
    <mergeCell ref="BED53:BES53"/>
    <mergeCell ref="BET53:BFI53"/>
    <mergeCell ref="BUD53:BUS53"/>
    <mergeCell ref="BUT53:BVI53"/>
    <mergeCell ref="BVJ53:BVY53"/>
    <mergeCell ref="BVZ53:BWO53"/>
    <mergeCell ref="BWP53:BXE53"/>
    <mergeCell ref="BXF53:BXU53"/>
    <mergeCell ref="BQL53:BRA53"/>
    <mergeCell ref="BRB53:BRQ53"/>
    <mergeCell ref="BRR53:BSG53"/>
    <mergeCell ref="BSH53:BSW53"/>
    <mergeCell ref="BSX53:BTM53"/>
    <mergeCell ref="BTN53:BUC53"/>
    <mergeCell ref="BMT53:BNI53"/>
    <mergeCell ref="BNJ53:BNY53"/>
    <mergeCell ref="BNZ53:BOO53"/>
    <mergeCell ref="BOP53:BPE53"/>
    <mergeCell ref="BPF53:BPU53"/>
    <mergeCell ref="BPV53:BQK53"/>
    <mergeCell ref="CFF53:CFU53"/>
    <mergeCell ref="CFV53:CGK53"/>
    <mergeCell ref="CGL53:CHA53"/>
    <mergeCell ref="CHB53:CHQ53"/>
    <mergeCell ref="CHR53:CIG53"/>
    <mergeCell ref="CIH53:CIW53"/>
    <mergeCell ref="CBN53:CCC53"/>
    <mergeCell ref="CCD53:CCS53"/>
    <mergeCell ref="CCT53:CDI53"/>
    <mergeCell ref="CDJ53:CDY53"/>
    <mergeCell ref="CDZ53:CEO53"/>
    <mergeCell ref="CEP53:CFE53"/>
    <mergeCell ref="BXV53:BYK53"/>
    <mergeCell ref="BYL53:BZA53"/>
    <mergeCell ref="BZB53:BZQ53"/>
    <mergeCell ref="BZR53:CAG53"/>
    <mergeCell ref="CAH53:CAW53"/>
    <mergeCell ref="CAX53:CBM53"/>
    <mergeCell ref="CQH53:CQW53"/>
    <mergeCell ref="CQX53:CRM53"/>
    <mergeCell ref="CRN53:CSC53"/>
    <mergeCell ref="CSD53:CSS53"/>
    <mergeCell ref="CST53:CTI53"/>
    <mergeCell ref="CTJ53:CTY53"/>
    <mergeCell ref="CMP53:CNE53"/>
    <mergeCell ref="CNF53:CNU53"/>
    <mergeCell ref="CNV53:COK53"/>
    <mergeCell ref="COL53:CPA53"/>
    <mergeCell ref="CPB53:CPQ53"/>
    <mergeCell ref="CPR53:CQG53"/>
    <mergeCell ref="CIX53:CJM53"/>
    <mergeCell ref="CJN53:CKC53"/>
    <mergeCell ref="CKD53:CKS53"/>
    <mergeCell ref="CKT53:CLI53"/>
    <mergeCell ref="CLJ53:CLY53"/>
    <mergeCell ref="CLZ53:CMO53"/>
    <mergeCell ref="DBJ53:DBY53"/>
    <mergeCell ref="DBZ53:DCO53"/>
    <mergeCell ref="DCP53:DDE53"/>
    <mergeCell ref="DDF53:DDU53"/>
    <mergeCell ref="DDV53:DEK53"/>
    <mergeCell ref="DEL53:DFA53"/>
    <mergeCell ref="CXR53:CYG53"/>
    <mergeCell ref="CYH53:CYW53"/>
    <mergeCell ref="CYX53:CZM53"/>
    <mergeCell ref="CZN53:DAC53"/>
    <mergeCell ref="DAD53:DAS53"/>
    <mergeCell ref="DAT53:DBI53"/>
    <mergeCell ref="CTZ53:CUO53"/>
    <mergeCell ref="CUP53:CVE53"/>
    <mergeCell ref="CVF53:CVU53"/>
    <mergeCell ref="CVV53:CWK53"/>
    <mergeCell ref="CWL53:CXA53"/>
    <mergeCell ref="CXB53:CXQ53"/>
    <mergeCell ref="DML53:DNA53"/>
    <mergeCell ref="DNB53:DNQ53"/>
    <mergeCell ref="DNR53:DOG53"/>
    <mergeCell ref="DOH53:DOW53"/>
    <mergeCell ref="DOX53:DPM53"/>
    <mergeCell ref="DPN53:DQC53"/>
    <mergeCell ref="DIT53:DJI53"/>
    <mergeCell ref="DJJ53:DJY53"/>
    <mergeCell ref="DJZ53:DKO53"/>
    <mergeCell ref="DKP53:DLE53"/>
    <mergeCell ref="DLF53:DLU53"/>
    <mergeCell ref="DLV53:DMK53"/>
    <mergeCell ref="DFB53:DFQ53"/>
    <mergeCell ref="DFR53:DGG53"/>
    <mergeCell ref="DGH53:DGW53"/>
    <mergeCell ref="DGX53:DHM53"/>
    <mergeCell ref="DHN53:DIC53"/>
    <mergeCell ref="DID53:DIS53"/>
    <mergeCell ref="DXN53:DYC53"/>
    <mergeCell ref="DYD53:DYS53"/>
    <mergeCell ref="DYT53:DZI53"/>
    <mergeCell ref="DZJ53:DZY53"/>
    <mergeCell ref="DZZ53:EAO53"/>
    <mergeCell ref="EAP53:EBE53"/>
    <mergeCell ref="DTV53:DUK53"/>
    <mergeCell ref="DUL53:DVA53"/>
    <mergeCell ref="DVB53:DVQ53"/>
    <mergeCell ref="DVR53:DWG53"/>
    <mergeCell ref="DWH53:DWW53"/>
    <mergeCell ref="DWX53:DXM53"/>
    <mergeCell ref="DQD53:DQS53"/>
    <mergeCell ref="DQT53:DRI53"/>
    <mergeCell ref="DRJ53:DRY53"/>
    <mergeCell ref="DRZ53:DSO53"/>
    <mergeCell ref="DSP53:DTE53"/>
    <mergeCell ref="DTF53:DTU53"/>
    <mergeCell ref="EIP53:EJE53"/>
    <mergeCell ref="EJF53:EJU53"/>
    <mergeCell ref="EJV53:EKK53"/>
    <mergeCell ref="EKL53:ELA53"/>
    <mergeCell ref="ELB53:ELQ53"/>
    <mergeCell ref="ELR53:EMG53"/>
    <mergeCell ref="EEX53:EFM53"/>
    <mergeCell ref="EFN53:EGC53"/>
    <mergeCell ref="EGD53:EGS53"/>
    <mergeCell ref="EGT53:EHI53"/>
    <mergeCell ref="EHJ53:EHY53"/>
    <mergeCell ref="EHZ53:EIO53"/>
    <mergeCell ref="EBF53:EBU53"/>
    <mergeCell ref="EBV53:ECK53"/>
    <mergeCell ref="ECL53:EDA53"/>
    <mergeCell ref="EDB53:EDQ53"/>
    <mergeCell ref="EDR53:EEG53"/>
    <mergeCell ref="EEH53:EEW53"/>
    <mergeCell ref="ETR53:EUG53"/>
    <mergeCell ref="EUH53:EUW53"/>
    <mergeCell ref="EUX53:EVM53"/>
    <mergeCell ref="EVN53:EWC53"/>
    <mergeCell ref="EWD53:EWS53"/>
    <mergeCell ref="EWT53:EXI53"/>
    <mergeCell ref="EPZ53:EQO53"/>
    <mergeCell ref="EQP53:ERE53"/>
    <mergeCell ref="ERF53:ERU53"/>
    <mergeCell ref="ERV53:ESK53"/>
    <mergeCell ref="ESL53:ETA53"/>
    <mergeCell ref="ETB53:ETQ53"/>
    <mergeCell ref="EMH53:EMW53"/>
    <mergeCell ref="EMX53:ENM53"/>
    <mergeCell ref="ENN53:EOC53"/>
    <mergeCell ref="EOD53:EOS53"/>
    <mergeCell ref="EOT53:EPI53"/>
    <mergeCell ref="EPJ53:EPY53"/>
    <mergeCell ref="FET53:FFI53"/>
    <mergeCell ref="FFJ53:FFY53"/>
    <mergeCell ref="FFZ53:FGO53"/>
    <mergeCell ref="FGP53:FHE53"/>
    <mergeCell ref="FHF53:FHU53"/>
    <mergeCell ref="FHV53:FIK53"/>
    <mergeCell ref="FBB53:FBQ53"/>
    <mergeCell ref="FBR53:FCG53"/>
    <mergeCell ref="FCH53:FCW53"/>
    <mergeCell ref="FCX53:FDM53"/>
    <mergeCell ref="FDN53:FEC53"/>
    <mergeCell ref="FED53:FES53"/>
    <mergeCell ref="EXJ53:EXY53"/>
    <mergeCell ref="EXZ53:EYO53"/>
    <mergeCell ref="EYP53:EZE53"/>
    <mergeCell ref="EZF53:EZU53"/>
    <mergeCell ref="EZV53:FAK53"/>
    <mergeCell ref="FAL53:FBA53"/>
    <mergeCell ref="FPV53:FQK53"/>
    <mergeCell ref="FQL53:FRA53"/>
    <mergeCell ref="FRB53:FRQ53"/>
    <mergeCell ref="FRR53:FSG53"/>
    <mergeCell ref="FSH53:FSW53"/>
    <mergeCell ref="FSX53:FTM53"/>
    <mergeCell ref="FMD53:FMS53"/>
    <mergeCell ref="FMT53:FNI53"/>
    <mergeCell ref="FNJ53:FNY53"/>
    <mergeCell ref="FNZ53:FOO53"/>
    <mergeCell ref="FOP53:FPE53"/>
    <mergeCell ref="FPF53:FPU53"/>
    <mergeCell ref="FIL53:FJA53"/>
    <mergeCell ref="FJB53:FJQ53"/>
    <mergeCell ref="FJR53:FKG53"/>
    <mergeCell ref="FKH53:FKW53"/>
    <mergeCell ref="FKX53:FLM53"/>
    <mergeCell ref="FLN53:FMC53"/>
    <mergeCell ref="GAX53:GBM53"/>
    <mergeCell ref="GBN53:GCC53"/>
    <mergeCell ref="GCD53:GCS53"/>
    <mergeCell ref="GCT53:GDI53"/>
    <mergeCell ref="GDJ53:GDY53"/>
    <mergeCell ref="GDZ53:GEO53"/>
    <mergeCell ref="FXF53:FXU53"/>
    <mergeCell ref="FXV53:FYK53"/>
    <mergeCell ref="FYL53:FZA53"/>
    <mergeCell ref="FZB53:FZQ53"/>
    <mergeCell ref="FZR53:GAG53"/>
    <mergeCell ref="GAH53:GAW53"/>
    <mergeCell ref="FTN53:FUC53"/>
    <mergeCell ref="FUD53:FUS53"/>
    <mergeCell ref="FUT53:FVI53"/>
    <mergeCell ref="FVJ53:FVY53"/>
    <mergeCell ref="FVZ53:FWO53"/>
    <mergeCell ref="FWP53:FXE53"/>
    <mergeCell ref="GLZ53:GMO53"/>
    <mergeCell ref="GMP53:GNE53"/>
    <mergeCell ref="GNF53:GNU53"/>
    <mergeCell ref="GNV53:GOK53"/>
    <mergeCell ref="GOL53:GPA53"/>
    <mergeCell ref="GPB53:GPQ53"/>
    <mergeCell ref="GIH53:GIW53"/>
    <mergeCell ref="GIX53:GJM53"/>
    <mergeCell ref="GJN53:GKC53"/>
    <mergeCell ref="GKD53:GKS53"/>
    <mergeCell ref="GKT53:GLI53"/>
    <mergeCell ref="GLJ53:GLY53"/>
    <mergeCell ref="GEP53:GFE53"/>
    <mergeCell ref="GFF53:GFU53"/>
    <mergeCell ref="GFV53:GGK53"/>
    <mergeCell ref="GGL53:GHA53"/>
    <mergeCell ref="GHB53:GHQ53"/>
    <mergeCell ref="GHR53:GIG53"/>
    <mergeCell ref="GXB53:GXQ53"/>
    <mergeCell ref="GXR53:GYG53"/>
    <mergeCell ref="GYH53:GYW53"/>
    <mergeCell ref="GYX53:GZM53"/>
    <mergeCell ref="GZN53:HAC53"/>
    <mergeCell ref="HAD53:HAS53"/>
    <mergeCell ref="GTJ53:GTY53"/>
    <mergeCell ref="GTZ53:GUO53"/>
    <mergeCell ref="GUP53:GVE53"/>
    <mergeCell ref="GVF53:GVU53"/>
    <mergeCell ref="GVV53:GWK53"/>
    <mergeCell ref="GWL53:GXA53"/>
    <mergeCell ref="GPR53:GQG53"/>
    <mergeCell ref="GQH53:GQW53"/>
    <mergeCell ref="GQX53:GRM53"/>
    <mergeCell ref="GRN53:GSC53"/>
    <mergeCell ref="GSD53:GSS53"/>
    <mergeCell ref="GST53:GTI53"/>
    <mergeCell ref="HID53:HIS53"/>
    <mergeCell ref="HIT53:HJI53"/>
    <mergeCell ref="HJJ53:HJY53"/>
    <mergeCell ref="HJZ53:HKO53"/>
    <mergeCell ref="HKP53:HLE53"/>
    <mergeCell ref="HLF53:HLU53"/>
    <mergeCell ref="HEL53:HFA53"/>
    <mergeCell ref="HFB53:HFQ53"/>
    <mergeCell ref="HFR53:HGG53"/>
    <mergeCell ref="HGH53:HGW53"/>
    <mergeCell ref="HGX53:HHM53"/>
    <mergeCell ref="HHN53:HIC53"/>
    <mergeCell ref="HAT53:HBI53"/>
    <mergeCell ref="HBJ53:HBY53"/>
    <mergeCell ref="HBZ53:HCO53"/>
    <mergeCell ref="HCP53:HDE53"/>
    <mergeCell ref="HDF53:HDU53"/>
    <mergeCell ref="HDV53:HEK53"/>
    <mergeCell ref="HTF53:HTU53"/>
    <mergeCell ref="HTV53:HUK53"/>
    <mergeCell ref="HUL53:HVA53"/>
    <mergeCell ref="HVB53:HVQ53"/>
    <mergeCell ref="HVR53:HWG53"/>
    <mergeCell ref="HWH53:HWW53"/>
    <mergeCell ref="HPN53:HQC53"/>
    <mergeCell ref="HQD53:HQS53"/>
    <mergeCell ref="HQT53:HRI53"/>
    <mergeCell ref="HRJ53:HRY53"/>
    <mergeCell ref="HRZ53:HSO53"/>
    <mergeCell ref="HSP53:HTE53"/>
    <mergeCell ref="HLV53:HMK53"/>
    <mergeCell ref="HML53:HNA53"/>
    <mergeCell ref="HNB53:HNQ53"/>
    <mergeCell ref="HNR53:HOG53"/>
    <mergeCell ref="HOH53:HOW53"/>
    <mergeCell ref="HOX53:HPM53"/>
    <mergeCell ref="IEH53:IEW53"/>
    <mergeCell ref="IEX53:IFM53"/>
    <mergeCell ref="IFN53:IGC53"/>
    <mergeCell ref="IGD53:IGS53"/>
    <mergeCell ref="IGT53:IHI53"/>
    <mergeCell ref="IHJ53:IHY53"/>
    <mergeCell ref="IAP53:IBE53"/>
    <mergeCell ref="IBF53:IBU53"/>
    <mergeCell ref="IBV53:ICK53"/>
    <mergeCell ref="ICL53:IDA53"/>
    <mergeCell ref="IDB53:IDQ53"/>
    <mergeCell ref="IDR53:IEG53"/>
    <mergeCell ref="HWX53:HXM53"/>
    <mergeCell ref="HXN53:HYC53"/>
    <mergeCell ref="HYD53:HYS53"/>
    <mergeCell ref="HYT53:HZI53"/>
    <mergeCell ref="HZJ53:HZY53"/>
    <mergeCell ref="HZZ53:IAO53"/>
    <mergeCell ref="IPJ53:IPY53"/>
    <mergeCell ref="IPZ53:IQO53"/>
    <mergeCell ref="IQP53:IRE53"/>
    <mergeCell ref="IRF53:IRU53"/>
    <mergeCell ref="IRV53:ISK53"/>
    <mergeCell ref="ISL53:ITA53"/>
    <mergeCell ref="ILR53:IMG53"/>
    <mergeCell ref="IMH53:IMW53"/>
    <mergeCell ref="IMX53:INM53"/>
    <mergeCell ref="INN53:IOC53"/>
    <mergeCell ref="IOD53:IOS53"/>
    <mergeCell ref="IOT53:IPI53"/>
    <mergeCell ref="IHZ53:IIO53"/>
    <mergeCell ref="IIP53:IJE53"/>
    <mergeCell ref="IJF53:IJU53"/>
    <mergeCell ref="IJV53:IKK53"/>
    <mergeCell ref="IKL53:ILA53"/>
    <mergeCell ref="ILB53:ILQ53"/>
    <mergeCell ref="JAL53:JBA53"/>
    <mergeCell ref="JBB53:JBQ53"/>
    <mergeCell ref="JBR53:JCG53"/>
    <mergeCell ref="JCH53:JCW53"/>
    <mergeCell ref="JCX53:JDM53"/>
    <mergeCell ref="JDN53:JEC53"/>
    <mergeCell ref="IWT53:IXI53"/>
    <mergeCell ref="IXJ53:IXY53"/>
    <mergeCell ref="IXZ53:IYO53"/>
    <mergeCell ref="IYP53:IZE53"/>
    <mergeCell ref="IZF53:IZU53"/>
    <mergeCell ref="IZV53:JAK53"/>
    <mergeCell ref="ITB53:ITQ53"/>
    <mergeCell ref="ITR53:IUG53"/>
    <mergeCell ref="IUH53:IUW53"/>
    <mergeCell ref="IUX53:IVM53"/>
    <mergeCell ref="IVN53:IWC53"/>
    <mergeCell ref="IWD53:IWS53"/>
    <mergeCell ref="JLN53:JMC53"/>
    <mergeCell ref="JMD53:JMS53"/>
    <mergeCell ref="JMT53:JNI53"/>
    <mergeCell ref="JNJ53:JNY53"/>
    <mergeCell ref="JNZ53:JOO53"/>
    <mergeCell ref="JOP53:JPE53"/>
    <mergeCell ref="JHV53:JIK53"/>
    <mergeCell ref="JIL53:JJA53"/>
    <mergeCell ref="JJB53:JJQ53"/>
    <mergeCell ref="JJR53:JKG53"/>
    <mergeCell ref="JKH53:JKW53"/>
    <mergeCell ref="JKX53:JLM53"/>
    <mergeCell ref="JED53:JES53"/>
    <mergeCell ref="JET53:JFI53"/>
    <mergeCell ref="JFJ53:JFY53"/>
    <mergeCell ref="JFZ53:JGO53"/>
    <mergeCell ref="JGP53:JHE53"/>
    <mergeCell ref="JHF53:JHU53"/>
    <mergeCell ref="JWP53:JXE53"/>
    <mergeCell ref="JXF53:JXU53"/>
    <mergeCell ref="JXV53:JYK53"/>
    <mergeCell ref="JYL53:JZA53"/>
    <mergeCell ref="JZB53:JZQ53"/>
    <mergeCell ref="JZR53:KAG53"/>
    <mergeCell ref="JSX53:JTM53"/>
    <mergeCell ref="JTN53:JUC53"/>
    <mergeCell ref="JUD53:JUS53"/>
    <mergeCell ref="JUT53:JVI53"/>
    <mergeCell ref="JVJ53:JVY53"/>
    <mergeCell ref="JVZ53:JWO53"/>
    <mergeCell ref="JPF53:JPU53"/>
    <mergeCell ref="JPV53:JQK53"/>
    <mergeCell ref="JQL53:JRA53"/>
    <mergeCell ref="JRB53:JRQ53"/>
    <mergeCell ref="JRR53:JSG53"/>
    <mergeCell ref="JSH53:JSW53"/>
    <mergeCell ref="KHR53:KIG53"/>
    <mergeCell ref="KIH53:KIW53"/>
    <mergeCell ref="KIX53:KJM53"/>
    <mergeCell ref="KJN53:KKC53"/>
    <mergeCell ref="KKD53:KKS53"/>
    <mergeCell ref="KKT53:KLI53"/>
    <mergeCell ref="KDZ53:KEO53"/>
    <mergeCell ref="KEP53:KFE53"/>
    <mergeCell ref="KFF53:KFU53"/>
    <mergeCell ref="KFV53:KGK53"/>
    <mergeCell ref="KGL53:KHA53"/>
    <mergeCell ref="KHB53:KHQ53"/>
    <mergeCell ref="KAH53:KAW53"/>
    <mergeCell ref="KAX53:KBM53"/>
    <mergeCell ref="KBN53:KCC53"/>
    <mergeCell ref="KCD53:KCS53"/>
    <mergeCell ref="KCT53:KDI53"/>
    <mergeCell ref="KDJ53:KDY53"/>
    <mergeCell ref="KST53:KTI53"/>
    <mergeCell ref="KTJ53:KTY53"/>
    <mergeCell ref="KTZ53:KUO53"/>
    <mergeCell ref="KUP53:KVE53"/>
    <mergeCell ref="KVF53:KVU53"/>
    <mergeCell ref="KVV53:KWK53"/>
    <mergeCell ref="KPB53:KPQ53"/>
    <mergeCell ref="KPR53:KQG53"/>
    <mergeCell ref="KQH53:KQW53"/>
    <mergeCell ref="KQX53:KRM53"/>
    <mergeCell ref="KRN53:KSC53"/>
    <mergeCell ref="KSD53:KSS53"/>
    <mergeCell ref="KLJ53:KLY53"/>
    <mergeCell ref="KLZ53:KMO53"/>
    <mergeCell ref="KMP53:KNE53"/>
    <mergeCell ref="KNF53:KNU53"/>
    <mergeCell ref="KNV53:KOK53"/>
    <mergeCell ref="KOL53:KPA53"/>
    <mergeCell ref="LDV53:LEK53"/>
    <mergeCell ref="LEL53:LFA53"/>
    <mergeCell ref="LFB53:LFQ53"/>
    <mergeCell ref="LFR53:LGG53"/>
    <mergeCell ref="LGH53:LGW53"/>
    <mergeCell ref="LGX53:LHM53"/>
    <mergeCell ref="LAD53:LAS53"/>
    <mergeCell ref="LAT53:LBI53"/>
    <mergeCell ref="LBJ53:LBY53"/>
    <mergeCell ref="LBZ53:LCO53"/>
    <mergeCell ref="LCP53:LDE53"/>
    <mergeCell ref="LDF53:LDU53"/>
    <mergeCell ref="KWL53:KXA53"/>
    <mergeCell ref="KXB53:KXQ53"/>
    <mergeCell ref="KXR53:KYG53"/>
    <mergeCell ref="KYH53:KYW53"/>
    <mergeCell ref="KYX53:KZM53"/>
    <mergeCell ref="KZN53:LAC53"/>
    <mergeCell ref="LOX53:LPM53"/>
    <mergeCell ref="LPN53:LQC53"/>
    <mergeCell ref="LQD53:LQS53"/>
    <mergeCell ref="LQT53:LRI53"/>
    <mergeCell ref="LRJ53:LRY53"/>
    <mergeCell ref="LRZ53:LSO53"/>
    <mergeCell ref="LLF53:LLU53"/>
    <mergeCell ref="LLV53:LMK53"/>
    <mergeCell ref="LML53:LNA53"/>
    <mergeCell ref="LNB53:LNQ53"/>
    <mergeCell ref="LNR53:LOG53"/>
    <mergeCell ref="LOH53:LOW53"/>
    <mergeCell ref="LHN53:LIC53"/>
    <mergeCell ref="LID53:LIS53"/>
    <mergeCell ref="LIT53:LJI53"/>
    <mergeCell ref="LJJ53:LJY53"/>
    <mergeCell ref="LJZ53:LKO53"/>
    <mergeCell ref="LKP53:LLE53"/>
    <mergeCell ref="LZZ53:MAO53"/>
    <mergeCell ref="MAP53:MBE53"/>
    <mergeCell ref="MBF53:MBU53"/>
    <mergeCell ref="MBV53:MCK53"/>
    <mergeCell ref="MCL53:MDA53"/>
    <mergeCell ref="MDB53:MDQ53"/>
    <mergeCell ref="LWH53:LWW53"/>
    <mergeCell ref="LWX53:LXM53"/>
    <mergeCell ref="LXN53:LYC53"/>
    <mergeCell ref="LYD53:LYS53"/>
    <mergeCell ref="LYT53:LZI53"/>
    <mergeCell ref="LZJ53:LZY53"/>
    <mergeCell ref="LSP53:LTE53"/>
    <mergeCell ref="LTF53:LTU53"/>
    <mergeCell ref="LTV53:LUK53"/>
    <mergeCell ref="LUL53:LVA53"/>
    <mergeCell ref="LVB53:LVQ53"/>
    <mergeCell ref="LVR53:LWG53"/>
    <mergeCell ref="MLB53:MLQ53"/>
    <mergeCell ref="MLR53:MMG53"/>
    <mergeCell ref="MMH53:MMW53"/>
    <mergeCell ref="MMX53:MNM53"/>
    <mergeCell ref="MNN53:MOC53"/>
    <mergeCell ref="MOD53:MOS53"/>
    <mergeCell ref="MHJ53:MHY53"/>
    <mergeCell ref="MHZ53:MIO53"/>
    <mergeCell ref="MIP53:MJE53"/>
    <mergeCell ref="MJF53:MJU53"/>
    <mergeCell ref="MJV53:MKK53"/>
    <mergeCell ref="MKL53:MLA53"/>
    <mergeCell ref="MDR53:MEG53"/>
    <mergeCell ref="MEH53:MEW53"/>
    <mergeCell ref="MEX53:MFM53"/>
    <mergeCell ref="MFN53:MGC53"/>
    <mergeCell ref="MGD53:MGS53"/>
    <mergeCell ref="MGT53:MHI53"/>
    <mergeCell ref="MWD53:MWS53"/>
    <mergeCell ref="MWT53:MXI53"/>
    <mergeCell ref="MXJ53:MXY53"/>
    <mergeCell ref="MXZ53:MYO53"/>
    <mergeCell ref="MYP53:MZE53"/>
    <mergeCell ref="MZF53:MZU53"/>
    <mergeCell ref="MSL53:MTA53"/>
    <mergeCell ref="MTB53:MTQ53"/>
    <mergeCell ref="MTR53:MUG53"/>
    <mergeCell ref="MUH53:MUW53"/>
    <mergeCell ref="MUX53:MVM53"/>
    <mergeCell ref="MVN53:MWC53"/>
    <mergeCell ref="MOT53:MPI53"/>
    <mergeCell ref="MPJ53:MPY53"/>
    <mergeCell ref="MPZ53:MQO53"/>
    <mergeCell ref="MQP53:MRE53"/>
    <mergeCell ref="MRF53:MRU53"/>
    <mergeCell ref="MRV53:MSK53"/>
    <mergeCell ref="NHF53:NHU53"/>
    <mergeCell ref="NHV53:NIK53"/>
    <mergeCell ref="NIL53:NJA53"/>
    <mergeCell ref="NJB53:NJQ53"/>
    <mergeCell ref="NJR53:NKG53"/>
    <mergeCell ref="NKH53:NKW53"/>
    <mergeCell ref="NDN53:NEC53"/>
    <mergeCell ref="NED53:NES53"/>
    <mergeCell ref="NET53:NFI53"/>
    <mergeCell ref="NFJ53:NFY53"/>
    <mergeCell ref="NFZ53:NGO53"/>
    <mergeCell ref="NGP53:NHE53"/>
    <mergeCell ref="MZV53:NAK53"/>
    <mergeCell ref="NAL53:NBA53"/>
    <mergeCell ref="NBB53:NBQ53"/>
    <mergeCell ref="NBR53:NCG53"/>
    <mergeCell ref="NCH53:NCW53"/>
    <mergeCell ref="NCX53:NDM53"/>
    <mergeCell ref="NSH53:NSW53"/>
    <mergeCell ref="NSX53:NTM53"/>
    <mergeCell ref="NTN53:NUC53"/>
    <mergeCell ref="NUD53:NUS53"/>
    <mergeCell ref="NUT53:NVI53"/>
    <mergeCell ref="NVJ53:NVY53"/>
    <mergeCell ref="NOP53:NPE53"/>
    <mergeCell ref="NPF53:NPU53"/>
    <mergeCell ref="NPV53:NQK53"/>
    <mergeCell ref="NQL53:NRA53"/>
    <mergeCell ref="NRB53:NRQ53"/>
    <mergeCell ref="NRR53:NSG53"/>
    <mergeCell ref="NKX53:NLM53"/>
    <mergeCell ref="NLN53:NMC53"/>
    <mergeCell ref="NMD53:NMS53"/>
    <mergeCell ref="NMT53:NNI53"/>
    <mergeCell ref="NNJ53:NNY53"/>
    <mergeCell ref="NNZ53:NOO53"/>
    <mergeCell ref="ODJ53:ODY53"/>
    <mergeCell ref="ODZ53:OEO53"/>
    <mergeCell ref="OEP53:OFE53"/>
    <mergeCell ref="OFF53:OFU53"/>
    <mergeCell ref="OFV53:OGK53"/>
    <mergeCell ref="OGL53:OHA53"/>
    <mergeCell ref="NZR53:OAG53"/>
    <mergeCell ref="OAH53:OAW53"/>
    <mergeCell ref="OAX53:OBM53"/>
    <mergeCell ref="OBN53:OCC53"/>
    <mergeCell ref="OCD53:OCS53"/>
    <mergeCell ref="OCT53:ODI53"/>
    <mergeCell ref="NVZ53:NWO53"/>
    <mergeCell ref="NWP53:NXE53"/>
    <mergeCell ref="NXF53:NXU53"/>
    <mergeCell ref="NXV53:NYK53"/>
    <mergeCell ref="NYL53:NZA53"/>
    <mergeCell ref="NZB53:NZQ53"/>
    <mergeCell ref="OOL53:OPA53"/>
    <mergeCell ref="OPB53:OPQ53"/>
    <mergeCell ref="OPR53:OQG53"/>
    <mergeCell ref="OQH53:OQW53"/>
    <mergeCell ref="OQX53:ORM53"/>
    <mergeCell ref="ORN53:OSC53"/>
    <mergeCell ref="OKT53:OLI53"/>
    <mergeCell ref="OLJ53:OLY53"/>
    <mergeCell ref="OLZ53:OMO53"/>
    <mergeCell ref="OMP53:ONE53"/>
    <mergeCell ref="ONF53:ONU53"/>
    <mergeCell ref="ONV53:OOK53"/>
    <mergeCell ref="OHB53:OHQ53"/>
    <mergeCell ref="OHR53:OIG53"/>
    <mergeCell ref="OIH53:OIW53"/>
    <mergeCell ref="OIX53:OJM53"/>
    <mergeCell ref="OJN53:OKC53"/>
    <mergeCell ref="OKD53:OKS53"/>
    <mergeCell ref="OZN53:PAC53"/>
    <mergeCell ref="PAD53:PAS53"/>
    <mergeCell ref="PAT53:PBI53"/>
    <mergeCell ref="PBJ53:PBY53"/>
    <mergeCell ref="PBZ53:PCO53"/>
    <mergeCell ref="PCP53:PDE53"/>
    <mergeCell ref="OVV53:OWK53"/>
    <mergeCell ref="OWL53:OXA53"/>
    <mergeCell ref="OXB53:OXQ53"/>
    <mergeCell ref="OXR53:OYG53"/>
    <mergeCell ref="OYH53:OYW53"/>
    <mergeCell ref="OYX53:OZM53"/>
    <mergeCell ref="OSD53:OSS53"/>
    <mergeCell ref="OST53:OTI53"/>
    <mergeCell ref="OTJ53:OTY53"/>
    <mergeCell ref="OTZ53:OUO53"/>
    <mergeCell ref="OUP53:OVE53"/>
    <mergeCell ref="OVF53:OVU53"/>
    <mergeCell ref="PKP53:PLE53"/>
    <mergeCell ref="PLF53:PLU53"/>
    <mergeCell ref="PLV53:PMK53"/>
    <mergeCell ref="PML53:PNA53"/>
    <mergeCell ref="PNB53:PNQ53"/>
    <mergeCell ref="PNR53:POG53"/>
    <mergeCell ref="PGX53:PHM53"/>
    <mergeCell ref="PHN53:PIC53"/>
    <mergeCell ref="PID53:PIS53"/>
    <mergeCell ref="PIT53:PJI53"/>
    <mergeCell ref="PJJ53:PJY53"/>
    <mergeCell ref="PJZ53:PKO53"/>
    <mergeCell ref="PDF53:PDU53"/>
    <mergeCell ref="PDV53:PEK53"/>
    <mergeCell ref="PEL53:PFA53"/>
    <mergeCell ref="PFB53:PFQ53"/>
    <mergeCell ref="PFR53:PGG53"/>
    <mergeCell ref="PGH53:PGW53"/>
    <mergeCell ref="PVR53:PWG53"/>
    <mergeCell ref="PWH53:PWW53"/>
    <mergeCell ref="PWX53:PXM53"/>
    <mergeCell ref="PXN53:PYC53"/>
    <mergeCell ref="PYD53:PYS53"/>
    <mergeCell ref="PYT53:PZI53"/>
    <mergeCell ref="PRZ53:PSO53"/>
    <mergeCell ref="PSP53:PTE53"/>
    <mergeCell ref="PTF53:PTU53"/>
    <mergeCell ref="PTV53:PUK53"/>
    <mergeCell ref="PUL53:PVA53"/>
    <mergeCell ref="PVB53:PVQ53"/>
    <mergeCell ref="POH53:POW53"/>
    <mergeCell ref="POX53:PPM53"/>
    <mergeCell ref="PPN53:PQC53"/>
    <mergeCell ref="PQD53:PQS53"/>
    <mergeCell ref="PQT53:PRI53"/>
    <mergeCell ref="PRJ53:PRY53"/>
    <mergeCell ref="QGT53:QHI53"/>
    <mergeCell ref="QHJ53:QHY53"/>
    <mergeCell ref="QHZ53:QIO53"/>
    <mergeCell ref="QIP53:QJE53"/>
    <mergeCell ref="QJF53:QJU53"/>
    <mergeCell ref="QJV53:QKK53"/>
    <mergeCell ref="QDB53:QDQ53"/>
    <mergeCell ref="QDR53:QEG53"/>
    <mergeCell ref="QEH53:QEW53"/>
    <mergeCell ref="QEX53:QFM53"/>
    <mergeCell ref="QFN53:QGC53"/>
    <mergeCell ref="QGD53:QGS53"/>
    <mergeCell ref="PZJ53:PZY53"/>
    <mergeCell ref="PZZ53:QAO53"/>
    <mergeCell ref="QAP53:QBE53"/>
    <mergeCell ref="QBF53:QBU53"/>
    <mergeCell ref="QBV53:QCK53"/>
    <mergeCell ref="QCL53:QDA53"/>
    <mergeCell ref="QRV53:QSK53"/>
    <mergeCell ref="QSL53:QTA53"/>
    <mergeCell ref="QTB53:QTQ53"/>
    <mergeCell ref="QTR53:QUG53"/>
    <mergeCell ref="QUH53:QUW53"/>
    <mergeCell ref="QUX53:QVM53"/>
    <mergeCell ref="QOD53:QOS53"/>
    <mergeCell ref="QOT53:QPI53"/>
    <mergeCell ref="QPJ53:QPY53"/>
    <mergeCell ref="QPZ53:QQO53"/>
    <mergeCell ref="QQP53:QRE53"/>
    <mergeCell ref="QRF53:QRU53"/>
    <mergeCell ref="QKL53:QLA53"/>
    <mergeCell ref="QLB53:QLQ53"/>
    <mergeCell ref="QLR53:QMG53"/>
    <mergeCell ref="QMH53:QMW53"/>
    <mergeCell ref="QMX53:QNM53"/>
    <mergeCell ref="QNN53:QOC53"/>
    <mergeCell ref="RCX53:RDM53"/>
    <mergeCell ref="RDN53:REC53"/>
    <mergeCell ref="RED53:RES53"/>
    <mergeCell ref="RET53:RFI53"/>
    <mergeCell ref="RFJ53:RFY53"/>
    <mergeCell ref="RFZ53:RGO53"/>
    <mergeCell ref="QZF53:QZU53"/>
    <mergeCell ref="QZV53:RAK53"/>
    <mergeCell ref="RAL53:RBA53"/>
    <mergeCell ref="RBB53:RBQ53"/>
    <mergeCell ref="RBR53:RCG53"/>
    <mergeCell ref="RCH53:RCW53"/>
    <mergeCell ref="QVN53:QWC53"/>
    <mergeCell ref="QWD53:QWS53"/>
    <mergeCell ref="QWT53:QXI53"/>
    <mergeCell ref="QXJ53:QXY53"/>
    <mergeCell ref="QXZ53:QYO53"/>
    <mergeCell ref="QYP53:QZE53"/>
    <mergeCell ref="RNZ53:ROO53"/>
    <mergeCell ref="ROP53:RPE53"/>
    <mergeCell ref="RPF53:RPU53"/>
    <mergeCell ref="RPV53:RQK53"/>
    <mergeCell ref="RQL53:RRA53"/>
    <mergeCell ref="RRB53:RRQ53"/>
    <mergeCell ref="RKH53:RKW53"/>
    <mergeCell ref="RKX53:RLM53"/>
    <mergeCell ref="RLN53:RMC53"/>
    <mergeCell ref="RMD53:RMS53"/>
    <mergeCell ref="RMT53:RNI53"/>
    <mergeCell ref="RNJ53:RNY53"/>
    <mergeCell ref="RGP53:RHE53"/>
    <mergeCell ref="RHF53:RHU53"/>
    <mergeCell ref="RHV53:RIK53"/>
    <mergeCell ref="RIL53:RJA53"/>
    <mergeCell ref="RJB53:RJQ53"/>
    <mergeCell ref="RJR53:RKG53"/>
    <mergeCell ref="RZB53:RZQ53"/>
    <mergeCell ref="RZR53:SAG53"/>
    <mergeCell ref="SAH53:SAW53"/>
    <mergeCell ref="SAX53:SBM53"/>
    <mergeCell ref="SBN53:SCC53"/>
    <mergeCell ref="SCD53:SCS53"/>
    <mergeCell ref="RVJ53:RVY53"/>
    <mergeCell ref="RVZ53:RWO53"/>
    <mergeCell ref="RWP53:RXE53"/>
    <mergeCell ref="RXF53:RXU53"/>
    <mergeCell ref="RXV53:RYK53"/>
    <mergeCell ref="RYL53:RZA53"/>
    <mergeCell ref="RRR53:RSG53"/>
    <mergeCell ref="RSH53:RSW53"/>
    <mergeCell ref="RSX53:RTM53"/>
    <mergeCell ref="RTN53:RUC53"/>
    <mergeCell ref="RUD53:RUS53"/>
    <mergeCell ref="RUT53:RVI53"/>
    <mergeCell ref="SKD53:SKS53"/>
    <mergeCell ref="SKT53:SLI53"/>
    <mergeCell ref="SLJ53:SLY53"/>
    <mergeCell ref="SLZ53:SMO53"/>
    <mergeCell ref="SMP53:SNE53"/>
    <mergeCell ref="SNF53:SNU53"/>
    <mergeCell ref="SGL53:SHA53"/>
    <mergeCell ref="SHB53:SHQ53"/>
    <mergeCell ref="SHR53:SIG53"/>
    <mergeCell ref="SIH53:SIW53"/>
    <mergeCell ref="SIX53:SJM53"/>
    <mergeCell ref="SJN53:SKC53"/>
    <mergeCell ref="SCT53:SDI53"/>
    <mergeCell ref="SDJ53:SDY53"/>
    <mergeCell ref="SDZ53:SEO53"/>
    <mergeCell ref="SEP53:SFE53"/>
    <mergeCell ref="SFF53:SFU53"/>
    <mergeCell ref="SFV53:SGK53"/>
    <mergeCell ref="SVF53:SVU53"/>
    <mergeCell ref="SVV53:SWK53"/>
    <mergeCell ref="SWL53:SXA53"/>
    <mergeCell ref="SXB53:SXQ53"/>
    <mergeCell ref="SXR53:SYG53"/>
    <mergeCell ref="SYH53:SYW53"/>
    <mergeCell ref="SRN53:SSC53"/>
    <mergeCell ref="SSD53:SSS53"/>
    <mergeCell ref="SST53:STI53"/>
    <mergeCell ref="STJ53:STY53"/>
    <mergeCell ref="STZ53:SUO53"/>
    <mergeCell ref="SUP53:SVE53"/>
    <mergeCell ref="SNV53:SOK53"/>
    <mergeCell ref="SOL53:SPA53"/>
    <mergeCell ref="SPB53:SPQ53"/>
    <mergeCell ref="SPR53:SQG53"/>
    <mergeCell ref="SQH53:SQW53"/>
    <mergeCell ref="SQX53:SRM53"/>
    <mergeCell ref="TGH53:TGW53"/>
    <mergeCell ref="TGX53:THM53"/>
    <mergeCell ref="THN53:TIC53"/>
    <mergeCell ref="TID53:TIS53"/>
    <mergeCell ref="TIT53:TJI53"/>
    <mergeCell ref="TJJ53:TJY53"/>
    <mergeCell ref="TCP53:TDE53"/>
    <mergeCell ref="TDF53:TDU53"/>
    <mergeCell ref="TDV53:TEK53"/>
    <mergeCell ref="TEL53:TFA53"/>
    <mergeCell ref="TFB53:TFQ53"/>
    <mergeCell ref="TFR53:TGG53"/>
    <mergeCell ref="SYX53:SZM53"/>
    <mergeCell ref="SZN53:TAC53"/>
    <mergeCell ref="TAD53:TAS53"/>
    <mergeCell ref="TAT53:TBI53"/>
    <mergeCell ref="TBJ53:TBY53"/>
    <mergeCell ref="TBZ53:TCO53"/>
    <mergeCell ref="TRJ53:TRY53"/>
    <mergeCell ref="TRZ53:TSO53"/>
    <mergeCell ref="TSP53:TTE53"/>
    <mergeCell ref="TTF53:TTU53"/>
    <mergeCell ref="TTV53:TUK53"/>
    <mergeCell ref="TUL53:TVA53"/>
    <mergeCell ref="TNR53:TOG53"/>
    <mergeCell ref="TOH53:TOW53"/>
    <mergeCell ref="TOX53:TPM53"/>
    <mergeCell ref="TPN53:TQC53"/>
    <mergeCell ref="TQD53:TQS53"/>
    <mergeCell ref="TQT53:TRI53"/>
    <mergeCell ref="TJZ53:TKO53"/>
    <mergeCell ref="TKP53:TLE53"/>
    <mergeCell ref="TLF53:TLU53"/>
    <mergeCell ref="TLV53:TMK53"/>
    <mergeCell ref="TML53:TNA53"/>
    <mergeCell ref="TNB53:TNQ53"/>
    <mergeCell ref="UCL53:UDA53"/>
    <mergeCell ref="UDB53:UDQ53"/>
    <mergeCell ref="UDR53:UEG53"/>
    <mergeCell ref="UEH53:UEW53"/>
    <mergeCell ref="UEX53:UFM53"/>
    <mergeCell ref="UFN53:UGC53"/>
    <mergeCell ref="TYT53:TZI53"/>
    <mergeCell ref="TZJ53:TZY53"/>
    <mergeCell ref="TZZ53:UAO53"/>
    <mergeCell ref="UAP53:UBE53"/>
    <mergeCell ref="UBF53:UBU53"/>
    <mergeCell ref="UBV53:UCK53"/>
    <mergeCell ref="TVB53:TVQ53"/>
    <mergeCell ref="TVR53:TWG53"/>
    <mergeCell ref="TWH53:TWW53"/>
    <mergeCell ref="TWX53:TXM53"/>
    <mergeCell ref="TXN53:TYC53"/>
    <mergeCell ref="TYD53:TYS53"/>
    <mergeCell ref="UNN53:UOC53"/>
    <mergeCell ref="UOD53:UOS53"/>
    <mergeCell ref="UOT53:UPI53"/>
    <mergeCell ref="UPJ53:UPY53"/>
    <mergeCell ref="UPZ53:UQO53"/>
    <mergeCell ref="UQP53:URE53"/>
    <mergeCell ref="UJV53:UKK53"/>
    <mergeCell ref="UKL53:ULA53"/>
    <mergeCell ref="ULB53:ULQ53"/>
    <mergeCell ref="ULR53:UMG53"/>
    <mergeCell ref="UMH53:UMW53"/>
    <mergeCell ref="UMX53:UNM53"/>
    <mergeCell ref="UGD53:UGS53"/>
    <mergeCell ref="UGT53:UHI53"/>
    <mergeCell ref="UHJ53:UHY53"/>
    <mergeCell ref="UHZ53:UIO53"/>
    <mergeCell ref="UIP53:UJE53"/>
    <mergeCell ref="UJF53:UJU53"/>
    <mergeCell ref="UYP53:UZE53"/>
    <mergeCell ref="UZF53:UZU53"/>
    <mergeCell ref="UZV53:VAK53"/>
    <mergeCell ref="VAL53:VBA53"/>
    <mergeCell ref="VBB53:VBQ53"/>
    <mergeCell ref="VBR53:VCG53"/>
    <mergeCell ref="UUX53:UVM53"/>
    <mergeCell ref="UVN53:UWC53"/>
    <mergeCell ref="UWD53:UWS53"/>
    <mergeCell ref="UWT53:UXI53"/>
    <mergeCell ref="UXJ53:UXY53"/>
    <mergeCell ref="UXZ53:UYO53"/>
    <mergeCell ref="URF53:URU53"/>
    <mergeCell ref="URV53:USK53"/>
    <mergeCell ref="USL53:UTA53"/>
    <mergeCell ref="UTB53:UTQ53"/>
    <mergeCell ref="UTR53:UUG53"/>
    <mergeCell ref="UUH53:UUW53"/>
    <mergeCell ref="VJR53:VKG53"/>
    <mergeCell ref="VKH53:VKW53"/>
    <mergeCell ref="VKX53:VLM53"/>
    <mergeCell ref="VLN53:VMC53"/>
    <mergeCell ref="VMD53:VMS53"/>
    <mergeCell ref="VMT53:VNI53"/>
    <mergeCell ref="VFZ53:VGO53"/>
    <mergeCell ref="VGP53:VHE53"/>
    <mergeCell ref="VHF53:VHU53"/>
    <mergeCell ref="VHV53:VIK53"/>
    <mergeCell ref="VIL53:VJA53"/>
    <mergeCell ref="VJB53:VJQ53"/>
    <mergeCell ref="VCH53:VCW53"/>
    <mergeCell ref="VCX53:VDM53"/>
    <mergeCell ref="VDN53:VEC53"/>
    <mergeCell ref="VED53:VES53"/>
    <mergeCell ref="VET53:VFI53"/>
    <mergeCell ref="VFJ53:VFY53"/>
    <mergeCell ref="VUT53:VVI53"/>
    <mergeCell ref="VVJ53:VVY53"/>
    <mergeCell ref="VVZ53:VWO53"/>
    <mergeCell ref="VWP53:VXE53"/>
    <mergeCell ref="VXF53:VXU53"/>
    <mergeCell ref="VXV53:VYK53"/>
    <mergeCell ref="VRB53:VRQ53"/>
    <mergeCell ref="VRR53:VSG53"/>
    <mergeCell ref="VSH53:VSW53"/>
    <mergeCell ref="VSX53:VTM53"/>
    <mergeCell ref="VTN53:VUC53"/>
    <mergeCell ref="VUD53:VUS53"/>
    <mergeCell ref="VNJ53:VNY53"/>
    <mergeCell ref="VNZ53:VOO53"/>
    <mergeCell ref="VOP53:VPE53"/>
    <mergeCell ref="VPF53:VPU53"/>
    <mergeCell ref="VPV53:VQK53"/>
    <mergeCell ref="VQL53:VRA53"/>
    <mergeCell ref="WFV53:WGK53"/>
    <mergeCell ref="WGL53:WHA53"/>
    <mergeCell ref="WHB53:WHQ53"/>
    <mergeCell ref="WHR53:WIG53"/>
    <mergeCell ref="WIH53:WIW53"/>
    <mergeCell ref="WIX53:WJM53"/>
    <mergeCell ref="WCD53:WCS53"/>
    <mergeCell ref="WCT53:WDI53"/>
    <mergeCell ref="WDJ53:WDY53"/>
    <mergeCell ref="WDZ53:WEO53"/>
    <mergeCell ref="WEP53:WFE53"/>
    <mergeCell ref="WFF53:WFU53"/>
    <mergeCell ref="VYL53:VZA53"/>
    <mergeCell ref="VZB53:VZQ53"/>
    <mergeCell ref="VZR53:WAG53"/>
    <mergeCell ref="WAH53:WAW53"/>
    <mergeCell ref="WAX53:WBM53"/>
    <mergeCell ref="WBN53:WCC53"/>
    <mergeCell ref="WXB53:WXQ53"/>
    <mergeCell ref="WXR53:WYG53"/>
    <mergeCell ref="WQX53:WRM53"/>
    <mergeCell ref="WRN53:WSC53"/>
    <mergeCell ref="WSD53:WSS53"/>
    <mergeCell ref="WST53:WTI53"/>
    <mergeCell ref="WTJ53:WTY53"/>
    <mergeCell ref="WTZ53:WUO53"/>
    <mergeCell ref="WNF53:WNU53"/>
    <mergeCell ref="WNV53:WOK53"/>
    <mergeCell ref="WOL53:WPA53"/>
    <mergeCell ref="WPB53:WPQ53"/>
    <mergeCell ref="WPR53:WQG53"/>
    <mergeCell ref="WQH53:WQW53"/>
    <mergeCell ref="WJN53:WKC53"/>
    <mergeCell ref="WKD53:WKS53"/>
    <mergeCell ref="WKT53:WLI53"/>
    <mergeCell ref="WLJ53:WLY53"/>
    <mergeCell ref="WLZ53:WMO53"/>
    <mergeCell ref="WMP53:WNE53"/>
    <mergeCell ref="GH54:GW54"/>
    <mergeCell ref="GX54:HM54"/>
    <mergeCell ref="HN54:IC54"/>
    <mergeCell ref="ID54:IS54"/>
    <mergeCell ref="IT54:JI54"/>
    <mergeCell ref="JJ54:JY54"/>
    <mergeCell ref="CP54:DE54"/>
    <mergeCell ref="DF54:DU54"/>
    <mergeCell ref="DV54:EK54"/>
    <mergeCell ref="EL54:FA54"/>
    <mergeCell ref="FB54:FQ54"/>
    <mergeCell ref="FR54:GG54"/>
    <mergeCell ref="XBZ53:XCO53"/>
    <mergeCell ref="XCP53:XDE53"/>
    <mergeCell ref="XDF53:XDU53"/>
    <mergeCell ref="XDV53:XEK53"/>
    <mergeCell ref="A54:E54"/>
    <mergeCell ref="N54:AC54"/>
    <mergeCell ref="AD54:AS54"/>
    <mergeCell ref="AT54:BI54"/>
    <mergeCell ref="BJ54:BY54"/>
    <mergeCell ref="BZ54:CO54"/>
    <mergeCell ref="WYH53:WYW53"/>
    <mergeCell ref="WYX53:WZM53"/>
    <mergeCell ref="WZN53:XAC53"/>
    <mergeCell ref="XAD53:XAS53"/>
    <mergeCell ref="XAT53:XBI53"/>
    <mergeCell ref="XBJ53:XBY53"/>
    <mergeCell ref="WUP53:WVE53"/>
    <mergeCell ref="WVF53:WVU53"/>
    <mergeCell ref="WVV53:WWK53"/>
    <mergeCell ref="WWL53:WXA53"/>
    <mergeCell ref="RJ54:RY54"/>
    <mergeCell ref="RZ54:SO54"/>
    <mergeCell ref="SP54:TE54"/>
    <mergeCell ref="TF54:TU54"/>
    <mergeCell ref="TV54:UK54"/>
    <mergeCell ref="UL54:VA54"/>
    <mergeCell ref="NR54:OG54"/>
    <mergeCell ref="OH54:OW54"/>
    <mergeCell ref="OX54:PM54"/>
    <mergeCell ref="PN54:QC54"/>
    <mergeCell ref="QD54:QS54"/>
    <mergeCell ref="QT54:RI54"/>
    <mergeCell ref="JZ54:KO54"/>
    <mergeCell ref="KP54:LE54"/>
    <mergeCell ref="LF54:LU54"/>
    <mergeCell ref="LV54:MK54"/>
    <mergeCell ref="ML54:NA54"/>
    <mergeCell ref="NB54:NQ54"/>
    <mergeCell ref="ACL54:ADA54"/>
    <mergeCell ref="ADB54:ADQ54"/>
    <mergeCell ref="ADR54:AEG54"/>
    <mergeCell ref="AEH54:AEW54"/>
    <mergeCell ref="AEX54:AFM54"/>
    <mergeCell ref="AFN54:AGC54"/>
    <mergeCell ref="YT54:ZI54"/>
    <mergeCell ref="ZJ54:ZY54"/>
    <mergeCell ref="ZZ54:AAO54"/>
    <mergeCell ref="AAP54:ABE54"/>
    <mergeCell ref="ABF54:ABU54"/>
    <mergeCell ref="ABV54:ACK54"/>
    <mergeCell ref="VB54:VQ54"/>
    <mergeCell ref="VR54:WG54"/>
    <mergeCell ref="WH54:WW54"/>
    <mergeCell ref="WX54:XM54"/>
    <mergeCell ref="XN54:YC54"/>
    <mergeCell ref="YD54:YS54"/>
    <mergeCell ref="ANN54:AOC54"/>
    <mergeCell ref="AOD54:AOS54"/>
    <mergeCell ref="AOT54:API54"/>
    <mergeCell ref="APJ54:APY54"/>
    <mergeCell ref="APZ54:AQO54"/>
    <mergeCell ref="AQP54:ARE54"/>
    <mergeCell ref="AJV54:AKK54"/>
    <mergeCell ref="AKL54:ALA54"/>
    <mergeCell ref="ALB54:ALQ54"/>
    <mergeCell ref="ALR54:AMG54"/>
    <mergeCell ref="AMH54:AMW54"/>
    <mergeCell ref="AMX54:ANM54"/>
    <mergeCell ref="AGD54:AGS54"/>
    <mergeCell ref="AGT54:AHI54"/>
    <mergeCell ref="AHJ54:AHY54"/>
    <mergeCell ref="AHZ54:AIO54"/>
    <mergeCell ref="AIP54:AJE54"/>
    <mergeCell ref="AJF54:AJU54"/>
    <mergeCell ref="AYP54:AZE54"/>
    <mergeCell ref="AZF54:AZU54"/>
    <mergeCell ref="AZV54:BAK54"/>
    <mergeCell ref="BAL54:BBA54"/>
    <mergeCell ref="BBB54:BBQ54"/>
    <mergeCell ref="BBR54:BCG54"/>
    <mergeCell ref="AUX54:AVM54"/>
    <mergeCell ref="AVN54:AWC54"/>
    <mergeCell ref="AWD54:AWS54"/>
    <mergeCell ref="AWT54:AXI54"/>
    <mergeCell ref="AXJ54:AXY54"/>
    <mergeCell ref="AXZ54:AYO54"/>
    <mergeCell ref="ARF54:ARU54"/>
    <mergeCell ref="ARV54:ASK54"/>
    <mergeCell ref="ASL54:ATA54"/>
    <mergeCell ref="ATB54:ATQ54"/>
    <mergeCell ref="ATR54:AUG54"/>
    <mergeCell ref="AUH54:AUW54"/>
    <mergeCell ref="BJR54:BKG54"/>
    <mergeCell ref="BKH54:BKW54"/>
    <mergeCell ref="BKX54:BLM54"/>
    <mergeCell ref="BLN54:BMC54"/>
    <mergeCell ref="BMD54:BMS54"/>
    <mergeCell ref="BMT54:BNI54"/>
    <mergeCell ref="BFZ54:BGO54"/>
    <mergeCell ref="BGP54:BHE54"/>
    <mergeCell ref="BHF54:BHU54"/>
    <mergeCell ref="BHV54:BIK54"/>
    <mergeCell ref="BIL54:BJA54"/>
    <mergeCell ref="BJB54:BJQ54"/>
    <mergeCell ref="BCH54:BCW54"/>
    <mergeCell ref="BCX54:BDM54"/>
    <mergeCell ref="BDN54:BEC54"/>
    <mergeCell ref="BED54:BES54"/>
    <mergeCell ref="BET54:BFI54"/>
    <mergeCell ref="BFJ54:BFY54"/>
    <mergeCell ref="BUT54:BVI54"/>
    <mergeCell ref="BVJ54:BVY54"/>
    <mergeCell ref="BVZ54:BWO54"/>
    <mergeCell ref="BWP54:BXE54"/>
    <mergeCell ref="BXF54:BXU54"/>
    <mergeCell ref="BXV54:BYK54"/>
    <mergeCell ref="BRB54:BRQ54"/>
    <mergeCell ref="BRR54:BSG54"/>
    <mergeCell ref="BSH54:BSW54"/>
    <mergeCell ref="BSX54:BTM54"/>
    <mergeCell ref="BTN54:BUC54"/>
    <mergeCell ref="BUD54:BUS54"/>
    <mergeCell ref="BNJ54:BNY54"/>
    <mergeCell ref="BNZ54:BOO54"/>
    <mergeCell ref="BOP54:BPE54"/>
    <mergeCell ref="BPF54:BPU54"/>
    <mergeCell ref="BPV54:BQK54"/>
    <mergeCell ref="BQL54:BRA54"/>
    <mergeCell ref="CFV54:CGK54"/>
    <mergeCell ref="CGL54:CHA54"/>
    <mergeCell ref="CHB54:CHQ54"/>
    <mergeCell ref="CHR54:CIG54"/>
    <mergeCell ref="CIH54:CIW54"/>
    <mergeCell ref="CIX54:CJM54"/>
    <mergeCell ref="CCD54:CCS54"/>
    <mergeCell ref="CCT54:CDI54"/>
    <mergeCell ref="CDJ54:CDY54"/>
    <mergeCell ref="CDZ54:CEO54"/>
    <mergeCell ref="CEP54:CFE54"/>
    <mergeCell ref="CFF54:CFU54"/>
    <mergeCell ref="BYL54:BZA54"/>
    <mergeCell ref="BZB54:BZQ54"/>
    <mergeCell ref="BZR54:CAG54"/>
    <mergeCell ref="CAH54:CAW54"/>
    <mergeCell ref="CAX54:CBM54"/>
    <mergeCell ref="CBN54:CCC54"/>
    <mergeCell ref="CQX54:CRM54"/>
    <mergeCell ref="CRN54:CSC54"/>
    <mergeCell ref="CSD54:CSS54"/>
    <mergeCell ref="CST54:CTI54"/>
    <mergeCell ref="CTJ54:CTY54"/>
    <mergeCell ref="CTZ54:CUO54"/>
    <mergeCell ref="CNF54:CNU54"/>
    <mergeCell ref="CNV54:COK54"/>
    <mergeCell ref="COL54:CPA54"/>
    <mergeCell ref="CPB54:CPQ54"/>
    <mergeCell ref="CPR54:CQG54"/>
    <mergeCell ref="CQH54:CQW54"/>
    <mergeCell ref="CJN54:CKC54"/>
    <mergeCell ref="CKD54:CKS54"/>
    <mergeCell ref="CKT54:CLI54"/>
    <mergeCell ref="CLJ54:CLY54"/>
    <mergeCell ref="CLZ54:CMO54"/>
    <mergeCell ref="CMP54:CNE54"/>
    <mergeCell ref="DBZ54:DCO54"/>
    <mergeCell ref="DCP54:DDE54"/>
    <mergeCell ref="DDF54:DDU54"/>
    <mergeCell ref="DDV54:DEK54"/>
    <mergeCell ref="DEL54:DFA54"/>
    <mergeCell ref="DFB54:DFQ54"/>
    <mergeCell ref="CYH54:CYW54"/>
    <mergeCell ref="CYX54:CZM54"/>
    <mergeCell ref="CZN54:DAC54"/>
    <mergeCell ref="DAD54:DAS54"/>
    <mergeCell ref="DAT54:DBI54"/>
    <mergeCell ref="DBJ54:DBY54"/>
    <mergeCell ref="CUP54:CVE54"/>
    <mergeCell ref="CVF54:CVU54"/>
    <mergeCell ref="CVV54:CWK54"/>
    <mergeCell ref="CWL54:CXA54"/>
    <mergeCell ref="CXB54:CXQ54"/>
    <mergeCell ref="CXR54:CYG54"/>
    <mergeCell ref="DNB54:DNQ54"/>
    <mergeCell ref="DNR54:DOG54"/>
    <mergeCell ref="DOH54:DOW54"/>
    <mergeCell ref="DOX54:DPM54"/>
    <mergeCell ref="DPN54:DQC54"/>
    <mergeCell ref="DQD54:DQS54"/>
    <mergeCell ref="DJJ54:DJY54"/>
    <mergeCell ref="DJZ54:DKO54"/>
    <mergeCell ref="DKP54:DLE54"/>
    <mergeCell ref="DLF54:DLU54"/>
    <mergeCell ref="DLV54:DMK54"/>
    <mergeCell ref="DML54:DNA54"/>
    <mergeCell ref="DFR54:DGG54"/>
    <mergeCell ref="DGH54:DGW54"/>
    <mergeCell ref="DGX54:DHM54"/>
    <mergeCell ref="DHN54:DIC54"/>
    <mergeCell ref="DID54:DIS54"/>
    <mergeCell ref="DIT54:DJI54"/>
    <mergeCell ref="DYD54:DYS54"/>
    <mergeCell ref="DYT54:DZI54"/>
    <mergeCell ref="DZJ54:DZY54"/>
    <mergeCell ref="DZZ54:EAO54"/>
    <mergeCell ref="EAP54:EBE54"/>
    <mergeCell ref="EBF54:EBU54"/>
    <mergeCell ref="DUL54:DVA54"/>
    <mergeCell ref="DVB54:DVQ54"/>
    <mergeCell ref="DVR54:DWG54"/>
    <mergeCell ref="DWH54:DWW54"/>
    <mergeCell ref="DWX54:DXM54"/>
    <mergeCell ref="DXN54:DYC54"/>
    <mergeCell ref="DQT54:DRI54"/>
    <mergeCell ref="DRJ54:DRY54"/>
    <mergeCell ref="DRZ54:DSO54"/>
    <mergeCell ref="DSP54:DTE54"/>
    <mergeCell ref="DTF54:DTU54"/>
    <mergeCell ref="DTV54:DUK54"/>
    <mergeCell ref="EJF54:EJU54"/>
    <mergeCell ref="EJV54:EKK54"/>
    <mergeCell ref="EKL54:ELA54"/>
    <mergeCell ref="ELB54:ELQ54"/>
    <mergeCell ref="ELR54:EMG54"/>
    <mergeCell ref="EMH54:EMW54"/>
    <mergeCell ref="EFN54:EGC54"/>
    <mergeCell ref="EGD54:EGS54"/>
    <mergeCell ref="EGT54:EHI54"/>
    <mergeCell ref="EHJ54:EHY54"/>
    <mergeCell ref="EHZ54:EIO54"/>
    <mergeCell ref="EIP54:EJE54"/>
    <mergeCell ref="EBV54:ECK54"/>
    <mergeCell ref="ECL54:EDA54"/>
    <mergeCell ref="EDB54:EDQ54"/>
    <mergeCell ref="EDR54:EEG54"/>
    <mergeCell ref="EEH54:EEW54"/>
    <mergeCell ref="EEX54:EFM54"/>
    <mergeCell ref="EUH54:EUW54"/>
    <mergeCell ref="EUX54:EVM54"/>
    <mergeCell ref="EVN54:EWC54"/>
    <mergeCell ref="EWD54:EWS54"/>
    <mergeCell ref="EWT54:EXI54"/>
    <mergeCell ref="EXJ54:EXY54"/>
    <mergeCell ref="EQP54:ERE54"/>
    <mergeCell ref="ERF54:ERU54"/>
    <mergeCell ref="ERV54:ESK54"/>
    <mergeCell ref="ESL54:ETA54"/>
    <mergeCell ref="ETB54:ETQ54"/>
    <mergeCell ref="ETR54:EUG54"/>
    <mergeCell ref="EMX54:ENM54"/>
    <mergeCell ref="ENN54:EOC54"/>
    <mergeCell ref="EOD54:EOS54"/>
    <mergeCell ref="EOT54:EPI54"/>
    <mergeCell ref="EPJ54:EPY54"/>
    <mergeCell ref="EPZ54:EQO54"/>
    <mergeCell ref="FFJ54:FFY54"/>
    <mergeCell ref="FFZ54:FGO54"/>
    <mergeCell ref="FGP54:FHE54"/>
    <mergeCell ref="FHF54:FHU54"/>
    <mergeCell ref="FHV54:FIK54"/>
    <mergeCell ref="FIL54:FJA54"/>
    <mergeCell ref="FBR54:FCG54"/>
    <mergeCell ref="FCH54:FCW54"/>
    <mergeCell ref="FCX54:FDM54"/>
    <mergeCell ref="FDN54:FEC54"/>
    <mergeCell ref="FED54:FES54"/>
    <mergeCell ref="FET54:FFI54"/>
    <mergeCell ref="EXZ54:EYO54"/>
    <mergeCell ref="EYP54:EZE54"/>
    <mergeCell ref="EZF54:EZU54"/>
    <mergeCell ref="EZV54:FAK54"/>
    <mergeCell ref="FAL54:FBA54"/>
    <mergeCell ref="FBB54:FBQ54"/>
    <mergeCell ref="FQL54:FRA54"/>
    <mergeCell ref="FRB54:FRQ54"/>
    <mergeCell ref="FRR54:FSG54"/>
    <mergeCell ref="FSH54:FSW54"/>
    <mergeCell ref="FSX54:FTM54"/>
    <mergeCell ref="FTN54:FUC54"/>
    <mergeCell ref="FMT54:FNI54"/>
    <mergeCell ref="FNJ54:FNY54"/>
    <mergeCell ref="FNZ54:FOO54"/>
    <mergeCell ref="FOP54:FPE54"/>
    <mergeCell ref="FPF54:FPU54"/>
    <mergeCell ref="FPV54:FQK54"/>
    <mergeCell ref="FJB54:FJQ54"/>
    <mergeCell ref="FJR54:FKG54"/>
    <mergeCell ref="FKH54:FKW54"/>
    <mergeCell ref="FKX54:FLM54"/>
    <mergeCell ref="FLN54:FMC54"/>
    <mergeCell ref="FMD54:FMS54"/>
    <mergeCell ref="GBN54:GCC54"/>
    <mergeCell ref="GCD54:GCS54"/>
    <mergeCell ref="GCT54:GDI54"/>
    <mergeCell ref="GDJ54:GDY54"/>
    <mergeCell ref="GDZ54:GEO54"/>
    <mergeCell ref="GEP54:GFE54"/>
    <mergeCell ref="FXV54:FYK54"/>
    <mergeCell ref="FYL54:FZA54"/>
    <mergeCell ref="FZB54:FZQ54"/>
    <mergeCell ref="FZR54:GAG54"/>
    <mergeCell ref="GAH54:GAW54"/>
    <mergeCell ref="GAX54:GBM54"/>
    <mergeCell ref="FUD54:FUS54"/>
    <mergeCell ref="FUT54:FVI54"/>
    <mergeCell ref="FVJ54:FVY54"/>
    <mergeCell ref="FVZ54:FWO54"/>
    <mergeCell ref="FWP54:FXE54"/>
    <mergeCell ref="FXF54:FXU54"/>
    <mergeCell ref="GMP54:GNE54"/>
    <mergeCell ref="GNF54:GNU54"/>
    <mergeCell ref="GNV54:GOK54"/>
    <mergeCell ref="GOL54:GPA54"/>
    <mergeCell ref="GPB54:GPQ54"/>
    <mergeCell ref="GPR54:GQG54"/>
    <mergeCell ref="GIX54:GJM54"/>
    <mergeCell ref="GJN54:GKC54"/>
    <mergeCell ref="GKD54:GKS54"/>
    <mergeCell ref="GKT54:GLI54"/>
    <mergeCell ref="GLJ54:GLY54"/>
    <mergeCell ref="GLZ54:GMO54"/>
    <mergeCell ref="GFF54:GFU54"/>
    <mergeCell ref="GFV54:GGK54"/>
    <mergeCell ref="GGL54:GHA54"/>
    <mergeCell ref="GHB54:GHQ54"/>
    <mergeCell ref="GHR54:GIG54"/>
    <mergeCell ref="GIH54:GIW54"/>
    <mergeCell ref="GXR54:GYG54"/>
    <mergeCell ref="GYH54:GYW54"/>
    <mergeCell ref="GYX54:GZM54"/>
    <mergeCell ref="GZN54:HAC54"/>
    <mergeCell ref="HAD54:HAS54"/>
    <mergeCell ref="HAT54:HBI54"/>
    <mergeCell ref="GTZ54:GUO54"/>
    <mergeCell ref="GUP54:GVE54"/>
    <mergeCell ref="GVF54:GVU54"/>
    <mergeCell ref="GVV54:GWK54"/>
    <mergeCell ref="GWL54:GXA54"/>
    <mergeCell ref="GXB54:GXQ54"/>
    <mergeCell ref="GQH54:GQW54"/>
    <mergeCell ref="GQX54:GRM54"/>
    <mergeCell ref="GRN54:GSC54"/>
    <mergeCell ref="GSD54:GSS54"/>
    <mergeCell ref="GST54:GTI54"/>
    <mergeCell ref="GTJ54:GTY54"/>
    <mergeCell ref="HIT54:HJI54"/>
    <mergeCell ref="HJJ54:HJY54"/>
    <mergeCell ref="HJZ54:HKO54"/>
    <mergeCell ref="HKP54:HLE54"/>
    <mergeCell ref="HLF54:HLU54"/>
    <mergeCell ref="HLV54:HMK54"/>
    <mergeCell ref="HFB54:HFQ54"/>
    <mergeCell ref="HFR54:HGG54"/>
    <mergeCell ref="HGH54:HGW54"/>
    <mergeCell ref="HGX54:HHM54"/>
    <mergeCell ref="HHN54:HIC54"/>
    <mergeCell ref="HID54:HIS54"/>
    <mergeCell ref="HBJ54:HBY54"/>
    <mergeCell ref="HBZ54:HCO54"/>
    <mergeCell ref="HCP54:HDE54"/>
    <mergeCell ref="HDF54:HDU54"/>
    <mergeCell ref="HDV54:HEK54"/>
    <mergeCell ref="HEL54:HFA54"/>
    <mergeCell ref="HTV54:HUK54"/>
    <mergeCell ref="HUL54:HVA54"/>
    <mergeCell ref="HVB54:HVQ54"/>
    <mergeCell ref="HVR54:HWG54"/>
    <mergeCell ref="HWH54:HWW54"/>
    <mergeCell ref="HWX54:HXM54"/>
    <mergeCell ref="HQD54:HQS54"/>
    <mergeCell ref="HQT54:HRI54"/>
    <mergeCell ref="HRJ54:HRY54"/>
    <mergeCell ref="HRZ54:HSO54"/>
    <mergeCell ref="HSP54:HTE54"/>
    <mergeCell ref="HTF54:HTU54"/>
    <mergeCell ref="HML54:HNA54"/>
    <mergeCell ref="HNB54:HNQ54"/>
    <mergeCell ref="HNR54:HOG54"/>
    <mergeCell ref="HOH54:HOW54"/>
    <mergeCell ref="HOX54:HPM54"/>
    <mergeCell ref="HPN54:HQC54"/>
    <mergeCell ref="IEX54:IFM54"/>
    <mergeCell ref="IFN54:IGC54"/>
    <mergeCell ref="IGD54:IGS54"/>
    <mergeCell ref="IGT54:IHI54"/>
    <mergeCell ref="IHJ54:IHY54"/>
    <mergeCell ref="IHZ54:IIO54"/>
    <mergeCell ref="IBF54:IBU54"/>
    <mergeCell ref="IBV54:ICK54"/>
    <mergeCell ref="ICL54:IDA54"/>
    <mergeCell ref="IDB54:IDQ54"/>
    <mergeCell ref="IDR54:IEG54"/>
    <mergeCell ref="IEH54:IEW54"/>
    <mergeCell ref="HXN54:HYC54"/>
    <mergeCell ref="HYD54:HYS54"/>
    <mergeCell ref="HYT54:HZI54"/>
    <mergeCell ref="HZJ54:HZY54"/>
    <mergeCell ref="HZZ54:IAO54"/>
    <mergeCell ref="IAP54:IBE54"/>
    <mergeCell ref="IPZ54:IQO54"/>
    <mergeCell ref="IQP54:IRE54"/>
    <mergeCell ref="IRF54:IRU54"/>
    <mergeCell ref="IRV54:ISK54"/>
    <mergeCell ref="ISL54:ITA54"/>
    <mergeCell ref="ITB54:ITQ54"/>
    <mergeCell ref="IMH54:IMW54"/>
    <mergeCell ref="IMX54:INM54"/>
    <mergeCell ref="INN54:IOC54"/>
    <mergeCell ref="IOD54:IOS54"/>
    <mergeCell ref="IOT54:IPI54"/>
    <mergeCell ref="IPJ54:IPY54"/>
    <mergeCell ref="IIP54:IJE54"/>
    <mergeCell ref="IJF54:IJU54"/>
    <mergeCell ref="IJV54:IKK54"/>
    <mergeCell ref="IKL54:ILA54"/>
    <mergeCell ref="ILB54:ILQ54"/>
    <mergeCell ref="ILR54:IMG54"/>
    <mergeCell ref="JBB54:JBQ54"/>
    <mergeCell ref="JBR54:JCG54"/>
    <mergeCell ref="JCH54:JCW54"/>
    <mergeCell ref="JCX54:JDM54"/>
    <mergeCell ref="JDN54:JEC54"/>
    <mergeCell ref="JED54:JES54"/>
    <mergeCell ref="IXJ54:IXY54"/>
    <mergeCell ref="IXZ54:IYO54"/>
    <mergeCell ref="IYP54:IZE54"/>
    <mergeCell ref="IZF54:IZU54"/>
    <mergeCell ref="IZV54:JAK54"/>
    <mergeCell ref="JAL54:JBA54"/>
    <mergeCell ref="ITR54:IUG54"/>
    <mergeCell ref="IUH54:IUW54"/>
    <mergeCell ref="IUX54:IVM54"/>
    <mergeCell ref="IVN54:IWC54"/>
    <mergeCell ref="IWD54:IWS54"/>
    <mergeCell ref="IWT54:IXI54"/>
    <mergeCell ref="JMD54:JMS54"/>
    <mergeCell ref="JMT54:JNI54"/>
    <mergeCell ref="JNJ54:JNY54"/>
    <mergeCell ref="JNZ54:JOO54"/>
    <mergeCell ref="JOP54:JPE54"/>
    <mergeCell ref="JPF54:JPU54"/>
    <mergeCell ref="JIL54:JJA54"/>
    <mergeCell ref="JJB54:JJQ54"/>
    <mergeCell ref="JJR54:JKG54"/>
    <mergeCell ref="JKH54:JKW54"/>
    <mergeCell ref="JKX54:JLM54"/>
    <mergeCell ref="JLN54:JMC54"/>
    <mergeCell ref="JET54:JFI54"/>
    <mergeCell ref="JFJ54:JFY54"/>
    <mergeCell ref="JFZ54:JGO54"/>
    <mergeCell ref="JGP54:JHE54"/>
    <mergeCell ref="JHF54:JHU54"/>
    <mergeCell ref="JHV54:JIK54"/>
    <mergeCell ref="JXF54:JXU54"/>
    <mergeCell ref="JXV54:JYK54"/>
    <mergeCell ref="JYL54:JZA54"/>
    <mergeCell ref="JZB54:JZQ54"/>
    <mergeCell ref="JZR54:KAG54"/>
    <mergeCell ref="KAH54:KAW54"/>
    <mergeCell ref="JTN54:JUC54"/>
    <mergeCell ref="JUD54:JUS54"/>
    <mergeCell ref="JUT54:JVI54"/>
    <mergeCell ref="JVJ54:JVY54"/>
    <mergeCell ref="JVZ54:JWO54"/>
    <mergeCell ref="JWP54:JXE54"/>
    <mergeCell ref="JPV54:JQK54"/>
    <mergeCell ref="JQL54:JRA54"/>
    <mergeCell ref="JRB54:JRQ54"/>
    <mergeCell ref="JRR54:JSG54"/>
    <mergeCell ref="JSH54:JSW54"/>
    <mergeCell ref="JSX54:JTM54"/>
    <mergeCell ref="KIH54:KIW54"/>
    <mergeCell ref="KIX54:KJM54"/>
    <mergeCell ref="KJN54:KKC54"/>
    <mergeCell ref="KKD54:KKS54"/>
    <mergeCell ref="KKT54:KLI54"/>
    <mergeCell ref="KLJ54:KLY54"/>
    <mergeCell ref="KEP54:KFE54"/>
    <mergeCell ref="KFF54:KFU54"/>
    <mergeCell ref="KFV54:KGK54"/>
    <mergeCell ref="KGL54:KHA54"/>
    <mergeCell ref="KHB54:KHQ54"/>
    <mergeCell ref="KHR54:KIG54"/>
    <mergeCell ref="KAX54:KBM54"/>
    <mergeCell ref="KBN54:KCC54"/>
    <mergeCell ref="KCD54:KCS54"/>
    <mergeCell ref="KCT54:KDI54"/>
    <mergeCell ref="KDJ54:KDY54"/>
    <mergeCell ref="KDZ54:KEO54"/>
    <mergeCell ref="KTJ54:KTY54"/>
    <mergeCell ref="KTZ54:KUO54"/>
    <mergeCell ref="KUP54:KVE54"/>
    <mergeCell ref="KVF54:KVU54"/>
    <mergeCell ref="KVV54:KWK54"/>
    <mergeCell ref="KWL54:KXA54"/>
    <mergeCell ref="KPR54:KQG54"/>
    <mergeCell ref="KQH54:KQW54"/>
    <mergeCell ref="KQX54:KRM54"/>
    <mergeCell ref="KRN54:KSC54"/>
    <mergeCell ref="KSD54:KSS54"/>
    <mergeCell ref="KST54:KTI54"/>
    <mergeCell ref="KLZ54:KMO54"/>
    <mergeCell ref="KMP54:KNE54"/>
    <mergeCell ref="KNF54:KNU54"/>
    <mergeCell ref="KNV54:KOK54"/>
    <mergeCell ref="KOL54:KPA54"/>
    <mergeCell ref="KPB54:KPQ54"/>
    <mergeCell ref="LEL54:LFA54"/>
    <mergeCell ref="LFB54:LFQ54"/>
    <mergeCell ref="LFR54:LGG54"/>
    <mergeCell ref="LGH54:LGW54"/>
    <mergeCell ref="LGX54:LHM54"/>
    <mergeCell ref="LHN54:LIC54"/>
    <mergeCell ref="LAT54:LBI54"/>
    <mergeCell ref="LBJ54:LBY54"/>
    <mergeCell ref="LBZ54:LCO54"/>
    <mergeCell ref="LCP54:LDE54"/>
    <mergeCell ref="LDF54:LDU54"/>
    <mergeCell ref="LDV54:LEK54"/>
    <mergeCell ref="KXB54:KXQ54"/>
    <mergeCell ref="KXR54:KYG54"/>
    <mergeCell ref="KYH54:KYW54"/>
    <mergeCell ref="KYX54:KZM54"/>
    <mergeCell ref="KZN54:LAC54"/>
    <mergeCell ref="LAD54:LAS54"/>
    <mergeCell ref="LPN54:LQC54"/>
    <mergeCell ref="LQD54:LQS54"/>
    <mergeCell ref="LQT54:LRI54"/>
    <mergeCell ref="LRJ54:LRY54"/>
    <mergeCell ref="LRZ54:LSO54"/>
    <mergeCell ref="LSP54:LTE54"/>
    <mergeCell ref="LLV54:LMK54"/>
    <mergeCell ref="LML54:LNA54"/>
    <mergeCell ref="LNB54:LNQ54"/>
    <mergeCell ref="LNR54:LOG54"/>
    <mergeCell ref="LOH54:LOW54"/>
    <mergeCell ref="LOX54:LPM54"/>
    <mergeCell ref="LID54:LIS54"/>
    <mergeCell ref="LIT54:LJI54"/>
    <mergeCell ref="LJJ54:LJY54"/>
    <mergeCell ref="LJZ54:LKO54"/>
    <mergeCell ref="LKP54:LLE54"/>
    <mergeCell ref="LLF54:LLU54"/>
    <mergeCell ref="MAP54:MBE54"/>
    <mergeCell ref="MBF54:MBU54"/>
    <mergeCell ref="MBV54:MCK54"/>
    <mergeCell ref="MCL54:MDA54"/>
    <mergeCell ref="MDB54:MDQ54"/>
    <mergeCell ref="MDR54:MEG54"/>
    <mergeCell ref="LWX54:LXM54"/>
    <mergeCell ref="LXN54:LYC54"/>
    <mergeCell ref="LYD54:LYS54"/>
    <mergeCell ref="LYT54:LZI54"/>
    <mergeCell ref="LZJ54:LZY54"/>
    <mergeCell ref="LZZ54:MAO54"/>
    <mergeCell ref="LTF54:LTU54"/>
    <mergeCell ref="LTV54:LUK54"/>
    <mergeCell ref="LUL54:LVA54"/>
    <mergeCell ref="LVB54:LVQ54"/>
    <mergeCell ref="LVR54:LWG54"/>
    <mergeCell ref="LWH54:LWW54"/>
    <mergeCell ref="MLR54:MMG54"/>
    <mergeCell ref="MMH54:MMW54"/>
    <mergeCell ref="MMX54:MNM54"/>
    <mergeCell ref="MNN54:MOC54"/>
    <mergeCell ref="MOD54:MOS54"/>
    <mergeCell ref="MOT54:MPI54"/>
    <mergeCell ref="MHZ54:MIO54"/>
    <mergeCell ref="MIP54:MJE54"/>
    <mergeCell ref="MJF54:MJU54"/>
    <mergeCell ref="MJV54:MKK54"/>
    <mergeCell ref="MKL54:MLA54"/>
    <mergeCell ref="MLB54:MLQ54"/>
    <mergeCell ref="MEH54:MEW54"/>
    <mergeCell ref="MEX54:MFM54"/>
    <mergeCell ref="MFN54:MGC54"/>
    <mergeCell ref="MGD54:MGS54"/>
    <mergeCell ref="MGT54:MHI54"/>
    <mergeCell ref="MHJ54:MHY54"/>
    <mergeCell ref="MWT54:MXI54"/>
    <mergeCell ref="MXJ54:MXY54"/>
    <mergeCell ref="MXZ54:MYO54"/>
    <mergeCell ref="MYP54:MZE54"/>
    <mergeCell ref="MZF54:MZU54"/>
    <mergeCell ref="MZV54:NAK54"/>
    <mergeCell ref="MTB54:MTQ54"/>
    <mergeCell ref="MTR54:MUG54"/>
    <mergeCell ref="MUH54:MUW54"/>
    <mergeCell ref="MUX54:MVM54"/>
    <mergeCell ref="MVN54:MWC54"/>
    <mergeCell ref="MWD54:MWS54"/>
    <mergeCell ref="MPJ54:MPY54"/>
    <mergeCell ref="MPZ54:MQO54"/>
    <mergeCell ref="MQP54:MRE54"/>
    <mergeCell ref="MRF54:MRU54"/>
    <mergeCell ref="MRV54:MSK54"/>
    <mergeCell ref="MSL54:MTA54"/>
    <mergeCell ref="NHV54:NIK54"/>
    <mergeCell ref="NIL54:NJA54"/>
    <mergeCell ref="NJB54:NJQ54"/>
    <mergeCell ref="NJR54:NKG54"/>
    <mergeCell ref="NKH54:NKW54"/>
    <mergeCell ref="NKX54:NLM54"/>
    <mergeCell ref="NED54:NES54"/>
    <mergeCell ref="NET54:NFI54"/>
    <mergeCell ref="NFJ54:NFY54"/>
    <mergeCell ref="NFZ54:NGO54"/>
    <mergeCell ref="NGP54:NHE54"/>
    <mergeCell ref="NHF54:NHU54"/>
    <mergeCell ref="NAL54:NBA54"/>
    <mergeCell ref="NBB54:NBQ54"/>
    <mergeCell ref="NBR54:NCG54"/>
    <mergeCell ref="NCH54:NCW54"/>
    <mergeCell ref="NCX54:NDM54"/>
    <mergeCell ref="NDN54:NEC54"/>
    <mergeCell ref="NSX54:NTM54"/>
    <mergeCell ref="NTN54:NUC54"/>
    <mergeCell ref="NUD54:NUS54"/>
    <mergeCell ref="NUT54:NVI54"/>
    <mergeCell ref="NVJ54:NVY54"/>
    <mergeCell ref="NVZ54:NWO54"/>
    <mergeCell ref="NPF54:NPU54"/>
    <mergeCell ref="NPV54:NQK54"/>
    <mergeCell ref="NQL54:NRA54"/>
    <mergeCell ref="NRB54:NRQ54"/>
    <mergeCell ref="NRR54:NSG54"/>
    <mergeCell ref="NSH54:NSW54"/>
    <mergeCell ref="NLN54:NMC54"/>
    <mergeCell ref="NMD54:NMS54"/>
    <mergeCell ref="NMT54:NNI54"/>
    <mergeCell ref="NNJ54:NNY54"/>
    <mergeCell ref="NNZ54:NOO54"/>
    <mergeCell ref="NOP54:NPE54"/>
    <mergeCell ref="ODZ54:OEO54"/>
    <mergeCell ref="OEP54:OFE54"/>
    <mergeCell ref="OFF54:OFU54"/>
    <mergeCell ref="OFV54:OGK54"/>
    <mergeCell ref="OGL54:OHA54"/>
    <mergeCell ref="OHB54:OHQ54"/>
    <mergeCell ref="OAH54:OAW54"/>
    <mergeCell ref="OAX54:OBM54"/>
    <mergeCell ref="OBN54:OCC54"/>
    <mergeCell ref="OCD54:OCS54"/>
    <mergeCell ref="OCT54:ODI54"/>
    <mergeCell ref="ODJ54:ODY54"/>
    <mergeCell ref="NWP54:NXE54"/>
    <mergeCell ref="NXF54:NXU54"/>
    <mergeCell ref="NXV54:NYK54"/>
    <mergeCell ref="NYL54:NZA54"/>
    <mergeCell ref="NZB54:NZQ54"/>
    <mergeCell ref="NZR54:OAG54"/>
    <mergeCell ref="OPB54:OPQ54"/>
    <mergeCell ref="OPR54:OQG54"/>
    <mergeCell ref="OQH54:OQW54"/>
    <mergeCell ref="OQX54:ORM54"/>
    <mergeCell ref="ORN54:OSC54"/>
    <mergeCell ref="OSD54:OSS54"/>
    <mergeCell ref="OLJ54:OLY54"/>
    <mergeCell ref="OLZ54:OMO54"/>
    <mergeCell ref="OMP54:ONE54"/>
    <mergeCell ref="ONF54:ONU54"/>
    <mergeCell ref="ONV54:OOK54"/>
    <mergeCell ref="OOL54:OPA54"/>
    <mergeCell ref="OHR54:OIG54"/>
    <mergeCell ref="OIH54:OIW54"/>
    <mergeCell ref="OIX54:OJM54"/>
    <mergeCell ref="OJN54:OKC54"/>
    <mergeCell ref="OKD54:OKS54"/>
    <mergeCell ref="OKT54:OLI54"/>
    <mergeCell ref="PAD54:PAS54"/>
    <mergeCell ref="PAT54:PBI54"/>
    <mergeCell ref="PBJ54:PBY54"/>
    <mergeCell ref="PBZ54:PCO54"/>
    <mergeCell ref="PCP54:PDE54"/>
    <mergeCell ref="PDF54:PDU54"/>
    <mergeCell ref="OWL54:OXA54"/>
    <mergeCell ref="OXB54:OXQ54"/>
    <mergeCell ref="OXR54:OYG54"/>
    <mergeCell ref="OYH54:OYW54"/>
    <mergeCell ref="OYX54:OZM54"/>
    <mergeCell ref="OZN54:PAC54"/>
    <mergeCell ref="OST54:OTI54"/>
    <mergeCell ref="OTJ54:OTY54"/>
    <mergeCell ref="OTZ54:OUO54"/>
    <mergeCell ref="OUP54:OVE54"/>
    <mergeCell ref="OVF54:OVU54"/>
    <mergeCell ref="OVV54:OWK54"/>
    <mergeCell ref="PLF54:PLU54"/>
    <mergeCell ref="PLV54:PMK54"/>
    <mergeCell ref="PML54:PNA54"/>
    <mergeCell ref="PNB54:PNQ54"/>
    <mergeCell ref="PNR54:POG54"/>
    <mergeCell ref="POH54:POW54"/>
    <mergeCell ref="PHN54:PIC54"/>
    <mergeCell ref="PID54:PIS54"/>
    <mergeCell ref="PIT54:PJI54"/>
    <mergeCell ref="PJJ54:PJY54"/>
    <mergeCell ref="PJZ54:PKO54"/>
    <mergeCell ref="PKP54:PLE54"/>
    <mergeCell ref="PDV54:PEK54"/>
    <mergeCell ref="PEL54:PFA54"/>
    <mergeCell ref="PFB54:PFQ54"/>
    <mergeCell ref="PFR54:PGG54"/>
    <mergeCell ref="PGH54:PGW54"/>
    <mergeCell ref="PGX54:PHM54"/>
    <mergeCell ref="PWH54:PWW54"/>
    <mergeCell ref="PWX54:PXM54"/>
    <mergeCell ref="PXN54:PYC54"/>
    <mergeCell ref="PYD54:PYS54"/>
    <mergeCell ref="PYT54:PZI54"/>
    <mergeCell ref="PZJ54:PZY54"/>
    <mergeCell ref="PSP54:PTE54"/>
    <mergeCell ref="PTF54:PTU54"/>
    <mergeCell ref="PTV54:PUK54"/>
    <mergeCell ref="PUL54:PVA54"/>
    <mergeCell ref="PVB54:PVQ54"/>
    <mergeCell ref="PVR54:PWG54"/>
    <mergeCell ref="POX54:PPM54"/>
    <mergeCell ref="PPN54:PQC54"/>
    <mergeCell ref="PQD54:PQS54"/>
    <mergeCell ref="PQT54:PRI54"/>
    <mergeCell ref="PRJ54:PRY54"/>
    <mergeCell ref="PRZ54:PSO54"/>
    <mergeCell ref="QHJ54:QHY54"/>
    <mergeCell ref="QHZ54:QIO54"/>
    <mergeCell ref="QIP54:QJE54"/>
    <mergeCell ref="QJF54:QJU54"/>
    <mergeCell ref="QJV54:QKK54"/>
    <mergeCell ref="QKL54:QLA54"/>
    <mergeCell ref="QDR54:QEG54"/>
    <mergeCell ref="QEH54:QEW54"/>
    <mergeCell ref="QEX54:QFM54"/>
    <mergeCell ref="QFN54:QGC54"/>
    <mergeCell ref="QGD54:QGS54"/>
    <mergeCell ref="QGT54:QHI54"/>
    <mergeCell ref="PZZ54:QAO54"/>
    <mergeCell ref="QAP54:QBE54"/>
    <mergeCell ref="QBF54:QBU54"/>
    <mergeCell ref="QBV54:QCK54"/>
    <mergeCell ref="QCL54:QDA54"/>
    <mergeCell ref="QDB54:QDQ54"/>
    <mergeCell ref="QSL54:QTA54"/>
    <mergeCell ref="QTB54:QTQ54"/>
    <mergeCell ref="QTR54:QUG54"/>
    <mergeCell ref="QUH54:QUW54"/>
    <mergeCell ref="QUX54:QVM54"/>
    <mergeCell ref="QVN54:QWC54"/>
    <mergeCell ref="QOT54:QPI54"/>
    <mergeCell ref="QPJ54:QPY54"/>
    <mergeCell ref="QPZ54:QQO54"/>
    <mergeCell ref="QQP54:QRE54"/>
    <mergeCell ref="QRF54:QRU54"/>
    <mergeCell ref="QRV54:QSK54"/>
    <mergeCell ref="QLB54:QLQ54"/>
    <mergeCell ref="QLR54:QMG54"/>
    <mergeCell ref="QMH54:QMW54"/>
    <mergeCell ref="QMX54:QNM54"/>
    <mergeCell ref="QNN54:QOC54"/>
    <mergeCell ref="QOD54:QOS54"/>
    <mergeCell ref="RDN54:REC54"/>
    <mergeCell ref="RED54:RES54"/>
    <mergeCell ref="RET54:RFI54"/>
    <mergeCell ref="RFJ54:RFY54"/>
    <mergeCell ref="RFZ54:RGO54"/>
    <mergeCell ref="RGP54:RHE54"/>
    <mergeCell ref="QZV54:RAK54"/>
    <mergeCell ref="RAL54:RBA54"/>
    <mergeCell ref="RBB54:RBQ54"/>
    <mergeCell ref="RBR54:RCG54"/>
    <mergeCell ref="RCH54:RCW54"/>
    <mergeCell ref="RCX54:RDM54"/>
    <mergeCell ref="QWD54:QWS54"/>
    <mergeCell ref="QWT54:QXI54"/>
    <mergeCell ref="QXJ54:QXY54"/>
    <mergeCell ref="QXZ54:QYO54"/>
    <mergeCell ref="QYP54:QZE54"/>
    <mergeCell ref="QZF54:QZU54"/>
    <mergeCell ref="ROP54:RPE54"/>
    <mergeCell ref="RPF54:RPU54"/>
    <mergeCell ref="RPV54:RQK54"/>
    <mergeCell ref="RQL54:RRA54"/>
    <mergeCell ref="RRB54:RRQ54"/>
    <mergeCell ref="RRR54:RSG54"/>
    <mergeCell ref="RKX54:RLM54"/>
    <mergeCell ref="RLN54:RMC54"/>
    <mergeCell ref="RMD54:RMS54"/>
    <mergeCell ref="RMT54:RNI54"/>
    <mergeCell ref="RNJ54:RNY54"/>
    <mergeCell ref="RNZ54:ROO54"/>
    <mergeCell ref="RHF54:RHU54"/>
    <mergeCell ref="RHV54:RIK54"/>
    <mergeCell ref="RIL54:RJA54"/>
    <mergeCell ref="RJB54:RJQ54"/>
    <mergeCell ref="RJR54:RKG54"/>
    <mergeCell ref="RKH54:RKW54"/>
    <mergeCell ref="RZR54:SAG54"/>
    <mergeCell ref="SAH54:SAW54"/>
    <mergeCell ref="SAX54:SBM54"/>
    <mergeCell ref="SBN54:SCC54"/>
    <mergeCell ref="SCD54:SCS54"/>
    <mergeCell ref="SCT54:SDI54"/>
    <mergeCell ref="RVZ54:RWO54"/>
    <mergeCell ref="RWP54:RXE54"/>
    <mergeCell ref="RXF54:RXU54"/>
    <mergeCell ref="RXV54:RYK54"/>
    <mergeCell ref="RYL54:RZA54"/>
    <mergeCell ref="RZB54:RZQ54"/>
    <mergeCell ref="RSH54:RSW54"/>
    <mergeCell ref="RSX54:RTM54"/>
    <mergeCell ref="RTN54:RUC54"/>
    <mergeCell ref="RUD54:RUS54"/>
    <mergeCell ref="RUT54:RVI54"/>
    <mergeCell ref="RVJ54:RVY54"/>
    <mergeCell ref="SKT54:SLI54"/>
    <mergeCell ref="SLJ54:SLY54"/>
    <mergeCell ref="SLZ54:SMO54"/>
    <mergeCell ref="SMP54:SNE54"/>
    <mergeCell ref="SNF54:SNU54"/>
    <mergeCell ref="SNV54:SOK54"/>
    <mergeCell ref="SHB54:SHQ54"/>
    <mergeCell ref="SHR54:SIG54"/>
    <mergeCell ref="SIH54:SIW54"/>
    <mergeCell ref="SIX54:SJM54"/>
    <mergeCell ref="SJN54:SKC54"/>
    <mergeCell ref="SKD54:SKS54"/>
    <mergeCell ref="SDJ54:SDY54"/>
    <mergeCell ref="SDZ54:SEO54"/>
    <mergeCell ref="SEP54:SFE54"/>
    <mergeCell ref="SFF54:SFU54"/>
    <mergeCell ref="SFV54:SGK54"/>
    <mergeCell ref="SGL54:SHA54"/>
    <mergeCell ref="SVV54:SWK54"/>
    <mergeCell ref="SWL54:SXA54"/>
    <mergeCell ref="SXB54:SXQ54"/>
    <mergeCell ref="SXR54:SYG54"/>
    <mergeCell ref="SYH54:SYW54"/>
    <mergeCell ref="SYX54:SZM54"/>
    <mergeCell ref="SSD54:SSS54"/>
    <mergeCell ref="SST54:STI54"/>
    <mergeCell ref="STJ54:STY54"/>
    <mergeCell ref="STZ54:SUO54"/>
    <mergeCell ref="SUP54:SVE54"/>
    <mergeCell ref="SVF54:SVU54"/>
    <mergeCell ref="SOL54:SPA54"/>
    <mergeCell ref="SPB54:SPQ54"/>
    <mergeCell ref="SPR54:SQG54"/>
    <mergeCell ref="SQH54:SQW54"/>
    <mergeCell ref="SQX54:SRM54"/>
    <mergeCell ref="SRN54:SSC54"/>
    <mergeCell ref="TGX54:THM54"/>
    <mergeCell ref="THN54:TIC54"/>
    <mergeCell ref="TID54:TIS54"/>
    <mergeCell ref="TIT54:TJI54"/>
    <mergeCell ref="TJJ54:TJY54"/>
    <mergeCell ref="TJZ54:TKO54"/>
    <mergeCell ref="TDF54:TDU54"/>
    <mergeCell ref="TDV54:TEK54"/>
    <mergeCell ref="TEL54:TFA54"/>
    <mergeCell ref="TFB54:TFQ54"/>
    <mergeCell ref="TFR54:TGG54"/>
    <mergeCell ref="TGH54:TGW54"/>
    <mergeCell ref="SZN54:TAC54"/>
    <mergeCell ref="TAD54:TAS54"/>
    <mergeCell ref="TAT54:TBI54"/>
    <mergeCell ref="TBJ54:TBY54"/>
    <mergeCell ref="TBZ54:TCO54"/>
    <mergeCell ref="TCP54:TDE54"/>
    <mergeCell ref="TRZ54:TSO54"/>
    <mergeCell ref="TSP54:TTE54"/>
    <mergeCell ref="TTF54:TTU54"/>
    <mergeCell ref="TTV54:TUK54"/>
    <mergeCell ref="TUL54:TVA54"/>
    <mergeCell ref="TVB54:TVQ54"/>
    <mergeCell ref="TOH54:TOW54"/>
    <mergeCell ref="TOX54:TPM54"/>
    <mergeCell ref="TPN54:TQC54"/>
    <mergeCell ref="TQD54:TQS54"/>
    <mergeCell ref="TQT54:TRI54"/>
    <mergeCell ref="TRJ54:TRY54"/>
    <mergeCell ref="TKP54:TLE54"/>
    <mergeCell ref="TLF54:TLU54"/>
    <mergeCell ref="TLV54:TMK54"/>
    <mergeCell ref="TML54:TNA54"/>
    <mergeCell ref="TNB54:TNQ54"/>
    <mergeCell ref="TNR54:TOG54"/>
    <mergeCell ref="UDB54:UDQ54"/>
    <mergeCell ref="UDR54:UEG54"/>
    <mergeCell ref="UEH54:UEW54"/>
    <mergeCell ref="UEX54:UFM54"/>
    <mergeCell ref="UFN54:UGC54"/>
    <mergeCell ref="UGD54:UGS54"/>
    <mergeCell ref="TZJ54:TZY54"/>
    <mergeCell ref="TZZ54:UAO54"/>
    <mergeCell ref="UAP54:UBE54"/>
    <mergeCell ref="UBF54:UBU54"/>
    <mergeCell ref="UBV54:UCK54"/>
    <mergeCell ref="UCL54:UDA54"/>
    <mergeCell ref="TVR54:TWG54"/>
    <mergeCell ref="TWH54:TWW54"/>
    <mergeCell ref="TWX54:TXM54"/>
    <mergeCell ref="TXN54:TYC54"/>
    <mergeCell ref="TYD54:TYS54"/>
    <mergeCell ref="TYT54:TZI54"/>
    <mergeCell ref="UOD54:UOS54"/>
    <mergeCell ref="UOT54:UPI54"/>
    <mergeCell ref="UPJ54:UPY54"/>
    <mergeCell ref="UPZ54:UQO54"/>
    <mergeCell ref="UQP54:URE54"/>
    <mergeCell ref="URF54:URU54"/>
    <mergeCell ref="UKL54:ULA54"/>
    <mergeCell ref="ULB54:ULQ54"/>
    <mergeCell ref="ULR54:UMG54"/>
    <mergeCell ref="UMH54:UMW54"/>
    <mergeCell ref="UMX54:UNM54"/>
    <mergeCell ref="UNN54:UOC54"/>
    <mergeCell ref="UGT54:UHI54"/>
    <mergeCell ref="UHJ54:UHY54"/>
    <mergeCell ref="UHZ54:UIO54"/>
    <mergeCell ref="UIP54:UJE54"/>
    <mergeCell ref="UJF54:UJU54"/>
    <mergeCell ref="UJV54:UKK54"/>
    <mergeCell ref="UZF54:UZU54"/>
    <mergeCell ref="UZV54:VAK54"/>
    <mergeCell ref="VAL54:VBA54"/>
    <mergeCell ref="VBB54:VBQ54"/>
    <mergeCell ref="VBR54:VCG54"/>
    <mergeCell ref="VCH54:VCW54"/>
    <mergeCell ref="UVN54:UWC54"/>
    <mergeCell ref="UWD54:UWS54"/>
    <mergeCell ref="UWT54:UXI54"/>
    <mergeCell ref="UXJ54:UXY54"/>
    <mergeCell ref="UXZ54:UYO54"/>
    <mergeCell ref="UYP54:UZE54"/>
    <mergeCell ref="URV54:USK54"/>
    <mergeCell ref="USL54:UTA54"/>
    <mergeCell ref="UTB54:UTQ54"/>
    <mergeCell ref="UTR54:UUG54"/>
    <mergeCell ref="UUH54:UUW54"/>
    <mergeCell ref="UUX54:UVM54"/>
    <mergeCell ref="VKH54:VKW54"/>
    <mergeCell ref="VKX54:VLM54"/>
    <mergeCell ref="VLN54:VMC54"/>
    <mergeCell ref="VMD54:VMS54"/>
    <mergeCell ref="VMT54:VNI54"/>
    <mergeCell ref="VNJ54:VNY54"/>
    <mergeCell ref="VGP54:VHE54"/>
    <mergeCell ref="VHF54:VHU54"/>
    <mergeCell ref="VHV54:VIK54"/>
    <mergeCell ref="VIL54:VJA54"/>
    <mergeCell ref="VJB54:VJQ54"/>
    <mergeCell ref="VJR54:VKG54"/>
    <mergeCell ref="VCX54:VDM54"/>
    <mergeCell ref="VDN54:VEC54"/>
    <mergeCell ref="VED54:VES54"/>
    <mergeCell ref="VET54:VFI54"/>
    <mergeCell ref="VFJ54:VFY54"/>
    <mergeCell ref="VFZ54:VGO54"/>
    <mergeCell ref="VVJ54:VVY54"/>
    <mergeCell ref="VVZ54:VWO54"/>
    <mergeCell ref="VWP54:VXE54"/>
    <mergeCell ref="VXF54:VXU54"/>
    <mergeCell ref="VXV54:VYK54"/>
    <mergeCell ref="VYL54:VZA54"/>
    <mergeCell ref="VRR54:VSG54"/>
    <mergeCell ref="VSH54:VSW54"/>
    <mergeCell ref="VSX54:VTM54"/>
    <mergeCell ref="VTN54:VUC54"/>
    <mergeCell ref="VUD54:VUS54"/>
    <mergeCell ref="VUT54:VVI54"/>
    <mergeCell ref="VNZ54:VOO54"/>
    <mergeCell ref="VOP54:VPE54"/>
    <mergeCell ref="VPF54:VPU54"/>
    <mergeCell ref="VPV54:VQK54"/>
    <mergeCell ref="VQL54:VRA54"/>
    <mergeCell ref="VRB54:VRQ54"/>
    <mergeCell ref="WMP54:WNE54"/>
    <mergeCell ref="WNF54:WNU54"/>
    <mergeCell ref="WGL54:WHA54"/>
    <mergeCell ref="WHB54:WHQ54"/>
    <mergeCell ref="WHR54:WIG54"/>
    <mergeCell ref="WIH54:WIW54"/>
    <mergeCell ref="WIX54:WJM54"/>
    <mergeCell ref="WJN54:WKC54"/>
    <mergeCell ref="WCT54:WDI54"/>
    <mergeCell ref="WDJ54:WDY54"/>
    <mergeCell ref="WDZ54:WEO54"/>
    <mergeCell ref="WEP54:WFE54"/>
    <mergeCell ref="WFF54:WFU54"/>
    <mergeCell ref="WFV54:WGK54"/>
    <mergeCell ref="VZB54:VZQ54"/>
    <mergeCell ref="VZR54:WAG54"/>
    <mergeCell ref="WAH54:WAW54"/>
    <mergeCell ref="WAX54:WBM54"/>
    <mergeCell ref="WBN54:WCC54"/>
    <mergeCell ref="WCD54:WCS54"/>
    <mergeCell ref="XCP54:XDE54"/>
    <mergeCell ref="XDF54:XDU54"/>
    <mergeCell ref="XDV54:XEK54"/>
    <mergeCell ref="A59:E59"/>
    <mergeCell ref="WYX54:WZM54"/>
    <mergeCell ref="WZN54:XAC54"/>
    <mergeCell ref="XAD54:XAS54"/>
    <mergeCell ref="XAT54:XBI54"/>
    <mergeCell ref="XBJ54:XBY54"/>
    <mergeCell ref="XBZ54:XCO54"/>
    <mergeCell ref="WVF54:WVU54"/>
    <mergeCell ref="WVV54:WWK54"/>
    <mergeCell ref="WWL54:WXA54"/>
    <mergeCell ref="WXB54:WXQ54"/>
    <mergeCell ref="WXR54:WYG54"/>
    <mergeCell ref="WYH54:WYW54"/>
    <mergeCell ref="WRN54:WSC54"/>
    <mergeCell ref="WSD54:WSS54"/>
    <mergeCell ref="WST54:WTI54"/>
    <mergeCell ref="WTJ54:WTY54"/>
    <mergeCell ref="WTZ54:WUO54"/>
    <mergeCell ref="WUP54:WVE54"/>
    <mergeCell ref="WNV54:WOK54"/>
    <mergeCell ref="WOL54:WPA54"/>
    <mergeCell ref="WPB54:WPQ54"/>
    <mergeCell ref="WPR54:WQG54"/>
    <mergeCell ref="WQH54:WQW54"/>
    <mergeCell ref="WQX54:WRM54"/>
    <mergeCell ref="WKD54:WKS54"/>
    <mergeCell ref="WKT54:WLI54"/>
    <mergeCell ref="WLJ54:WLY54"/>
    <mergeCell ref="WLZ54:WMO54"/>
  </mergeCells>
  <printOptions horizontalCentered="1"/>
  <pageMargins left="0" right="0" top="0.35433070866141736" bottom="0.35433070866141736" header="0.31496062992125984" footer="0.31496062992125984"/>
  <pageSetup paperSize="9" scale="80" firstPageNumber="237" orientation="portrait" useFirstPageNumber="1" verticalDpi="0" r:id="rId1"/>
  <headerFooter>
    <oddFooter>&amp;LB.E.T.B&amp;RPage - &amp;P</oddFooter>
  </headerFooter>
  <colBreaks count="1" manualBreakCount="1">
    <brk id="7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6EED-1634-4AC9-8A25-08C6B760CB9B}">
  <dimension ref="A1:ZP98"/>
  <sheetViews>
    <sheetView workbookViewId="0">
      <selection activeCell="E9" sqref="E9"/>
    </sheetView>
  </sheetViews>
  <sheetFormatPr baseColWidth="10" defaultColWidth="10.6640625" defaultRowHeight="14.4" x14ac:dyDescent="0.3"/>
  <cols>
    <col min="1" max="1" width="7" style="1" customWidth="1"/>
    <col min="2" max="2" width="42.6640625" style="1" customWidth="1"/>
    <col min="3" max="3" width="4.6640625" style="184" customWidth="1"/>
    <col min="4" max="4" width="10.5546875" style="162" customWidth="1"/>
    <col min="5" max="5" width="11.33203125" style="47" bestFit="1" customWidth="1"/>
    <col min="6" max="6" width="11.33203125" style="47" customWidth="1"/>
    <col min="7" max="7" width="15.88671875" style="171" customWidth="1"/>
    <col min="8" max="16384" width="10.6640625" style="1"/>
  </cols>
  <sheetData>
    <row r="1" spans="1:692" ht="85.5" customHeight="1" x14ac:dyDescent="0.3">
      <c r="A1" s="551"/>
      <c r="B1" s="551"/>
      <c r="C1" s="551"/>
      <c r="D1" s="551"/>
      <c r="E1" s="551"/>
      <c r="F1" s="192"/>
      <c r="G1" s="360"/>
    </row>
    <row r="2" spans="1:692" ht="57.6" x14ac:dyDescent="0.3">
      <c r="A2" s="2"/>
      <c r="B2" s="112" t="s">
        <v>7</v>
      </c>
      <c r="C2" s="113" t="s">
        <v>0</v>
      </c>
      <c r="D2" s="401" t="s">
        <v>166</v>
      </c>
      <c r="E2" s="5" t="s">
        <v>8</v>
      </c>
      <c r="F2" s="7" t="s">
        <v>175</v>
      </c>
      <c r="G2" s="179" t="s">
        <v>167</v>
      </c>
    </row>
    <row r="3" spans="1:692" x14ac:dyDescent="0.3">
      <c r="A3" s="8"/>
      <c r="B3" s="9"/>
      <c r="C3" s="204"/>
      <c r="D3" s="155"/>
      <c r="E3" s="205"/>
      <c r="F3" s="201"/>
      <c r="G3" s="165"/>
    </row>
    <row r="4" spans="1:692" ht="15.6" x14ac:dyDescent="0.3">
      <c r="A4" s="194" t="s">
        <v>457</v>
      </c>
      <c r="B4" s="14" t="s">
        <v>458</v>
      </c>
      <c r="C4" s="195"/>
      <c r="D4" s="156"/>
      <c r="E4" s="196"/>
      <c r="F4" s="201"/>
      <c r="G4" s="165"/>
      <c r="ZP4" s="19"/>
    </row>
    <row r="5" spans="1:692" ht="15.6" x14ac:dyDescent="0.3">
      <c r="A5" s="387"/>
      <c r="B5" s="347"/>
      <c r="C5" s="195"/>
      <c r="D5" s="156"/>
      <c r="E5" s="196"/>
      <c r="F5" s="201"/>
      <c r="G5" s="165"/>
      <c r="ZP5" s="19"/>
    </row>
    <row r="6" spans="1:692" x14ac:dyDescent="0.3">
      <c r="A6" s="20" t="s">
        <v>459</v>
      </c>
      <c r="B6" s="21" t="s">
        <v>460</v>
      </c>
      <c r="C6" s="195"/>
      <c r="D6" s="156"/>
      <c r="E6" s="196"/>
      <c r="F6" s="201"/>
      <c r="G6" s="165"/>
      <c r="ZP6" s="19"/>
    </row>
    <row r="7" spans="1:692" s="55" customFormat="1" x14ac:dyDescent="0.3">
      <c r="A7" s="51"/>
      <c r="B7" s="52"/>
      <c r="C7" s="195"/>
      <c r="D7" s="156"/>
      <c r="E7" s="196"/>
      <c r="F7" s="201"/>
      <c r="G7" s="165"/>
      <c r="ZP7" s="56"/>
    </row>
    <row r="8" spans="1:692" x14ac:dyDescent="0.3">
      <c r="A8" s="22" t="s">
        <v>461</v>
      </c>
      <c r="B8" s="65" t="s">
        <v>462</v>
      </c>
      <c r="C8" s="108"/>
      <c r="D8" s="159"/>
      <c r="E8" s="197"/>
      <c r="F8" s="202"/>
      <c r="G8" s="198"/>
      <c r="ZP8" s="19"/>
    </row>
    <row r="9" spans="1:692" x14ac:dyDescent="0.3">
      <c r="A9" s="51"/>
      <c r="B9" s="107" t="s">
        <v>46</v>
      </c>
      <c r="C9" s="108" t="s">
        <v>45</v>
      </c>
      <c r="D9" s="159">
        <v>55</v>
      </c>
      <c r="E9" s="197"/>
      <c r="F9" s="202"/>
      <c r="G9" s="198">
        <f>+D9*E9</f>
        <v>0</v>
      </c>
      <c r="ZP9" s="19"/>
    </row>
    <row r="10" spans="1:692" x14ac:dyDescent="0.3">
      <c r="A10" s="51"/>
      <c r="B10" s="107"/>
      <c r="C10" s="108"/>
      <c r="D10" s="159"/>
      <c r="E10" s="197"/>
      <c r="F10" s="202"/>
      <c r="G10" s="198"/>
      <c r="ZP10" s="19"/>
    </row>
    <row r="11" spans="1:692" x14ac:dyDescent="0.3">
      <c r="A11" s="212"/>
      <c r="B11" s="31" t="s">
        <v>502</v>
      </c>
      <c r="C11" s="32"/>
      <c r="D11" s="156"/>
      <c r="E11" s="199"/>
      <c r="F11" s="409"/>
      <c r="G11" s="390">
        <f>SUM(G8:G10)</f>
        <v>0</v>
      </c>
    </row>
    <row r="12" spans="1:692" x14ac:dyDescent="0.3">
      <c r="A12" s="217"/>
      <c r="B12" s="217"/>
      <c r="C12" s="218"/>
      <c r="D12" s="161"/>
      <c r="E12" s="219"/>
      <c r="F12" s="385"/>
      <c r="G12" s="337"/>
    </row>
    <row r="13" spans="1:692" x14ac:dyDescent="0.3">
      <c r="A13" s="55"/>
      <c r="B13" s="552" t="s">
        <v>463</v>
      </c>
      <c r="C13" s="552"/>
      <c r="D13" s="552"/>
      <c r="E13" s="552"/>
      <c r="F13" s="220"/>
      <c r="G13" s="386">
        <f>+G11</f>
        <v>0</v>
      </c>
    </row>
    <row r="14" spans="1:692" x14ac:dyDescent="0.3">
      <c r="A14" s="55"/>
      <c r="B14" s="552" t="str">
        <f>CONCATENATE("TVA (",'[45]Recap Generale'!D12,"%)")</f>
        <v>TVA (20%)</v>
      </c>
      <c r="C14" s="552"/>
      <c r="D14" s="552"/>
      <c r="E14" s="552"/>
      <c r="F14" s="220"/>
      <c r="G14" s="386">
        <f>+G13*0.2</f>
        <v>0</v>
      </c>
    </row>
    <row r="15" spans="1:692" x14ac:dyDescent="0.3">
      <c r="A15" s="55"/>
      <c r="B15" s="552" t="s">
        <v>67</v>
      </c>
      <c r="C15" s="552"/>
      <c r="D15" s="552"/>
      <c r="E15" s="552"/>
      <c r="F15" s="220"/>
      <c r="G15" s="386">
        <f>SUM(G13:G14)</f>
        <v>0</v>
      </c>
    </row>
    <row r="16" spans="1:692" x14ac:dyDescent="0.3">
      <c r="A16" s="55"/>
      <c r="B16" s="55"/>
      <c r="C16" s="221"/>
      <c r="E16" s="222"/>
      <c r="F16" s="222"/>
      <c r="G16" s="337"/>
    </row>
    <row r="17" spans="1:7" x14ac:dyDescent="0.3">
      <c r="A17" s="55"/>
      <c r="B17" s="55"/>
      <c r="C17" s="221"/>
      <c r="E17" s="222"/>
      <c r="F17" s="222"/>
      <c r="G17" s="337"/>
    </row>
    <row r="18" spans="1:7" x14ac:dyDescent="0.3">
      <c r="G18" s="337"/>
    </row>
    <row r="19" spans="1:7" x14ac:dyDescent="0.3">
      <c r="G19" s="337"/>
    </row>
    <row r="20" spans="1:7" x14ac:dyDescent="0.3">
      <c r="G20" s="337"/>
    </row>
    <row r="21" spans="1:7" x14ac:dyDescent="0.3">
      <c r="G21" s="337"/>
    </row>
    <row r="22" spans="1:7" x14ac:dyDescent="0.3">
      <c r="G22" s="337"/>
    </row>
    <row r="23" spans="1:7" x14ac:dyDescent="0.3">
      <c r="G23" s="337"/>
    </row>
    <row r="24" spans="1:7" x14ac:dyDescent="0.3">
      <c r="G24" s="337"/>
    </row>
    <row r="25" spans="1:7" x14ac:dyDescent="0.3">
      <c r="G25" s="337"/>
    </row>
    <row r="26" spans="1:7" x14ac:dyDescent="0.3">
      <c r="G26" s="337"/>
    </row>
    <row r="27" spans="1:7" x14ac:dyDescent="0.3">
      <c r="G27" s="337"/>
    </row>
    <row r="28" spans="1:7" x14ac:dyDescent="0.3">
      <c r="G28" s="337"/>
    </row>
    <row r="29" spans="1:7" x14ac:dyDescent="0.3">
      <c r="G29" s="337"/>
    </row>
    <row r="30" spans="1:7" x14ac:dyDescent="0.3">
      <c r="G30" s="337"/>
    </row>
    <row r="31" spans="1:7" x14ac:dyDescent="0.3">
      <c r="G31" s="337"/>
    </row>
    <row r="32" spans="1:7" x14ac:dyDescent="0.3">
      <c r="G32" s="337"/>
    </row>
    <row r="33" spans="7:7" x14ac:dyDescent="0.3">
      <c r="G33" s="337"/>
    </row>
    <row r="34" spans="7:7" x14ac:dyDescent="0.3">
      <c r="G34" s="337"/>
    </row>
    <row r="35" spans="7:7" x14ac:dyDescent="0.3">
      <c r="G35" s="337"/>
    </row>
    <row r="36" spans="7:7" x14ac:dyDescent="0.3">
      <c r="G36" s="337"/>
    </row>
    <row r="37" spans="7:7" x14ac:dyDescent="0.3">
      <c r="G37" s="337"/>
    </row>
    <row r="38" spans="7:7" x14ac:dyDescent="0.3">
      <c r="G38" s="337"/>
    </row>
    <row r="39" spans="7:7" x14ac:dyDescent="0.3">
      <c r="G39" s="337"/>
    </row>
    <row r="40" spans="7:7" x14ac:dyDescent="0.3">
      <c r="G40" s="337"/>
    </row>
    <row r="41" spans="7:7" x14ac:dyDescent="0.3">
      <c r="G41" s="337"/>
    </row>
    <row r="42" spans="7:7" x14ac:dyDescent="0.3">
      <c r="G42" s="337"/>
    </row>
    <row r="43" spans="7:7" x14ac:dyDescent="0.3">
      <c r="G43" s="337"/>
    </row>
    <row r="44" spans="7:7" x14ac:dyDescent="0.3">
      <c r="G44" s="337"/>
    </row>
    <row r="45" spans="7:7" x14ac:dyDescent="0.3">
      <c r="G45" s="337"/>
    </row>
    <row r="46" spans="7:7" x14ac:dyDescent="0.3">
      <c r="G46" s="337"/>
    </row>
    <row r="47" spans="7:7" x14ac:dyDescent="0.3">
      <c r="G47" s="337"/>
    </row>
    <row r="48" spans="7:7" x14ac:dyDescent="0.3">
      <c r="G48" s="337"/>
    </row>
    <row r="49" spans="7:7" x14ac:dyDescent="0.3">
      <c r="G49" s="337"/>
    </row>
    <row r="50" spans="7:7" x14ac:dyDescent="0.3">
      <c r="G50" s="337"/>
    </row>
    <row r="51" spans="7:7" x14ac:dyDescent="0.3">
      <c r="G51" s="337"/>
    </row>
    <row r="52" spans="7:7" x14ac:dyDescent="0.3">
      <c r="G52" s="337"/>
    </row>
    <row r="53" spans="7:7" x14ac:dyDescent="0.3">
      <c r="G53" s="337"/>
    </row>
    <row r="54" spans="7:7" x14ac:dyDescent="0.3">
      <c r="G54" s="337"/>
    </row>
    <row r="55" spans="7:7" x14ac:dyDescent="0.3">
      <c r="G55" s="337"/>
    </row>
    <row r="56" spans="7:7" x14ac:dyDescent="0.3">
      <c r="G56" s="337"/>
    </row>
    <row r="57" spans="7:7" x14ac:dyDescent="0.3">
      <c r="G57" s="337"/>
    </row>
    <row r="58" spans="7:7" x14ac:dyDescent="0.3">
      <c r="G58" s="337"/>
    </row>
    <row r="59" spans="7:7" x14ac:dyDescent="0.3">
      <c r="G59" s="337"/>
    </row>
    <row r="60" spans="7:7" x14ac:dyDescent="0.3">
      <c r="G60" s="337"/>
    </row>
    <row r="61" spans="7:7" x14ac:dyDescent="0.3">
      <c r="G61" s="337"/>
    </row>
    <row r="62" spans="7:7" x14ac:dyDescent="0.3">
      <c r="G62" s="337"/>
    </row>
    <row r="63" spans="7:7" x14ac:dyDescent="0.3">
      <c r="G63" s="337"/>
    </row>
    <row r="64" spans="7:7" x14ac:dyDescent="0.3">
      <c r="G64" s="337"/>
    </row>
    <row r="65" spans="7:7" x14ac:dyDescent="0.3">
      <c r="G65" s="337"/>
    </row>
    <row r="66" spans="7:7" x14ac:dyDescent="0.3">
      <c r="G66" s="337"/>
    </row>
    <row r="67" spans="7:7" x14ac:dyDescent="0.3">
      <c r="G67" s="337"/>
    </row>
    <row r="68" spans="7:7" x14ac:dyDescent="0.3">
      <c r="G68" s="337"/>
    </row>
    <row r="69" spans="7:7" x14ac:dyDescent="0.3">
      <c r="G69" s="337"/>
    </row>
    <row r="70" spans="7:7" x14ac:dyDescent="0.3">
      <c r="G70" s="337"/>
    </row>
    <row r="71" spans="7:7" x14ac:dyDescent="0.3">
      <c r="G71" s="337"/>
    </row>
    <row r="72" spans="7:7" x14ac:dyDescent="0.3">
      <c r="G72" s="337"/>
    </row>
    <row r="73" spans="7:7" x14ac:dyDescent="0.3">
      <c r="G73" s="337"/>
    </row>
    <row r="74" spans="7:7" x14ac:dyDescent="0.3">
      <c r="G74" s="337"/>
    </row>
    <row r="75" spans="7:7" x14ac:dyDescent="0.3">
      <c r="G75" s="337"/>
    </row>
    <row r="76" spans="7:7" x14ac:dyDescent="0.3">
      <c r="G76" s="337"/>
    </row>
    <row r="77" spans="7:7" x14ac:dyDescent="0.3">
      <c r="G77" s="337"/>
    </row>
    <row r="78" spans="7:7" x14ac:dyDescent="0.3">
      <c r="G78" s="337"/>
    </row>
    <row r="79" spans="7:7" x14ac:dyDescent="0.3">
      <c r="G79" s="337"/>
    </row>
    <row r="80" spans="7:7" x14ac:dyDescent="0.3">
      <c r="G80" s="337"/>
    </row>
    <row r="81" spans="7:7" x14ac:dyDescent="0.3">
      <c r="G81" s="337"/>
    </row>
    <row r="82" spans="7:7" x14ac:dyDescent="0.3">
      <c r="G82" s="337"/>
    </row>
    <row r="83" spans="7:7" x14ac:dyDescent="0.3">
      <c r="G83" s="337"/>
    </row>
    <row r="84" spans="7:7" x14ac:dyDescent="0.3">
      <c r="G84" s="337"/>
    </row>
    <row r="85" spans="7:7" x14ac:dyDescent="0.3">
      <c r="G85" s="337"/>
    </row>
    <row r="86" spans="7:7" x14ac:dyDescent="0.3">
      <c r="G86" s="337"/>
    </row>
    <row r="87" spans="7:7" x14ac:dyDescent="0.3">
      <c r="G87" s="337"/>
    </row>
    <row r="88" spans="7:7" x14ac:dyDescent="0.3">
      <c r="G88" s="337"/>
    </row>
    <row r="89" spans="7:7" x14ac:dyDescent="0.3">
      <c r="G89" s="337"/>
    </row>
    <row r="90" spans="7:7" x14ac:dyDescent="0.3">
      <c r="G90" s="337"/>
    </row>
    <row r="91" spans="7:7" x14ac:dyDescent="0.3">
      <c r="G91" s="337"/>
    </row>
    <row r="92" spans="7:7" x14ac:dyDescent="0.3">
      <c r="G92" s="337"/>
    </row>
    <row r="93" spans="7:7" x14ac:dyDescent="0.3">
      <c r="G93" s="337"/>
    </row>
    <row r="94" spans="7:7" x14ac:dyDescent="0.3">
      <c r="G94" s="337"/>
    </row>
    <row r="95" spans="7:7" x14ac:dyDescent="0.3">
      <c r="G95" s="337"/>
    </row>
    <row r="96" spans="7:7" x14ac:dyDescent="0.3">
      <c r="G96" s="337"/>
    </row>
    <row r="97" spans="7:7" x14ac:dyDescent="0.3">
      <c r="G97" s="337"/>
    </row>
    <row r="98" spans="7:7" x14ac:dyDescent="0.3">
      <c r="G98" s="337"/>
    </row>
  </sheetData>
  <mergeCells count="4">
    <mergeCell ref="A1:E1"/>
    <mergeCell ref="B13:E13"/>
    <mergeCell ref="B14:E14"/>
    <mergeCell ref="B15:E15"/>
  </mergeCells>
  <printOptions horizontalCentered="1"/>
  <pageMargins left="0" right="0" top="0.35433070866141736" bottom="0.35433070866141736" header="0.31496062992125984" footer="0.31496062992125984"/>
  <pageSetup paperSize="9" scale="92" firstPageNumber="238" orientation="portrait" useFirstPageNumber="1" verticalDpi="0" r:id="rId1"/>
  <headerFooter>
    <oddFooter>&amp;LB.E.T.B&amp;RPage -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CA82-E087-4BDA-83D3-D4B4B46DAE80}">
  <dimension ref="A1:ZE103"/>
  <sheetViews>
    <sheetView view="pageBreakPreview" zoomScaleNormal="100" zoomScaleSheetLayoutView="100" workbookViewId="0">
      <selection activeCell="E7" sqref="E7:E17"/>
    </sheetView>
  </sheetViews>
  <sheetFormatPr baseColWidth="10" defaultColWidth="11.44140625" defaultRowHeight="14.4" x14ac:dyDescent="0.3"/>
  <cols>
    <col min="1" max="1" width="7.33203125" style="308" customWidth="1"/>
    <col min="2" max="2" width="43.6640625" style="308" customWidth="1"/>
    <col min="3" max="3" width="5.33203125" style="308" customWidth="1"/>
    <col min="4" max="4" width="11.44140625" style="308"/>
    <col min="5" max="6" width="14.109375" style="337" customWidth="1"/>
    <col min="7" max="7" width="14.33203125" style="171" customWidth="1"/>
    <col min="8" max="16384" width="11.44140625" style="308"/>
  </cols>
  <sheetData>
    <row r="1" spans="1:678" ht="60" customHeight="1" x14ac:dyDescent="0.3">
      <c r="A1" s="513"/>
      <c r="B1" s="513"/>
      <c r="C1" s="513"/>
      <c r="D1" s="513"/>
      <c r="E1" s="513"/>
      <c r="F1" s="513"/>
      <c r="G1" s="513"/>
    </row>
    <row r="2" spans="1:678" s="1" customFormat="1" ht="43.2" x14ac:dyDescent="0.3">
      <c r="A2" s="2"/>
      <c r="B2" s="112" t="s">
        <v>7</v>
      </c>
      <c r="C2" s="113" t="s">
        <v>0</v>
      </c>
      <c r="D2" s="403" t="s">
        <v>166</v>
      </c>
      <c r="E2" s="5" t="s">
        <v>8</v>
      </c>
      <c r="F2" s="7" t="s">
        <v>175</v>
      </c>
      <c r="G2" s="410" t="s">
        <v>167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678" ht="15" customHeight="1" x14ac:dyDescent="0.3">
      <c r="A3" s="414"/>
      <c r="B3" s="361"/>
      <c r="C3" s="362"/>
      <c r="D3" s="155"/>
      <c r="E3" s="345"/>
      <c r="F3" s="348"/>
      <c r="G3" s="411"/>
    </row>
    <row r="4" spans="1:678" s="60" customFormat="1" ht="15.6" x14ac:dyDescent="0.3">
      <c r="A4" s="194" t="s">
        <v>464</v>
      </c>
      <c r="B4" s="14" t="s">
        <v>465</v>
      </c>
      <c r="C4" s="277"/>
      <c r="D4" s="156"/>
      <c r="E4" s="346"/>
      <c r="F4" s="346"/>
      <c r="G4" s="411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ZB4" s="315"/>
    </row>
    <row r="5" spans="1:678" s="364" customFormat="1" ht="15.6" x14ac:dyDescent="0.3">
      <c r="A5" s="24"/>
      <c r="B5" s="363"/>
      <c r="C5" s="277"/>
      <c r="D5" s="156"/>
      <c r="E5" s="346"/>
      <c r="F5" s="346"/>
      <c r="G5" s="411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ZB5" s="315"/>
    </row>
    <row r="6" spans="1:678" s="364" customFormat="1" x14ac:dyDescent="0.3">
      <c r="A6" s="415" t="s">
        <v>466</v>
      </c>
      <c r="B6" s="21" t="s">
        <v>467</v>
      </c>
      <c r="C6" s="277"/>
      <c r="D6" s="156"/>
      <c r="E6" s="413"/>
      <c r="F6" s="413"/>
      <c r="G6" s="411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ZB6" s="315"/>
    </row>
    <row r="7" spans="1:678" x14ac:dyDescent="0.3">
      <c r="A7" s="51" t="s">
        <v>468</v>
      </c>
      <c r="B7" s="319" t="s">
        <v>469</v>
      </c>
      <c r="C7" s="277"/>
      <c r="D7" s="159"/>
      <c r="E7" s="413"/>
      <c r="F7" s="413"/>
      <c r="G7" s="412"/>
    </row>
    <row r="8" spans="1:678" x14ac:dyDescent="0.3">
      <c r="A8" s="51"/>
      <c r="B8" s="107" t="s">
        <v>470</v>
      </c>
      <c r="C8" s="304" t="s">
        <v>82</v>
      </c>
      <c r="D8" s="159">
        <v>1380</v>
      </c>
      <c r="E8" s="396"/>
      <c r="F8" s="396"/>
      <c r="G8" s="412">
        <f>+D8*E8</f>
        <v>0</v>
      </c>
    </row>
    <row r="9" spans="1:678" x14ac:dyDescent="0.3">
      <c r="A9" s="51"/>
      <c r="B9" s="107"/>
      <c r="C9" s="304"/>
      <c r="D9" s="159"/>
      <c r="E9" s="396"/>
      <c r="F9" s="396"/>
      <c r="G9" s="412"/>
    </row>
    <row r="10" spans="1:678" x14ac:dyDescent="0.3">
      <c r="A10" s="212"/>
      <c r="B10" s="31" t="s">
        <v>503</v>
      </c>
      <c r="C10" s="32"/>
      <c r="D10" s="156"/>
      <c r="E10" s="199"/>
      <c r="F10" s="199"/>
      <c r="G10" s="416">
        <f>SUM(G7:G9)</f>
        <v>0</v>
      </c>
    </row>
    <row r="11" spans="1:678" x14ac:dyDescent="0.3">
      <c r="A11" s="51"/>
      <c r="B11" s="107"/>
      <c r="C11" s="304"/>
      <c r="D11" s="159"/>
      <c r="E11" s="396"/>
      <c r="F11" s="396"/>
      <c r="G11" s="412"/>
    </row>
    <row r="12" spans="1:678" x14ac:dyDescent="0.3">
      <c r="A12" s="415" t="s">
        <v>471</v>
      </c>
      <c r="B12" s="21" t="s">
        <v>472</v>
      </c>
      <c r="C12" s="304"/>
      <c r="D12" s="159"/>
      <c r="E12" s="396"/>
      <c r="F12" s="396"/>
      <c r="G12" s="412"/>
    </row>
    <row r="13" spans="1:678" x14ac:dyDescent="0.3">
      <c r="A13" s="51" t="s">
        <v>473</v>
      </c>
      <c r="B13" s="319" t="s">
        <v>474</v>
      </c>
      <c r="C13" s="277"/>
      <c r="D13" s="159"/>
      <c r="E13" s="396"/>
      <c r="F13" s="396"/>
      <c r="G13" s="412"/>
    </row>
    <row r="14" spans="1:678" ht="13.5" customHeight="1" x14ac:dyDescent="0.3">
      <c r="A14" s="51"/>
      <c r="B14" s="321" t="s">
        <v>475</v>
      </c>
      <c r="C14" s="277"/>
      <c r="D14" s="159"/>
      <c r="E14" s="396"/>
      <c r="F14" s="396"/>
      <c r="G14" s="412"/>
    </row>
    <row r="15" spans="1:678" x14ac:dyDescent="0.3">
      <c r="A15" s="51"/>
      <c r="B15" s="107" t="s">
        <v>476</v>
      </c>
      <c r="C15" s="304" t="s">
        <v>82</v>
      </c>
      <c r="D15" s="159">
        <v>4135</v>
      </c>
      <c r="E15" s="396"/>
      <c r="F15" s="396"/>
      <c r="G15" s="412">
        <f>+D15*E15</f>
        <v>0</v>
      </c>
    </row>
    <row r="16" spans="1:678" x14ac:dyDescent="0.3">
      <c r="A16" s="51" t="s">
        <v>477</v>
      </c>
      <c r="B16" s="321" t="s">
        <v>478</v>
      </c>
      <c r="C16" s="277"/>
      <c r="D16" s="156"/>
      <c r="E16" s="346"/>
      <c r="F16" s="346"/>
      <c r="G16" s="412"/>
    </row>
    <row r="17" spans="1:681" x14ac:dyDescent="0.3">
      <c r="A17" s="51"/>
      <c r="B17" s="107" t="s">
        <v>470</v>
      </c>
      <c r="C17" s="304" t="s">
        <v>82</v>
      </c>
      <c r="D17" s="156">
        <v>55</v>
      </c>
      <c r="E17" s="396"/>
      <c r="F17" s="396"/>
      <c r="G17" s="412">
        <f>+D17*E17</f>
        <v>0</v>
      </c>
    </row>
    <row r="18" spans="1:681" x14ac:dyDescent="0.3">
      <c r="A18" s="51"/>
      <c r="B18" s="107"/>
      <c r="C18" s="304"/>
      <c r="D18" s="159"/>
      <c r="E18" s="413"/>
      <c r="F18" s="413"/>
      <c r="G18" s="412"/>
    </row>
    <row r="19" spans="1:681" s="60" customFormat="1" ht="15.75" customHeight="1" x14ac:dyDescent="0.3">
      <c r="A19" s="515" t="s">
        <v>504</v>
      </c>
      <c r="B19" s="516"/>
      <c r="C19" s="417"/>
      <c r="D19" s="417"/>
      <c r="E19" s="417"/>
      <c r="F19" s="418"/>
      <c r="G19" s="419">
        <f>SUM(G15:G18)</f>
        <v>0</v>
      </c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4"/>
      <c r="BG19" s="314"/>
      <c r="BH19" s="314"/>
      <c r="BI19" s="314"/>
      <c r="BJ19" s="314"/>
      <c r="BK19" s="314"/>
      <c r="BL19" s="314"/>
      <c r="BM19" s="314"/>
      <c r="BN19" s="314"/>
      <c r="BO19" s="314"/>
      <c r="BP19" s="314"/>
      <c r="BQ19" s="314"/>
      <c r="BR19" s="314"/>
      <c r="BS19" s="314"/>
      <c r="BT19" s="314"/>
      <c r="BU19" s="314"/>
      <c r="BV19" s="314"/>
      <c r="BW19" s="314"/>
      <c r="BX19" s="314"/>
      <c r="BY19" s="314"/>
      <c r="ZA19" s="60" t="s">
        <v>83</v>
      </c>
    </row>
    <row r="20" spans="1:681" s="60" customFormat="1" ht="22.2" customHeight="1" x14ac:dyDescent="0.3">
      <c r="A20" s="394"/>
      <c r="B20" s="394"/>
      <c r="C20" s="394"/>
      <c r="D20" s="394"/>
      <c r="E20" s="378"/>
      <c r="F20" s="378"/>
      <c r="G20" s="337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4"/>
      <c r="BG20" s="314"/>
      <c r="BH20" s="314"/>
      <c r="BI20" s="314"/>
      <c r="BJ20" s="314"/>
      <c r="BK20" s="314"/>
      <c r="BL20" s="314"/>
      <c r="BM20" s="314"/>
      <c r="BN20" s="314"/>
      <c r="BO20" s="314"/>
      <c r="BP20" s="314"/>
      <c r="BQ20" s="314"/>
      <c r="BR20" s="314"/>
      <c r="BS20" s="314"/>
      <c r="BT20" s="314"/>
      <c r="BU20" s="314"/>
      <c r="BV20" s="314"/>
      <c r="BW20" s="314"/>
      <c r="BX20" s="314"/>
      <c r="BY20" s="314"/>
    </row>
    <row r="21" spans="1:681" s="60" customFormat="1" ht="15" customHeight="1" x14ac:dyDescent="0.3">
      <c r="A21" s="365"/>
      <c r="B21" s="514" t="s">
        <v>479</v>
      </c>
      <c r="C21" s="514"/>
      <c r="D21" s="514"/>
      <c r="E21" s="514"/>
      <c r="F21" s="221"/>
      <c r="G21" s="386">
        <f>G19+G10</f>
        <v>0</v>
      </c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4"/>
      <c r="BK21" s="314"/>
      <c r="BL21" s="314"/>
      <c r="BM21" s="314"/>
      <c r="BN21" s="314"/>
      <c r="BO21" s="314"/>
      <c r="BP21" s="314"/>
      <c r="BQ21" s="314"/>
      <c r="BR21" s="314"/>
      <c r="BS21" s="314"/>
      <c r="BT21" s="314"/>
      <c r="BU21" s="314"/>
      <c r="BV21" s="314"/>
      <c r="BW21" s="314"/>
      <c r="BX21" s="314"/>
      <c r="BY21" s="314"/>
      <c r="BZ21" s="314"/>
      <c r="CA21" s="314"/>
      <c r="CB21" s="314"/>
      <c r="CC21" s="314"/>
      <c r="ZE21" s="60" t="s">
        <v>84</v>
      </c>
    </row>
    <row r="22" spans="1:681" s="60" customFormat="1" ht="15" customHeight="1" x14ac:dyDescent="0.3">
      <c r="A22" s="366"/>
      <c r="B22" s="514" t="s">
        <v>417</v>
      </c>
      <c r="C22" s="514"/>
      <c r="D22" s="514"/>
      <c r="E22" s="514"/>
      <c r="F22" s="221"/>
      <c r="G22" s="386">
        <f>+G21*0.2</f>
        <v>0</v>
      </c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4"/>
      <c r="BK22" s="314"/>
      <c r="BL22" s="314"/>
      <c r="BM22" s="314"/>
      <c r="BN22" s="314"/>
      <c r="BO22" s="314"/>
      <c r="BP22" s="314"/>
      <c r="BQ22" s="314"/>
      <c r="BR22" s="314"/>
      <c r="BS22" s="314"/>
      <c r="BT22" s="314"/>
      <c r="BU22" s="314"/>
      <c r="BV22" s="314"/>
      <c r="BW22" s="314"/>
      <c r="BX22" s="314"/>
      <c r="BY22" s="314"/>
      <c r="BZ22" s="314"/>
      <c r="CA22" s="314"/>
      <c r="CB22" s="314"/>
      <c r="CC22" s="314"/>
      <c r="ZE22" s="60" t="s">
        <v>68</v>
      </c>
    </row>
    <row r="23" spans="1:681" s="60" customFormat="1" ht="15.75" customHeight="1" x14ac:dyDescent="0.3">
      <c r="A23" s="366"/>
      <c r="B23" s="514" t="s">
        <v>67</v>
      </c>
      <c r="C23" s="514"/>
      <c r="D23" s="514"/>
      <c r="E23" s="514"/>
      <c r="F23" s="221"/>
      <c r="G23" s="386">
        <f>SUM(G21:G22)</f>
        <v>0</v>
      </c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BH23" s="314"/>
      <c r="BI23" s="314"/>
      <c r="BJ23" s="314"/>
      <c r="BK23" s="314"/>
      <c r="BL23" s="314"/>
      <c r="BM23" s="314"/>
      <c r="BN23" s="314"/>
      <c r="BO23" s="314"/>
      <c r="BP23" s="314"/>
      <c r="BQ23" s="314"/>
      <c r="BR23" s="314"/>
      <c r="BS23" s="314"/>
      <c r="BT23" s="314"/>
      <c r="BU23" s="314"/>
      <c r="BV23" s="314"/>
      <c r="BW23" s="314"/>
      <c r="BX23" s="314"/>
      <c r="BY23" s="314"/>
      <c r="BZ23" s="314"/>
      <c r="CA23" s="314"/>
      <c r="CB23" s="314"/>
      <c r="CC23" s="314"/>
      <c r="ZE23" s="60" t="s">
        <v>85</v>
      </c>
    </row>
    <row r="24" spans="1:681" ht="15.75" customHeight="1" x14ac:dyDescent="0.3">
      <c r="G24" s="337"/>
    </row>
    <row r="25" spans="1:681" x14ac:dyDescent="0.3">
      <c r="G25" s="337"/>
    </row>
    <row r="26" spans="1:681" x14ac:dyDescent="0.3">
      <c r="G26" s="337"/>
    </row>
    <row r="27" spans="1:681" x14ac:dyDescent="0.3">
      <c r="G27" s="337"/>
    </row>
    <row r="28" spans="1:681" x14ac:dyDescent="0.3">
      <c r="G28" s="337"/>
    </row>
    <row r="29" spans="1:681" x14ac:dyDescent="0.3">
      <c r="G29" s="337"/>
    </row>
    <row r="30" spans="1:681" x14ac:dyDescent="0.3">
      <c r="G30" s="337"/>
    </row>
    <row r="31" spans="1:681" x14ac:dyDescent="0.3">
      <c r="G31" s="337"/>
    </row>
    <row r="32" spans="1:681" x14ac:dyDescent="0.3">
      <c r="G32" s="337"/>
    </row>
    <row r="33" spans="7:7" x14ac:dyDescent="0.3">
      <c r="G33" s="337"/>
    </row>
    <row r="34" spans="7:7" x14ac:dyDescent="0.3">
      <c r="G34" s="337"/>
    </row>
    <row r="35" spans="7:7" x14ac:dyDescent="0.3">
      <c r="G35" s="337"/>
    </row>
    <row r="36" spans="7:7" x14ac:dyDescent="0.3">
      <c r="G36" s="337"/>
    </row>
    <row r="37" spans="7:7" x14ac:dyDescent="0.3">
      <c r="G37" s="337"/>
    </row>
    <row r="38" spans="7:7" x14ac:dyDescent="0.3">
      <c r="G38" s="337"/>
    </row>
    <row r="39" spans="7:7" x14ac:dyDescent="0.3">
      <c r="G39" s="337"/>
    </row>
    <row r="40" spans="7:7" x14ac:dyDescent="0.3">
      <c r="G40" s="337"/>
    </row>
    <row r="41" spans="7:7" x14ac:dyDescent="0.3">
      <c r="G41" s="337"/>
    </row>
    <row r="42" spans="7:7" x14ac:dyDescent="0.3">
      <c r="G42" s="337"/>
    </row>
    <row r="43" spans="7:7" x14ac:dyDescent="0.3">
      <c r="G43" s="337"/>
    </row>
    <row r="44" spans="7:7" x14ac:dyDescent="0.3">
      <c r="G44" s="337"/>
    </row>
    <row r="45" spans="7:7" x14ac:dyDescent="0.3">
      <c r="G45" s="337"/>
    </row>
    <row r="46" spans="7:7" x14ac:dyDescent="0.3">
      <c r="G46" s="337"/>
    </row>
    <row r="47" spans="7:7" x14ac:dyDescent="0.3">
      <c r="G47" s="337"/>
    </row>
    <row r="48" spans="7:7" x14ac:dyDescent="0.3">
      <c r="G48" s="337"/>
    </row>
    <row r="49" spans="7:7" x14ac:dyDescent="0.3">
      <c r="G49" s="337"/>
    </row>
    <row r="50" spans="7:7" x14ac:dyDescent="0.3">
      <c r="G50" s="337"/>
    </row>
    <row r="51" spans="7:7" x14ac:dyDescent="0.3">
      <c r="G51" s="337"/>
    </row>
    <row r="52" spans="7:7" x14ac:dyDescent="0.3">
      <c r="G52" s="337"/>
    </row>
    <row r="53" spans="7:7" x14ac:dyDescent="0.3">
      <c r="G53" s="337"/>
    </row>
    <row r="54" spans="7:7" x14ac:dyDescent="0.3">
      <c r="G54" s="337"/>
    </row>
    <row r="55" spans="7:7" x14ac:dyDescent="0.3">
      <c r="G55" s="337"/>
    </row>
    <row r="56" spans="7:7" x14ac:dyDescent="0.3">
      <c r="G56" s="337"/>
    </row>
    <row r="57" spans="7:7" x14ac:dyDescent="0.3">
      <c r="G57" s="337"/>
    </row>
    <row r="58" spans="7:7" x14ac:dyDescent="0.3">
      <c r="G58" s="337"/>
    </row>
    <row r="59" spans="7:7" x14ac:dyDescent="0.3">
      <c r="G59" s="337"/>
    </row>
    <row r="60" spans="7:7" x14ac:dyDescent="0.3">
      <c r="G60" s="337"/>
    </row>
    <row r="61" spans="7:7" x14ac:dyDescent="0.3">
      <c r="G61" s="337"/>
    </row>
    <row r="62" spans="7:7" x14ac:dyDescent="0.3">
      <c r="G62" s="337"/>
    </row>
    <row r="63" spans="7:7" x14ac:dyDescent="0.3">
      <c r="G63" s="337"/>
    </row>
    <row r="64" spans="7:7" x14ac:dyDescent="0.3">
      <c r="G64" s="337"/>
    </row>
    <row r="65" spans="7:7" x14ac:dyDescent="0.3">
      <c r="G65" s="337"/>
    </row>
    <row r="66" spans="7:7" x14ac:dyDescent="0.3">
      <c r="G66" s="337"/>
    </row>
    <row r="67" spans="7:7" x14ac:dyDescent="0.3">
      <c r="G67" s="337"/>
    </row>
    <row r="68" spans="7:7" x14ac:dyDescent="0.3">
      <c r="G68" s="337"/>
    </row>
    <row r="69" spans="7:7" x14ac:dyDescent="0.3">
      <c r="G69" s="337"/>
    </row>
    <row r="70" spans="7:7" x14ac:dyDescent="0.3">
      <c r="G70" s="337"/>
    </row>
    <row r="71" spans="7:7" x14ac:dyDescent="0.3">
      <c r="G71" s="337"/>
    </row>
    <row r="72" spans="7:7" x14ac:dyDescent="0.3">
      <c r="G72" s="337"/>
    </row>
    <row r="73" spans="7:7" x14ac:dyDescent="0.3">
      <c r="G73" s="337"/>
    </row>
    <row r="74" spans="7:7" x14ac:dyDescent="0.3">
      <c r="G74" s="337"/>
    </row>
    <row r="75" spans="7:7" x14ac:dyDescent="0.3">
      <c r="G75" s="337"/>
    </row>
    <row r="76" spans="7:7" x14ac:dyDescent="0.3">
      <c r="G76" s="337"/>
    </row>
    <row r="77" spans="7:7" x14ac:dyDescent="0.3">
      <c r="G77" s="337"/>
    </row>
    <row r="78" spans="7:7" x14ac:dyDescent="0.3">
      <c r="G78" s="337"/>
    </row>
    <row r="79" spans="7:7" x14ac:dyDescent="0.3">
      <c r="G79" s="337"/>
    </row>
    <row r="80" spans="7:7" x14ac:dyDescent="0.3">
      <c r="G80" s="337"/>
    </row>
    <row r="81" spans="7:7" x14ac:dyDescent="0.3">
      <c r="G81" s="337"/>
    </row>
    <row r="82" spans="7:7" x14ac:dyDescent="0.3">
      <c r="G82" s="337"/>
    </row>
    <row r="83" spans="7:7" x14ac:dyDescent="0.3">
      <c r="G83" s="337"/>
    </row>
    <row r="84" spans="7:7" x14ac:dyDescent="0.3">
      <c r="G84" s="337"/>
    </row>
    <row r="85" spans="7:7" x14ac:dyDescent="0.3">
      <c r="G85" s="337"/>
    </row>
    <row r="86" spans="7:7" x14ac:dyDescent="0.3">
      <c r="G86" s="337"/>
    </row>
    <row r="87" spans="7:7" x14ac:dyDescent="0.3">
      <c r="G87" s="337"/>
    </row>
    <row r="88" spans="7:7" x14ac:dyDescent="0.3">
      <c r="G88" s="337"/>
    </row>
    <row r="89" spans="7:7" x14ac:dyDescent="0.3">
      <c r="G89" s="337"/>
    </row>
    <row r="90" spans="7:7" x14ac:dyDescent="0.3">
      <c r="G90" s="337"/>
    </row>
    <row r="91" spans="7:7" x14ac:dyDescent="0.3">
      <c r="G91" s="337"/>
    </row>
    <row r="92" spans="7:7" x14ac:dyDescent="0.3">
      <c r="G92" s="337"/>
    </row>
    <row r="93" spans="7:7" x14ac:dyDescent="0.3">
      <c r="G93" s="337"/>
    </row>
    <row r="94" spans="7:7" x14ac:dyDescent="0.3">
      <c r="G94" s="337"/>
    </row>
    <row r="95" spans="7:7" x14ac:dyDescent="0.3">
      <c r="G95" s="337"/>
    </row>
    <row r="96" spans="7:7" x14ac:dyDescent="0.3">
      <c r="G96" s="337"/>
    </row>
    <row r="97" spans="7:7" x14ac:dyDescent="0.3">
      <c r="G97" s="337"/>
    </row>
    <row r="98" spans="7:7" x14ac:dyDescent="0.3">
      <c r="G98" s="337"/>
    </row>
    <row r="99" spans="7:7" x14ac:dyDescent="0.3">
      <c r="G99" s="337"/>
    </row>
    <row r="100" spans="7:7" x14ac:dyDescent="0.3">
      <c r="G100" s="337"/>
    </row>
    <row r="101" spans="7:7" x14ac:dyDescent="0.3">
      <c r="G101" s="337"/>
    </row>
    <row r="102" spans="7:7" x14ac:dyDescent="0.3">
      <c r="G102" s="337"/>
    </row>
    <row r="103" spans="7:7" x14ac:dyDescent="0.3">
      <c r="G103" s="337"/>
    </row>
  </sheetData>
  <mergeCells count="5">
    <mergeCell ref="A1:G1"/>
    <mergeCell ref="B21:E21"/>
    <mergeCell ref="B22:E22"/>
    <mergeCell ref="B23:E23"/>
    <mergeCell ref="A19:B19"/>
  </mergeCells>
  <printOptions horizontalCentered="1"/>
  <pageMargins left="0" right="0" top="0.35433070866141736" bottom="0.35433070866141736" header="0.31496062992125984" footer="0.31496062992125984"/>
  <pageSetup paperSize="9" scale="89" firstPageNumber="239" orientation="portrait" useFirstPageNumber="1" verticalDpi="0" r:id="rId1"/>
  <headerFooter>
    <oddFooter>&amp;LB.E.T.B&amp;RPage -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16</vt:i4>
      </vt:variant>
    </vt:vector>
  </HeadingPairs>
  <TitlesOfParts>
    <vt:vector size="28" baseType="lpstr">
      <vt:lpstr>Recap Generale </vt:lpstr>
      <vt:lpstr>Lot N°01 GROS OEUVRE </vt:lpstr>
      <vt:lpstr>Lot N°02 ETANCHEITE</vt:lpstr>
      <vt:lpstr>Lot N03 CHARPENTE METALLIQUE </vt:lpstr>
      <vt:lpstr>Lot N°04 FLUIDES</vt:lpstr>
      <vt:lpstr>Lot N° 05 ELECTRICITE</vt:lpstr>
      <vt:lpstr>Lot N° 06 REVETEMENT</vt:lpstr>
      <vt:lpstr>Lot N° 07 MENUISERIE BOIS</vt:lpstr>
      <vt:lpstr>Lot N° 08 MENUISERIE ALUM</vt:lpstr>
      <vt:lpstr>Lot N° 09 MENUISERIE METAL</vt:lpstr>
      <vt:lpstr>Lot N°10 FAUX PLAFOND</vt:lpstr>
      <vt:lpstr>Lot N°11 PEINTURE</vt:lpstr>
      <vt:lpstr>'Lot N° 05 ELECTRICITE'!Impression_des_titres</vt:lpstr>
      <vt:lpstr>'Lot N°01 GROS OEUVRE '!Impression_des_titres</vt:lpstr>
      <vt:lpstr>'Lot N°02 ETANCHEITE'!Impression_des_titres</vt:lpstr>
      <vt:lpstr>'Lot N°04 FLUIDES'!Impression_des_titres</vt:lpstr>
      <vt:lpstr>'Lot N03 CHARPENTE METALLIQUE '!Impression_des_titres</vt:lpstr>
      <vt:lpstr>'Lot N° 05 ELECTRICITE'!Zone_d_impression</vt:lpstr>
      <vt:lpstr>'Lot N° 06 REVETEMENT'!Zone_d_impression</vt:lpstr>
      <vt:lpstr>'Lot N° 07 MENUISERIE BOIS'!Zone_d_impression</vt:lpstr>
      <vt:lpstr>'Lot N° 08 MENUISERIE ALUM'!Zone_d_impression</vt:lpstr>
      <vt:lpstr>'Lot N° 09 MENUISERIE METAL'!Zone_d_impression</vt:lpstr>
      <vt:lpstr>'Lot N°01 GROS OEUVRE '!Zone_d_impression</vt:lpstr>
      <vt:lpstr>'Lot N°02 ETANCHEITE'!Zone_d_impression</vt:lpstr>
      <vt:lpstr>'Lot N°04 FLUIDES'!Zone_d_impression</vt:lpstr>
      <vt:lpstr>'Lot N°10 FAUX PLAFOND'!Zone_d_impression</vt:lpstr>
      <vt:lpstr>'Lot N°11 PEINTURE'!Zone_d_impression</vt:lpstr>
      <vt:lpstr>'Lot N03 CHARPENTE METALLIQUE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ABDELLAOUI Fatima-Zohra</dc:creator>
  <cp:lastModifiedBy>ANAS</cp:lastModifiedBy>
  <cp:lastPrinted>2026-02-16T15:48:19Z</cp:lastPrinted>
  <dcterms:created xsi:type="dcterms:W3CDTF">2015-06-05T18:17:20Z</dcterms:created>
  <dcterms:modified xsi:type="dcterms:W3CDTF">2026-02-16T22:15:19Z</dcterms:modified>
</cp:coreProperties>
</file>