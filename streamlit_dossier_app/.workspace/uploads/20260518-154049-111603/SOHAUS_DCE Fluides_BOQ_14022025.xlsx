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dev\OneDrive\Desktop\SOHAUS\03. Contracting\Consultations\IMM C&amp;D\FLUIDES\1. Pièces écrites\"/>
    </mc:Choice>
  </mc:AlternateContent>
  <xr:revisionPtr revIDLastSave="0" documentId="8_{145F21BD-4462-4B38-824F-2BEAA4B8A6EC}" xr6:coauthVersionLast="47" xr6:coauthVersionMax="47" xr10:uidLastSave="{00000000-0000-0000-0000-000000000000}"/>
  <bookViews>
    <workbookView xWindow="28680" yWindow="-8190" windowWidth="29040" windowHeight="15720" activeTab="3" xr2:uid="{4DD9A783-5AEE-463C-BD91-277727197ECC}"/>
  </bookViews>
  <sheets>
    <sheet name="PL" sheetId="1" r:id="rId1"/>
    <sheet name="APP SAN" sheetId="2" r:id="rId2"/>
    <sheet name="CVC" sheetId="3" r:id="rId3"/>
    <sheet name="RECAP" sheetId="4" r:id="rId4"/>
  </sheets>
  <externalReferences>
    <externalReference r:id="rId5"/>
  </externalReferences>
  <definedNames>
    <definedName name="\A" localSheetId="3">#REF!</definedName>
    <definedName name="\A">#REF!</definedName>
    <definedName name="\B" localSheetId="3">#REF!</definedName>
    <definedName name="\B">#REF!</definedName>
    <definedName name="\C" localSheetId="3">#REF!</definedName>
    <definedName name="\C">#REF!</definedName>
    <definedName name="________________________________________R">#REF!</definedName>
    <definedName name="_______________________________________R">#REF!</definedName>
    <definedName name="______________________________________R">#REF!</definedName>
    <definedName name="_____________________________________R">#REF!</definedName>
    <definedName name="____________________________________R">#REF!</definedName>
    <definedName name="___________________________________R">#REF!</definedName>
    <definedName name="__________________________________R">#REF!</definedName>
    <definedName name="_________________________________R">#N/A</definedName>
    <definedName name="________________________________R" localSheetId="1">#REF!</definedName>
    <definedName name="________________________________R" localSheetId="0">#REF!</definedName>
    <definedName name="________________________________R" localSheetId="3">#REF!</definedName>
    <definedName name="________________________________R">#REF!</definedName>
    <definedName name="_______________________________R" localSheetId="1">#REF!</definedName>
    <definedName name="_______________________________R" localSheetId="0">#REF!</definedName>
    <definedName name="_______________________________R" localSheetId="3">#REF!</definedName>
    <definedName name="_______________________________R">#REF!</definedName>
    <definedName name="______________________________R" localSheetId="1">#REF!</definedName>
    <definedName name="______________________________R" localSheetId="2">#REF!</definedName>
    <definedName name="______________________________R" localSheetId="0">#REF!</definedName>
    <definedName name="______________________________R" localSheetId="3">#REF!</definedName>
    <definedName name="______________________________R">#REF!</definedName>
    <definedName name="_____________________________NA1">#REF!</definedName>
    <definedName name="_____________________________NA2">#REF!</definedName>
    <definedName name="_____________________________NA3">#REF!</definedName>
    <definedName name="_____________________________R">#REF!</definedName>
    <definedName name="____________________________NA1">#REF!</definedName>
    <definedName name="____________________________NA2">#REF!</definedName>
    <definedName name="____________________________NA3">#REF!</definedName>
    <definedName name="____________________________R" localSheetId="1">#REF!</definedName>
    <definedName name="____________________________R" localSheetId="0">#REF!</definedName>
    <definedName name="____________________________R" localSheetId="3">#REF!</definedName>
    <definedName name="____________________________R">#REF!</definedName>
    <definedName name="___________________________NA1" localSheetId="3">#REF!</definedName>
    <definedName name="___________________________NA1">#REF!</definedName>
    <definedName name="___________________________NA2" localSheetId="3">#REF!</definedName>
    <definedName name="___________________________NA2">#REF!</definedName>
    <definedName name="___________________________NA3">#REF!</definedName>
    <definedName name="___________________________R">#REF!</definedName>
    <definedName name="__________________________NA1">#REF!</definedName>
    <definedName name="__________________________NA2">#REF!</definedName>
    <definedName name="__________________________NA3">#REF!</definedName>
    <definedName name="__________________________R" localSheetId="1">#REF!</definedName>
    <definedName name="__________________________R" localSheetId="2">#REF!</definedName>
    <definedName name="__________________________R" localSheetId="0">#REF!</definedName>
    <definedName name="__________________________R" localSheetId="3">#REF!</definedName>
    <definedName name="__________________________R">#REF!</definedName>
    <definedName name="_________________________NA1" localSheetId="3">#REF!</definedName>
    <definedName name="_________________________NA1">#REF!</definedName>
    <definedName name="_________________________NA2">#REF!</definedName>
    <definedName name="_________________________NA3">#REF!</definedName>
    <definedName name="_________________________R" localSheetId="1">#REF!</definedName>
    <definedName name="_________________________R" localSheetId="2">#REF!</definedName>
    <definedName name="_________________________R" localSheetId="0">#REF!</definedName>
    <definedName name="_________________________R" localSheetId="3">#REF!</definedName>
    <definedName name="_________________________R">#REF!</definedName>
    <definedName name="________________________NA1" localSheetId="3">#REF!</definedName>
    <definedName name="________________________NA1">#REF!</definedName>
    <definedName name="________________________NA2" localSheetId="3">#REF!</definedName>
    <definedName name="________________________NA2">#REF!</definedName>
    <definedName name="________________________NA3">#REF!</definedName>
    <definedName name="________________________R" localSheetId="1">#REF!</definedName>
    <definedName name="________________________R" localSheetId="0">#REF!</definedName>
    <definedName name="________________________R" localSheetId="3">#REF!</definedName>
    <definedName name="________________________R">#REF!</definedName>
    <definedName name="_______________________NA1" localSheetId="1">#REF!</definedName>
    <definedName name="_______________________NA1" localSheetId="2">#REF!</definedName>
    <definedName name="_______________________NA1" localSheetId="0">#REF!</definedName>
    <definedName name="_______________________NA1">#REF!</definedName>
    <definedName name="_______________________NA2" localSheetId="1">#REF!</definedName>
    <definedName name="_______________________NA2" localSheetId="2">#REF!</definedName>
    <definedName name="_______________________NA2" localSheetId="0">#REF!</definedName>
    <definedName name="_______________________NA2">#REF!</definedName>
    <definedName name="_______________________NA3" localSheetId="1">#REF!</definedName>
    <definedName name="_______________________NA3" localSheetId="2">#REF!</definedName>
    <definedName name="_______________________NA3" localSheetId="0">#REF!</definedName>
    <definedName name="_______________________NA3">#REF!</definedName>
    <definedName name="_______________________R" localSheetId="1">#REF!</definedName>
    <definedName name="_______________________R" localSheetId="2">#REF!</definedName>
    <definedName name="_______________________R" localSheetId="0">#REF!</definedName>
    <definedName name="_______________________R" localSheetId="3">#REF!</definedName>
    <definedName name="_______________________R">#REF!</definedName>
    <definedName name="______________________NA1" localSheetId="1">#REF!</definedName>
    <definedName name="______________________NA1" localSheetId="2">#REF!</definedName>
    <definedName name="______________________NA1" localSheetId="0">#REF!</definedName>
    <definedName name="______________________NA1">#REF!</definedName>
    <definedName name="______________________NA2" localSheetId="1">#REF!</definedName>
    <definedName name="______________________NA2" localSheetId="2">#REF!</definedName>
    <definedName name="______________________NA2" localSheetId="0">#REF!</definedName>
    <definedName name="______________________NA2">#REF!</definedName>
    <definedName name="______________________NA3" localSheetId="1">#REF!</definedName>
    <definedName name="______________________NA3" localSheetId="2">#REF!</definedName>
    <definedName name="______________________NA3" localSheetId="0">#REF!</definedName>
    <definedName name="______________________NA3">#REF!</definedName>
    <definedName name="______________________R" localSheetId="1">#REF!</definedName>
    <definedName name="______________________R" localSheetId="2">#REF!</definedName>
    <definedName name="______________________R" localSheetId="0">#REF!</definedName>
    <definedName name="______________________R" localSheetId="3">#REF!</definedName>
    <definedName name="______________________R">#REF!</definedName>
    <definedName name="_____________________NA1" localSheetId="1">#REF!</definedName>
    <definedName name="_____________________NA1" localSheetId="2">#REF!</definedName>
    <definedName name="_____________________NA1" localSheetId="0">#REF!</definedName>
    <definedName name="_____________________NA1" localSheetId="3">#REF!</definedName>
    <definedName name="_____________________NA1">#REF!</definedName>
    <definedName name="_____________________NA2" localSheetId="1">#REF!</definedName>
    <definedName name="_____________________NA2" localSheetId="2">#REF!</definedName>
    <definedName name="_____________________NA2" localSheetId="0">#REF!</definedName>
    <definedName name="_____________________NA2" localSheetId="3">#REF!</definedName>
    <definedName name="_____________________NA2">#REF!</definedName>
    <definedName name="_____________________NA3" localSheetId="1">#REF!</definedName>
    <definedName name="_____________________NA3" localSheetId="2">#REF!</definedName>
    <definedName name="_____________________NA3" localSheetId="0">#REF!</definedName>
    <definedName name="_____________________NA3" localSheetId="3">#REF!</definedName>
    <definedName name="_____________________NA3">#REF!</definedName>
    <definedName name="_____________________R" localSheetId="1">#REF!</definedName>
    <definedName name="_____________________R" localSheetId="2">#REF!</definedName>
    <definedName name="_____________________R" localSheetId="0">#REF!</definedName>
    <definedName name="_____________________R" localSheetId="3">#REF!</definedName>
    <definedName name="_____________________R">#REF!</definedName>
    <definedName name="____________________NA1" localSheetId="1">#REF!</definedName>
    <definedName name="____________________NA1" localSheetId="2">#REF!</definedName>
    <definedName name="____________________NA1" localSheetId="0">#REF!</definedName>
    <definedName name="____________________NA1">#REF!</definedName>
    <definedName name="____________________NA2" localSheetId="1">#REF!</definedName>
    <definedName name="____________________NA2" localSheetId="2">#REF!</definedName>
    <definedName name="____________________NA2" localSheetId="0">#REF!</definedName>
    <definedName name="____________________NA2">#REF!</definedName>
    <definedName name="____________________NA3" localSheetId="1">#REF!</definedName>
    <definedName name="____________________NA3" localSheetId="2">#REF!</definedName>
    <definedName name="____________________NA3" localSheetId="0">#REF!</definedName>
    <definedName name="____________________NA3">#REF!</definedName>
    <definedName name="____________________R" localSheetId="1">#REF!</definedName>
    <definedName name="____________________R" localSheetId="2">#REF!</definedName>
    <definedName name="____________________R" localSheetId="0">#REF!</definedName>
    <definedName name="____________________R" localSheetId="3">#REF!</definedName>
    <definedName name="____________________R">#REF!</definedName>
    <definedName name="___________________NA1" localSheetId="1">#REF!</definedName>
    <definedName name="___________________NA1" localSheetId="2">#REF!</definedName>
    <definedName name="___________________NA1" localSheetId="0">#REF!</definedName>
    <definedName name="___________________NA1" localSheetId="3">#REF!</definedName>
    <definedName name="___________________NA1">#REF!</definedName>
    <definedName name="___________________NA2" localSheetId="1">#REF!</definedName>
    <definedName name="___________________NA2" localSheetId="2">#REF!</definedName>
    <definedName name="___________________NA2" localSheetId="0">#REF!</definedName>
    <definedName name="___________________NA2" localSheetId="3">#REF!</definedName>
    <definedName name="___________________NA2">#REF!</definedName>
    <definedName name="___________________NA3" localSheetId="1">#REF!</definedName>
    <definedName name="___________________NA3" localSheetId="2">#REF!</definedName>
    <definedName name="___________________NA3" localSheetId="0">#REF!</definedName>
    <definedName name="___________________NA3" localSheetId="3">#REF!</definedName>
    <definedName name="___________________NA3">#REF!</definedName>
    <definedName name="___________________R" localSheetId="1">#REF!</definedName>
    <definedName name="___________________R" localSheetId="0">#REF!</definedName>
    <definedName name="___________________R" localSheetId="3">#REF!</definedName>
    <definedName name="___________________R">#REF!</definedName>
    <definedName name="__________________NA1" localSheetId="1">#REF!</definedName>
    <definedName name="__________________NA1" localSheetId="2">#REF!</definedName>
    <definedName name="__________________NA1" localSheetId="0">#REF!</definedName>
    <definedName name="__________________NA1">#REF!</definedName>
    <definedName name="__________________NA2" localSheetId="1">#REF!</definedName>
    <definedName name="__________________NA2" localSheetId="2">#REF!</definedName>
    <definedName name="__________________NA2" localSheetId="0">#REF!</definedName>
    <definedName name="__________________NA2">#REF!</definedName>
    <definedName name="__________________NA3" localSheetId="1">#REF!</definedName>
    <definedName name="__________________NA3" localSheetId="2">#REF!</definedName>
    <definedName name="__________________NA3" localSheetId="0">#REF!</definedName>
    <definedName name="__________________NA3">#REF!</definedName>
    <definedName name="__________________R" localSheetId="1">#REF!</definedName>
    <definedName name="__________________R" localSheetId="2">#REF!</definedName>
    <definedName name="__________________R" localSheetId="0">#REF!</definedName>
    <definedName name="__________________R" localSheetId="3">#REF!</definedName>
    <definedName name="__________________R">#REF!</definedName>
    <definedName name="_________________NA1" localSheetId="1">#REF!</definedName>
    <definedName name="_________________NA1" localSheetId="2">#REF!</definedName>
    <definedName name="_________________NA1" localSheetId="0">#REF!</definedName>
    <definedName name="_________________NA1" localSheetId="3">#REF!</definedName>
    <definedName name="_________________NA1">#REF!</definedName>
    <definedName name="_________________NA2" localSheetId="1">#REF!</definedName>
    <definedName name="_________________NA2" localSheetId="2">#REF!</definedName>
    <definedName name="_________________NA2" localSheetId="0">#REF!</definedName>
    <definedName name="_________________NA2" localSheetId="3">#REF!</definedName>
    <definedName name="_________________NA2">#REF!</definedName>
    <definedName name="_________________NA3" localSheetId="1">#REF!</definedName>
    <definedName name="_________________NA3" localSheetId="2">#REF!</definedName>
    <definedName name="_________________NA3" localSheetId="0">#REF!</definedName>
    <definedName name="_________________NA3" localSheetId="3">#REF!</definedName>
    <definedName name="_________________NA3">#REF!</definedName>
    <definedName name="_________________R" localSheetId="1">#REF!</definedName>
    <definedName name="_________________R" localSheetId="0">#REF!</definedName>
    <definedName name="_________________R" localSheetId="3">#REF!</definedName>
    <definedName name="_________________R">#REF!</definedName>
    <definedName name="________________NA1" localSheetId="1">#REF!</definedName>
    <definedName name="________________NA1" localSheetId="2">#REF!</definedName>
    <definedName name="________________NA1" localSheetId="0">#REF!</definedName>
    <definedName name="________________NA1">#REF!</definedName>
    <definedName name="________________NA2" localSheetId="1">#REF!</definedName>
    <definedName name="________________NA2" localSheetId="2">#REF!</definedName>
    <definedName name="________________NA2" localSheetId="0">#REF!</definedName>
    <definedName name="________________NA2">#REF!</definedName>
    <definedName name="________________NA3" localSheetId="1">#REF!</definedName>
    <definedName name="________________NA3" localSheetId="2">#REF!</definedName>
    <definedName name="________________NA3" localSheetId="0">#REF!</definedName>
    <definedName name="________________NA3">#REF!</definedName>
    <definedName name="________________R" localSheetId="1">#REF!</definedName>
    <definedName name="________________R" localSheetId="2">#REF!</definedName>
    <definedName name="________________R" localSheetId="0">#REF!</definedName>
    <definedName name="________________R" localSheetId="3">#REF!</definedName>
    <definedName name="________________R">#REF!</definedName>
    <definedName name="_______________IMM48" localSheetId="3">#REF!</definedName>
    <definedName name="_______________IMM48">#REF!</definedName>
    <definedName name="_______________MM1" localSheetId="3">#REF!</definedName>
    <definedName name="_______________MM1">#REF!</definedName>
    <definedName name="_______________NA1" localSheetId="1">#REF!</definedName>
    <definedName name="_______________NA1" localSheetId="2">#REF!</definedName>
    <definedName name="_______________NA1" localSheetId="0">#REF!</definedName>
    <definedName name="_______________NA1">#REF!</definedName>
    <definedName name="_______________NA2" localSheetId="1">#REF!</definedName>
    <definedName name="_______________NA2" localSheetId="2">#REF!</definedName>
    <definedName name="_______________NA2" localSheetId="0">#REF!</definedName>
    <definedName name="_______________NA2">#REF!</definedName>
    <definedName name="_______________NA3" localSheetId="1">#REF!</definedName>
    <definedName name="_______________NA3" localSheetId="2">#REF!</definedName>
    <definedName name="_______________NA3" localSheetId="0">#REF!</definedName>
    <definedName name="_______________NA3">#REF!</definedName>
    <definedName name="_______________R" localSheetId="1">#REF!</definedName>
    <definedName name="_______________R" localSheetId="2">#REF!</definedName>
    <definedName name="_______________R" localSheetId="0">#REF!</definedName>
    <definedName name="_______________R" localSheetId="3">#REF!</definedName>
    <definedName name="_______________R">#REF!</definedName>
    <definedName name="______________IMM48" localSheetId="3">#REF!</definedName>
    <definedName name="______________IMM48">#REF!</definedName>
    <definedName name="______________MM1" localSheetId="3">#REF!</definedName>
    <definedName name="______________MM1">#REF!</definedName>
    <definedName name="______________NA1" localSheetId="1">#REF!</definedName>
    <definedName name="______________NA1" localSheetId="2">#REF!</definedName>
    <definedName name="______________NA1" localSheetId="0">#REF!</definedName>
    <definedName name="______________NA1" localSheetId="3">#REF!</definedName>
    <definedName name="______________NA1">#REF!</definedName>
    <definedName name="______________NA2" localSheetId="1">#REF!</definedName>
    <definedName name="______________NA2" localSheetId="2">#REF!</definedName>
    <definedName name="______________NA2" localSheetId="0">#REF!</definedName>
    <definedName name="______________NA2" localSheetId="3">#REF!</definedName>
    <definedName name="______________NA2">#REF!</definedName>
    <definedName name="______________NA3" localSheetId="1">#REF!</definedName>
    <definedName name="______________NA3" localSheetId="2">#REF!</definedName>
    <definedName name="______________NA3" localSheetId="0">#REF!</definedName>
    <definedName name="______________NA3" localSheetId="3">#REF!</definedName>
    <definedName name="______________NA3">#REF!</definedName>
    <definedName name="______________R" localSheetId="1">#REF!</definedName>
    <definedName name="______________R" localSheetId="0">#REF!</definedName>
    <definedName name="______________R" localSheetId="3">#REF!</definedName>
    <definedName name="______________R">#REF!</definedName>
    <definedName name="_____________IMM48" localSheetId="3">#REF!</definedName>
    <definedName name="_____________IMM48">#REF!</definedName>
    <definedName name="_____________MM1" localSheetId="1">#REF!</definedName>
    <definedName name="_____________MM1" localSheetId="0">#REF!</definedName>
    <definedName name="_____________MM1" localSheetId="3">#REF!</definedName>
    <definedName name="_____________MM1">#REF!</definedName>
    <definedName name="_____________NA1" localSheetId="1">#REF!</definedName>
    <definedName name="_____________NA1" localSheetId="2">#REF!</definedName>
    <definedName name="_____________NA1" localSheetId="0">#REF!</definedName>
    <definedName name="_____________NA1">#REF!</definedName>
    <definedName name="_____________NA2" localSheetId="1">#REF!</definedName>
    <definedName name="_____________NA2" localSheetId="2">#REF!</definedName>
    <definedName name="_____________NA2" localSheetId="0">#REF!</definedName>
    <definedName name="_____________NA2">#REF!</definedName>
    <definedName name="_____________NA3" localSheetId="1">#REF!</definedName>
    <definedName name="_____________NA3" localSheetId="2">#REF!</definedName>
    <definedName name="_____________NA3" localSheetId="0">#REF!</definedName>
    <definedName name="_____________NA3">#REF!</definedName>
    <definedName name="_____________NB1">#REF!</definedName>
    <definedName name="_____________NB2">#REF!</definedName>
    <definedName name="_____________NB3">#REF!</definedName>
    <definedName name="_____________nba1">#REF!</definedName>
    <definedName name="_____________R" localSheetId="1">#REF!</definedName>
    <definedName name="_____________R" localSheetId="2">#REF!</definedName>
    <definedName name="_____________R" localSheetId="0">#REF!</definedName>
    <definedName name="_____________R" localSheetId="3">#REF!</definedName>
    <definedName name="_____________R">#REF!</definedName>
    <definedName name="_____________SB1" localSheetId="3">#REF!</definedName>
    <definedName name="_____________SB1">#REF!</definedName>
    <definedName name="_____________SB2" localSheetId="3">#REF!</definedName>
    <definedName name="_____________SB2">#REF!</definedName>
    <definedName name="_____________SB3" localSheetId="3">#REF!</definedName>
    <definedName name="_____________SB3">#REF!</definedName>
    <definedName name="____________IMM48">#REF!</definedName>
    <definedName name="____________MM1" localSheetId="1">#REF!</definedName>
    <definedName name="____________MM1" localSheetId="2">#REF!</definedName>
    <definedName name="____________MM1" localSheetId="0">#REF!</definedName>
    <definedName name="____________MM1" localSheetId="3">#REF!</definedName>
    <definedName name="____________MM1">#REF!</definedName>
    <definedName name="____________NA1" localSheetId="1">#REF!</definedName>
    <definedName name="____________NA1" localSheetId="2">#REF!</definedName>
    <definedName name="____________NA1" localSheetId="0">#REF!</definedName>
    <definedName name="____________NA1">#REF!</definedName>
    <definedName name="____________NA2" localSheetId="1">#REF!</definedName>
    <definedName name="____________NA2" localSheetId="2">#REF!</definedName>
    <definedName name="____________NA2" localSheetId="0">#REF!</definedName>
    <definedName name="____________NA2">#REF!</definedName>
    <definedName name="____________NA3" localSheetId="1">#REF!</definedName>
    <definedName name="____________NA3" localSheetId="2">#REF!</definedName>
    <definedName name="____________NA3" localSheetId="0">#REF!</definedName>
    <definedName name="____________NA3">#REF!</definedName>
    <definedName name="____________NB1">#REF!</definedName>
    <definedName name="____________NB2">#REF!</definedName>
    <definedName name="____________NB3">#REF!</definedName>
    <definedName name="____________nba1" localSheetId="1">#REF!</definedName>
    <definedName name="____________nba1" localSheetId="2">#REF!</definedName>
    <definedName name="____________nba1" localSheetId="0">#REF!</definedName>
    <definedName name="____________nba1">#REF!</definedName>
    <definedName name="____________R" localSheetId="1">#REF!</definedName>
    <definedName name="____________R" localSheetId="2">#REF!</definedName>
    <definedName name="____________R" localSheetId="0">#REF!</definedName>
    <definedName name="____________R" localSheetId="3">#REF!</definedName>
    <definedName name="____________R">#REF!</definedName>
    <definedName name="____________SB1" localSheetId="3">#REF!</definedName>
    <definedName name="____________SB1">#REF!</definedName>
    <definedName name="____________SB2" localSheetId="3">#REF!</definedName>
    <definedName name="____________SB2">#REF!</definedName>
    <definedName name="____________SB3">#REF!</definedName>
    <definedName name="___________deb1">#REF!</definedName>
    <definedName name="___________dec1">#REF!</definedName>
    <definedName name="___________dec2">#REF!</definedName>
    <definedName name="___________dec3">#REF!</definedName>
    <definedName name="___________dee1">#REF!</definedName>
    <definedName name="___________dee2">#REF!</definedName>
    <definedName name="___________dee3">#REF!</definedName>
    <definedName name="___________EST1">#REF!</definedName>
    <definedName name="___________EST2">#REF!</definedName>
    <definedName name="___________EST3">#REF!</definedName>
    <definedName name="___________IMM48">#REF!</definedName>
    <definedName name="___________MM1">#REF!</definedName>
    <definedName name="___________NA1" localSheetId="1">#REF!</definedName>
    <definedName name="___________NA1" localSheetId="2">#REF!</definedName>
    <definedName name="___________NA1" localSheetId="0">#REF!</definedName>
    <definedName name="___________NA1" localSheetId="3">#REF!</definedName>
    <definedName name="___________NA1">#REF!</definedName>
    <definedName name="___________NA2" localSheetId="1">#REF!</definedName>
    <definedName name="___________NA2" localSheetId="0">#REF!</definedName>
    <definedName name="___________NA2" localSheetId="3">#REF!</definedName>
    <definedName name="___________NA2">#REF!</definedName>
    <definedName name="___________NA3" localSheetId="1">#REF!</definedName>
    <definedName name="___________NA3" localSheetId="0">#REF!</definedName>
    <definedName name="___________NA3" localSheetId="3">#REF!</definedName>
    <definedName name="___________NA3">#REF!</definedName>
    <definedName name="___________NB1" localSheetId="1">#REF!</definedName>
    <definedName name="___________NB1" localSheetId="2">#REF!</definedName>
    <definedName name="___________NB1" localSheetId="0">#REF!</definedName>
    <definedName name="___________NB1">#REF!</definedName>
    <definedName name="___________NB2" localSheetId="1">#REF!</definedName>
    <definedName name="___________NB2" localSheetId="2">#REF!</definedName>
    <definedName name="___________NB2" localSheetId="0">#REF!</definedName>
    <definedName name="___________NB2">#REF!</definedName>
    <definedName name="___________NB3" localSheetId="1">#REF!</definedName>
    <definedName name="___________NB3" localSheetId="2">#REF!</definedName>
    <definedName name="___________NB3" localSheetId="0">#REF!</definedName>
    <definedName name="___________NB3">#REF!</definedName>
    <definedName name="___________nba1" localSheetId="1">#REF!</definedName>
    <definedName name="___________nba1" localSheetId="2">#REF!</definedName>
    <definedName name="___________nba1" localSheetId="0">#REF!</definedName>
    <definedName name="___________nba1">#REF!</definedName>
    <definedName name="___________R" localSheetId="1">#REF!</definedName>
    <definedName name="___________R" localSheetId="2">#REF!</definedName>
    <definedName name="___________R" localSheetId="0">#REF!</definedName>
    <definedName name="___________R" localSheetId="3">#REF!</definedName>
    <definedName name="___________R">#REF!</definedName>
    <definedName name="___________SB1" localSheetId="1">#REF!</definedName>
    <definedName name="___________SB1" localSheetId="2">#REF!</definedName>
    <definedName name="___________SB1" localSheetId="0">#REF!</definedName>
    <definedName name="___________SB1">#REF!</definedName>
    <definedName name="___________SB2" localSheetId="1">#REF!</definedName>
    <definedName name="___________SB2" localSheetId="2">#REF!</definedName>
    <definedName name="___________SB2" localSheetId="0">#REF!</definedName>
    <definedName name="___________SB2">#REF!</definedName>
    <definedName name="___________SB3" localSheetId="1">#REF!</definedName>
    <definedName name="___________SB3" localSheetId="2">#REF!</definedName>
    <definedName name="___________SB3" localSheetId="0">#REF!</definedName>
    <definedName name="___________SB3">#REF!</definedName>
    <definedName name="__________deb1" localSheetId="1">#REF!</definedName>
    <definedName name="__________deb1" localSheetId="2">#REF!</definedName>
    <definedName name="__________deb1" localSheetId="0">#REF!</definedName>
    <definedName name="__________deb1">#REF!</definedName>
    <definedName name="__________dec1" localSheetId="1">#REF!</definedName>
    <definedName name="__________dec1" localSheetId="2">#REF!</definedName>
    <definedName name="__________dec1" localSheetId="0">#REF!</definedName>
    <definedName name="__________dec1">#REF!</definedName>
    <definedName name="__________dec2" localSheetId="1">#REF!</definedName>
    <definedName name="__________dec2" localSheetId="2">#REF!</definedName>
    <definedName name="__________dec2" localSheetId="0">#REF!</definedName>
    <definedName name="__________dec2">#REF!</definedName>
    <definedName name="__________dec3" localSheetId="1">#REF!</definedName>
    <definedName name="__________dec3" localSheetId="2">#REF!</definedName>
    <definedName name="__________dec3" localSheetId="0">#REF!</definedName>
    <definedName name="__________dec3">#REF!</definedName>
    <definedName name="__________dee1" localSheetId="1">#REF!</definedName>
    <definedName name="__________dee1" localSheetId="2">#REF!</definedName>
    <definedName name="__________dee1" localSheetId="0">#REF!</definedName>
    <definedName name="__________dee1">#REF!</definedName>
    <definedName name="__________dee2" localSheetId="1">#REF!</definedName>
    <definedName name="__________dee2" localSheetId="2">#REF!</definedName>
    <definedName name="__________dee2" localSheetId="0">#REF!</definedName>
    <definedName name="__________dee2">#REF!</definedName>
    <definedName name="__________dee3" localSheetId="1">#REF!</definedName>
    <definedName name="__________dee3" localSheetId="2">#REF!</definedName>
    <definedName name="__________dee3" localSheetId="0">#REF!</definedName>
    <definedName name="__________dee3">#REF!</definedName>
    <definedName name="__________EST1">#REF!</definedName>
    <definedName name="__________EST2">#REF!</definedName>
    <definedName name="__________EST3">#REF!</definedName>
    <definedName name="__________IMM48">#REF!</definedName>
    <definedName name="__________MM1" localSheetId="1">#REF!</definedName>
    <definedName name="__________MM1" localSheetId="2">#REF!</definedName>
    <definedName name="__________MM1" localSheetId="0">#REF!</definedName>
    <definedName name="__________MM1" localSheetId="3">#REF!</definedName>
    <definedName name="__________MM1">#REF!</definedName>
    <definedName name="__________NA1" localSheetId="1">#REF!</definedName>
    <definedName name="__________NA1" localSheetId="2">#REF!</definedName>
    <definedName name="__________NA1" localSheetId="0">#REF!</definedName>
    <definedName name="__________NA1">#REF!</definedName>
    <definedName name="__________NA2" localSheetId="1">#REF!</definedName>
    <definedName name="__________NA2" localSheetId="2">#REF!</definedName>
    <definedName name="__________NA2" localSheetId="0">#REF!</definedName>
    <definedName name="__________NA2">#REF!</definedName>
    <definedName name="__________NA3" localSheetId="1">#REF!</definedName>
    <definedName name="__________NA3" localSheetId="2">#REF!</definedName>
    <definedName name="__________NA3" localSheetId="0">#REF!</definedName>
    <definedName name="__________NA3">#REF!</definedName>
    <definedName name="__________NB1" localSheetId="1">#REF!</definedName>
    <definedName name="__________NB1" localSheetId="2">#REF!</definedName>
    <definedName name="__________NB1" localSheetId="0">#REF!</definedName>
    <definedName name="__________NB1">#REF!</definedName>
    <definedName name="__________NB2" localSheetId="1">#REF!</definedName>
    <definedName name="__________NB2" localSheetId="2">#REF!</definedName>
    <definedName name="__________NB2" localSheetId="0">#REF!</definedName>
    <definedName name="__________NB2">#REF!</definedName>
    <definedName name="__________NB3" localSheetId="1">#REF!</definedName>
    <definedName name="__________NB3" localSheetId="2">#REF!</definedName>
    <definedName name="__________NB3" localSheetId="0">#REF!</definedName>
    <definedName name="__________NB3">#REF!</definedName>
    <definedName name="__________nba1">#REF!</definedName>
    <definedName name="__________R" localSheetId="1">#REF!</definedName>
    <definedName name="__________R" localSheetId="2">#REF!</definedName>
    <definedName name="__________R" localSheetId="0">#REF!</definedName>
    <definedName name="__________R" localSheetId="3">#REF!</definedName>
    <definedName name="__________R">#REF!</definedName>
    <definedName name="__________SB1" localSheetId="1">#REF!</definedName>
    <definedName name="__________SB1" localSheetId="2">#REF!</definedName>
    <definedName name="__________SB1" localSheetId="0">#REF!</definedName>
    <definedName name="__________SB1">#REF!</definedName>
    <definedName name="__________SB2" localSheetId="1">#REF!</definedName>
    <definedName name="__________SB2" localSheetId="2">#REF!</definedName>
    <definedName name="__________SB2" localSheetId="0">#REF!</definedName>
    <definedName name="__________SB2">#REF!</definedName>
    <definedName name="__________SB3" localSheetId="1">#REF!</definedName>
    <definedName name="__________SB3" localSheetId="2">#REF!</definedName>
    <definedName name="__________SB3" localSheetId="0">#REF!</definedName>
    <definedName name="__________SB3">#REF!</definedName>
    <definedName name="_________deb1" localSheetId="1">#REF!</definedName>
    <definedName name="_________deb1" localSheetId="0">#REF!</definedName>
    <definedName name="_________deb1">#REF!</definedName>
    <definedName name="_________dec1" localSheetId="1">#REF!</definedName>
    <definedName name="_________dec1" localSheetId="0">#REF!</definedName>
    <definedName name="_________dec1">#REF!</definedName>
    <definedName name="_________dec2" localSheetId="1">#REF!</definedName>
    <definedName name="_________dec2" localSheetId="0">#REF!</definedName>
    <definedName name="_________dec2">#REF!</definedName>
    <definedName name="_________dec3" localSheetId="1">#REF!</definedName>
    <definedName name="_________dec3" localSheetId="0">#REF!</definedName>
    <definedName name="_________dec3">#REF!</definedName>
    <definedName name="_________dee1" localSheetId="1">#REF!</definedName>
    <definedName name="_________dee1" localSheetId="0">#REF!</definedName>
    <definedName name="_________dee1">#REF!</definedName>
    <definedName name="_________dee2" localSheetId="1">#REF!</definedName>
    <definedName name="_________dee2" localSheetId="0">#REF!</definedName>
    <definedName name="_________dee2">#REF!</definedName>
    <definedName name="_________dee3" localSheetId="1">#REF!</definedName>
    <definedName name="_________dee3" localSheetId="0">#REF!</definedName>
    <definedName name="_________dee3">#REF!</definedName>
    <definedName name="_________EST1">#REF!</definedName>
    <definedName name="_________EST2">#REF!</definedName>
    <definedName name="_________EST3">#REF!</definedName>
    <definedName name="_________MM1" localSheetId="1">#REF!</definedName>
    <definedName name="_________MM1" localSheetId="2">#REF!</definedName>
    <definedName name="_________MM1" localSheetId="0">#REF!</definedName>
    <definedName name="_________MM1" localSheetId="3">#REF!</definedName>
    <definedName name="_________MM1">#REF!</definedName>
    <definedName name="_________NA1" localSheetId="1">#REF!</definedName>
    <definedName name="_________NA1" localSheetId="2">#REF!</definedName>
    <definedName name="_________NA1" localSheetId="0">#REF!</definedName>
    <definedName name="_________NA1">#REF!</definedName>
    <definedName name="_________NA2" localSheetId="1">#REF!</definedName>
    <definedName name="_________NA2" localSheetId="2">#REF!</definedName>
    <definedName name="_________NA2" localSheetId="0">#REF!</definedName>
    <definedName name="_________NA2">#REF!</definedName>
    <definedName name="_________NA3" localSheetId="1">#REF!</definedName>
    <definedName name="_________NA3" localSheetId="2">#REF!</definedName>
    <definedName name="_________NA3" localSheetId="0">#REF!</definedName>
    <definedName name="_________NA3">#REF!</definedName>
    <definedName name="_________NB1" localSheetId="1">#REF!</definedName>
    <definedName name="_________NB1" localSheetId="2">#REF!</definedName>
    <definedName name="_________NB1" localSheetId="0">#REF!</definedName>
    <definedName name="_________NB1">#REF!</definedName>
    <definedName name="_________NB2" localSheetId="1">#REF!</definedName>
    <definedName name="_________NB2" localSheetId="2">#REF!</definedName>
    <definedName name="_________NB2" localSheetId="0">#REF!</definedName>
    <definedName name="_________NB2">#REF!</definedName>
    <definedName name="_________NB3" localSheetId="1">#REF!</definedName>
    <definedName name="_________NB3" localSheetId="2">#REF!</definedName>
    <definedName name="_________NB3" localSheetId="0">#REF!</definedName>
    <definedName name="_________NB3">#REF!</definedName>
    <definedName name="_________nba1" localSheetId="1">#REF!</definedName>
    <definedName name="_________nba1" localSheetId="2">#REF!</definedName>
    <definedName name="_________nba1" localSheetId="0">#REF!</definedName>
    <definedName name="_________nba1">#REF!</definedName>
    <definedName name="_________R" localSheetId="1">#REF!</definedName>
    <definedName name="_________R" localSheetId="2">#REF!</definedName>
    <definedName name="_________R" localSheetId="0">#REF!</definedName>
    <definedName name="_________R" localSheetId="3">#REF!</definedName>
    <definedName name="_________R">#REF!</definedName>
    <definedName name="_________SB1" localSheetId="1">#REF!</definedName>
    <definedName name="_________SB1" localSheetId="2">#REF!</definedName>
    <definedName name="_________SB1" localSheetId="0">#REF!</definedName>
    <definedName name="_________SB1">#REF!</definedName>
    <definedName name="_________SB2" localSheetId="1">#REF!</definedName>
    <definedName name="_________SB2" localSheetId="2">#REF!</definedName>
    <definedName name="_________SB2" localSheetId="0">#REF!</definedName>
    <definedName name="_________SB2">#REF!</definedName>
    <definedName name="_________SB3" localSheetId="1">#REF!</definedName>
    <definedName name="_________SB3" localSheetId="2">#REF!</definedName>
    <definedName name="_________SB3" localSheetId="0">#REF!</definedName>
    <definedName name="_________SB3">#REF!</definedName>
    <definedName name="________deb1" localSheetId="1">#REF!</definedName>
    <definedName name="________deb1" localSheetId="2">#REF!</definedName>
    <definedName name="________deb1" localSheetId="0">#REF!</definedName>
    <definedName name="________deb1">#REF!</definedName>
    <definedName name="________DEB3">#REF!</definedName>
    <definedName name="________deb5">#REF!</definedName>
    <definedName name="________deb6">#REF!</definedName>
    <definedName name="________deb8">#REF!</definedName>
    <definedName name="________dec1" localSheetId="1">#REF!</definedName>
    <definedName name="________dec1" localSheetId="2">#REF!</definedName>
    <definedName name="________dec1" localSheetId="0">#REF!</definedName>
    <definedName name="________dec1">#REF!</definedName>
    <definedName name="________dec2" localSheetId="1">#REF!</definedName>
    <definedName name="________dec2" localSheetId="2">#REF!</definedName>
    <definedName name="________dec2" localSheetId="0">#REF!</definedName>
    <definedName name="________dec2">#REF!</definedName>
    <definedName name="________dec3" localSheetId="1">#REF!</definedName>
    <definedName name="________dec3" localSheetId="2">#REF!</definedName>
    <definedName name="________dec3" localSheetId="0">#REF!</definedName>
    <definedName name="________dec3">#REF!</definedName>
    <definedName name="________dee1" localSheetId="1">#REF!</definedName>
    <definedName name="________dee1" localSheetId="2">#REF!</definedName>
    <definedName name="________dee1" localSheetId="0">#REF!</definedName>
    <definedName name="________dee1">#REF!</definedName>
    <definedName name="________dee2" localSheetId="1">#REF!</definedName>
    <definedName name="________dee2" localSheetId="2">#REF!</definedName>
    <definedName name="________dee2" localSheetId="0">#REF!</definedName>
    <definedName name="________dee2">#REF!</definedName>
    <definedName name="________dee3" localSheetId="1">#REF!</definedName>
    <definedName name="________dee3" localSheetId="2">#REF!</definedName>
    <definedName name="________dee3" localSheetId="0">#REF!</definedName>
    <definedName name="________dee3">#REF!</definedName>
    <definedName name="________EST1">#REF!</definedName>
    <definedName name="________EST2">#REF!</definedName>
    <definedName name="________EST3">#REF!</definedName>
    <definedName name="________IMM48">#REF!</definedName>
    <definedName name="________MM1" localSheetId="1">#REF!</definedName>
    <definedName name="________MM1" localSheetId="2">#REF!</definedName>
    <definedName name="________MM1" localSheetId="0">#REF!</definedName>
    <definedName name="________MM1" localSheetId="3">#REF!</definedName>
    <definedName name="________MM1">#REF!</definedName>
    <definedName name="________NA1" localSheetId="1">#REF!</definedName>
    <definedName name="________NA1" localSheetId="2">#REF!</definedName>
    <definedName name="________NA1" localSheetId="0">#REF!</definedName>
    <definedName name="________NA1">#REF!</definedName>
    <definedName name="________NA2" localSheetId="1">#REF!</definedName>
    <definedName name="________NA2" localSheetId="0">#REF!</definedName>
    <definedName name="________NA2">#REF!</definedName>
    <definedName name="________NA3" localSheetId="1">#REF!</definedName>
    <definedName name="________NA3" localSheetId="0">#REF!</definedName>
    <definedName name="________NA3">#REF!</definedName>
    <definedName name="________NB1" localSheetId="1">#REF!</definedName>
    <definedName name="________NB1" localSheetId="2">#REF!</definedName>
    <definedName name="________NB1" localSheetId="0">#REF!</definedName>
    <definedName name="________NB1">#REF!</definedName>
    <definedName name="________NB2" localSheetId="1">#REF!</definedName>
    <definedName name="________NB2" localSheetId="2">#REF!</definedName>
    <definedName name="________NB2" localSheetId="0">#REF!</definedName>
    <definedName name="________NB2">#REF!</definedName>
    <definedName name="________NB3" localSheetId="1">#REF!</definedName>
    <definedName name="________NB3" localSheetId="2">#REF!</definedName>
    <definedName name="________NB3" localSheetId="0">#REF!</definedName>
    <definedName name="________NB3">#REF!</definedName>
    <definedName name="________nba1" localSheetId="1">#REF!</definedName>
    <definedName name="________nba1" localSheetId="0">#REF!</definedName>
    <definedName name="________nba1">#REF!</definedName>
    <definedName name="________Pt2">#REF!</definedName>
    <definedName name="________Pt3">#REF!</definedName>
    <definedName name="________qmg2">#REF!</definedName>
    <definedName name="________Qt2">#REF!</definedName>
    <definedName name="________Qt3">#REF!</definedName>
    <definedName name="________R" localSheetId="1">#REF!</definedName>
    <definedName name="________R" localSheetId="2">#REF!</definedName>
    <definedName name="________R" localSheetId="0">#REF!</definedName>
    <definedName name="________R" localSheetId="3">#REF!</definedName>
    <definedName name="________R">#REF!</definedName>
    <definedName name="________R200_" localSheetId="3">#REF!</definedName>
    <definedName name="________R200_">#REF!</definedName>
    <definedName name="________SB1" localSheetId="1">#REF!</definedName>
    <definedName name="________SB1" localSheetId="2">#REF!</definedName>
    <definedName name="________SB1" localSheetId="0">#REF!</definedName>
    <definedName name="________SB1">#REF!</definedName>
    <definedName name="________SB2" localSheetId="1">#REF!</definedName>
    <definedName name="________SB2" localSheetId="2">#REF!</definedName>
    <definedName name="________SB2" localSheetId="0">#REF!</definedName>
    <definedName name="________SB2">#REF!</definedName>
    <definedName name="________SB3" localSheetId="1">#REF!</definedName>
    <definedName name="________SB3" localSheetId="2">#REF!</definedName>
    <definedName name="________SB3" localSheetId="0">#REF!</definedName>
    <definedName name="________SB3">#REF!</definedName>
    <definedName name="________SEB3">#REF!</definedName>
    <definedName name="________seb5">#REF!</definedName>
    <definedName name="________seb6">#REF!</definedName>
    <definedName name="________seb8">#REF!</definedName>
    <definedName name="________ST100">#REF!</definedName>
    <definedName name="________ST200">#REF!</definedName>
    <definedName name="_______AA1">#REF!</definedName>
    <definedName name="_______deb1" localSheetId="1">#REF!</definedName>
    <definedName name="_______deb1" localSheetId="2">#REF!</definedName>
    <definedName name="_______deb1" localSheetId="0">#REF!</definedName>
    <definedName name="_______deb1">#REF!</definedName>
    <definedName name="_______DEB3" localSheetId="1">#REF!</definedName>
    <definedName name="_______DEB3" localSheetId="2">#REF!</definedName>
    <definedName name="_______DEB3" localSheetId="0">#REF!</definedName>
    <definedName name="_______DEB3">#REF!</definedName>
    <definedName name="_______deb5" localSheetId="1">#REF!</definedName>
    <definedName name="_______deb5" localSheetId="2">#REF!</definedName>
    <definedName name="_______deb5" localSheetId="0">#REF!</definedName>
    <definedName name="_______deb5">#REF!</definedName>
    <definedName name="_______deb6" localSheetId="1">#REF!</definedName>
    <definedName name="_______deb6" localSheetId="2">#REF!</definedName>
    <definedName name="_______deb6" localSheetId="0">#REF!</definedName>
    <definedName name="_______deb6">#REF!</definedName>
    <definedName name="_______deb8" localSheetId="1">#REF!</definedName>
    <definedName name="_______deb8" localSheetId="2">#REF!</definedName>
    <definedName name="_______deb8" localSheetId="0">#REF!</definedName>
    <definedName name="_______deb8">#REF!</definedName>
    <definedName name="_______dec1" localSheetId="1">#REF!</definedName>
    <definedName name="_______dec1" localSheetId="2">#REF!</definedName>
    <definedName name="_______dec1" localSheetId="0">#REF!</definedName>
    <definedName name="_______dec1">#REF!</definedName>
    <definedName name="_______dec2" localSheetId="1">#REF!</definedName>
    <definedName name="_______dec2" localSheetId="2">#REF!</definedName>
    <definedName name="_______dec2" localSheetId="0">#REF!</definedName>
    <definedName name="_______dec2">#REF!</definedName>
    <definedName name="_______dec3" localSheetId="1">#REF!</definedName>
    <definedName name="_______dec3" localSheetId="2">#REF!</definedName>
    <definedName name="_______dec3" localSheetId="0">#REF!</definedName>
    <definedName name="_______dec3">#REF!</definedName>
    <definedName name="_______dee1" localSheetId="1">#REF!</definedName>
    <definedName name="_______dee1" localSheetId="2">#REF!</definedName>
    <definedName name="_______dee1" localSheetId="0">#REF!</definedName>
    <definedName name="_______dee1">#REF!</definedName>
    <definedName name="_______dee2" localSheetId="1">#REF!</definedName>
    <definedName name="_______dee2" localSheetId="2">#REF!</definedName>
    <definedName name="_______dee2" localSheetId="0">#REF!</definedName>
    <definedName name="_______dee2">#REF!</definedName>
    <definedName name="_______dee3" localSheetId="1">#REF!</definedName>
    <definedName name="_______dee3" localSheetId="2">#REF!</definedName>
    <definedName name="_______dee3" localSheetId="0">#REF!</definedName>
    <definedName name="_______dee3">#REF!</definedName>
    <definedName name="_______EST1">#REF!</definedName>
    <definedName name="_______EST2">#REF!</definedName>
    <definedName name="_______EST3">#REF!</definedName>
    <definedName name="_______IMM48" localSheetId="1">#REF!</definedName>
    <definedName name="_______IMM48" localSheetId="2">#REF!</definedName>
    <definedName name="_______IMM48" localSheetId="0">#REF!</definedName>
    <definedName name="_______IMM48">#REF!</definedName>
    <definedName name="_______LPN10">#REF!</definedName>
    <definedName name="_______LPN16">#REF!</definedName>
    <definedName name="_______MM1" localSheetId="1">#REF!</definedName>
    <definedName name="_______MM1" localSheetId="2">#REF!</definedName>
    <definedName name="_______MM1" localSheetId="0">#REF!</definedName>
    <definedName name="_______MM1" localSheetId="3">#REF!</definedName>
    <definedName name="_______MM1">#REF!</definedName>
    <definedName name="_______NA1" localSheetId="1">#REF!</definedName>
    <definedName name="_______NA1" localSheetId="2">#REF!</definedName>
    <definedName name="_______NA1" localSheetId="0">#REF!</definedName>
    <definedName name="_______NA1" localSheetId="3">#REF!</definedName>
    <definedName name="_______NA1">#REF!</definedName>
    <definedName name="_______NA2" localSheetId="1">#REF!</definedName>
    <definedName name="_______NA2" localSheetId="0">#REF!</definedName>
    <definedName name="_______NA2" localSheetId="3">#REF!</definedName>
    <definedName name="_______NA2">#REF!</definedName>
    <definedName name="_______NA3" localSheetId="1">#REF!</definedName>
    <definedName name="_______NA3" localSheetId="0">#REF!</definedName>
    <definedName name="_______NA3" localSheetId="3">#REF!</definedName>
    <definedName name="_______NA3">#REF!</definedName>
    <definedName name="_______NB1" localSheetId="1">#REF!</definedName>
    <definedName name="_______NB1" localSheetId="2">#REF!</definedName>
    <definedName name="_______NB1" localSheetId="0">#REF!</definedName>
    <definedName name="_______NB1">#REF!</definedName>
    <definedName name="_______NB2" localSheetId="1">#REF!</definedName>
    <definedName name="_______NB2" localSheetId="2">#REF!</definedName>
    <definedName name="_______NB2" localSheetId="0">#REF!</definedName>
    <definedName name="_______NB2">#REF!</definedName>
    <definedName name="_______NB3" localSheetId="1">#REF!</definedName>
    <definedName name="_______NB3" localSheetId="2">#REF!</definedName>
    <definedName name="_______NB3" localSheetId="0">#REF!</definedName>
    <definedName name="_______NB3">#REF!</definedName>
    <definedName name="_______nba1" localSheetId="1">#REF!</definedName>
    <definedName name="_______nba1" localSheetId="2">#REF!</definedName>
    <definedName name="_______nba1" localSheetId="0">#REF!</definedName>
    <definedName name="_______nba1">#REF!</definedName>
    <definedName name="_______Pt2">#REF!</definedName>
    <definedName name="_______Pt3">#REF!</definedName>
    <definedName name="_______qmg1">#REF!</definedName>
    <definedName name="_______qmg2">#REF!</definedName>
    <definedName name="_______qmg3">#REF!</definedName>
    <definedName name="_______Qt2">#REF!</definedName>
    <definedName name="_______Qt3">#REF!</definedName>
    <definedName name="_______R" localSheetId="1">#REF!</definedName>
    <definedName name="_______R" localSheetId="2">#REF!</definedName>
    <definedName name="_______R" localSheetId="0">#REF!</definedName>
    <definedName name="_______R" localSheetId="3">#REF!</definedName>
    <definedName name="_______R">#REF!</definedName>
    <definedName name="_______R100_" localSheetId="3">#REF!</definedName>
    <definedName name="_______R100_">#REF!</definedName>
    <definedName name="_______R150_" localSheetId="3">#REF!</definedName>
    <definedName name="_______R150_">#REF!</definedName>
    <definedName name="_______R200_" localSheetId="3">#REF!</definedName>
    <definedName name="_______R200_">#REF!</definedName>
    <definedName name="_______R300_">#REF!</definedName>
    <definedName name="_______SB1" localSheetId="1">#REF!</definedName>
    <definedName name="_______SB1" localSheetId="2">#REF!</definedName>
    <definedName name="_______SB1" localSheetId="0">#REF!</definedName>
    <definedName name="_______SB1">#REF!</definedName>
    <definedName name="_______SB2" localSheetId="1">#REF!</definedName>
    <definedName name="_______SB2" localSheetId="2">#REF!</definedName>
    <definedName name="_______SB2" localSheetId="0">#REF!</definedName>
    <definedName name="_______SB2">#REF!</definedName>
    <definedName name="_______SB3" localSheetId="1">#REF!</definedName>
    <definedName name="_______SB3" localSheetId="2">#REF!</definedName>
    <definedName name="_______SB3" localSheetId="0">#REF!</definedName>
    <definedName name="_______SB3">#REF!</definedName>
    <definedName name="_______SEB3" localSheetId="1">#REF!</definedName>
    <definedName name="_______SEB3" localSheetId="2">#REF!</definedName>
    <definedName name="_______SEB3" localSheetId="0">#REF!</definedName>
    <definedName name="_______SEB3">#REF!</definedName>
    <definedName name="_______seb5" localSheetId="1">#REF!</definedName>
    <definedName name="_______seb5" localSheetId="2">#REF!</definedName>
    <definedName name="_______seb5" localSheetId="0">#REF!</definedName>
    <definedName name="_______seb5">#REF!</definedName>
    <definedName name="_______seb6" localSheetId="1">#REF!</definedName>
    <definedName name="_______seb6" localSheetId="2">#REF!</definedName>
    <definedName name="_______seb6" localSheetId="0">#REF!</definedName>
    <definedName name="_______seb6">#REF!</definedName>
    <definedName name="_______seb8" localSheetId="1">#REF!</definedName>
    <definedName name="_______seb8" localSheetId="2">#REF!</definedName>
    <definedName name="_______seb8" localSheetId="0">#REF!</definedName>
    <definedName name="_______seb8">#REF!</definedName>
    <definedName name="_______ss1">#REF!</definedName>
    <definedName name="_______ss2">#REF!</definedName>
    <definedName name="_______ss3">#REF!</definedName>
    <definedName name="_______ss4">#REF!</definedName>
    <definedName name="_______ST100">#REF!</definedName>
    <definedName name="_______ST150">#REF!</definedName>
    <definedName name="_______ST200">#REF!</definedName>
    <definedName name="_______ST300">#REF!</definedName>
    <definedName name="______AA1">#REF!</definedName>
    <definedName name="______deb1" localSheetId="1">#REF!</definedName>
    <definedName name="______deb1" localSheetId="2">#REF!</definedName>
    <definedName name="______deb1" localSheetId="0">#REF!</definedName>
    <definedName name="______deb1">#REF!</definedName>
    <definedName name="______DEB3" localSheetId="1">#REF!</definedName>
    <definedName name="______DEB3" localSheetId="2">#REF!</definedName>
    <definedName name="______DEB3" localSheetId="0">#REF!</definedName>
    <definedName name="______DEB3">#REF!</definedName>
    <definedName name="______deb5" localSheetId="1">#REF!</definedName>
    <definedName name="______deb5" localSheetId="2">#REF!</definedName>
    <definedName name="______deb5" localSheetId="0">#REF!</definedName>
    <definedName name="______deb5">#REF!</definedName>
    <definedName name="______deb6" localSheetId="1">#REF!</definedName>
    <definedName name="______deb6" localSheetId="2">#REF!</definedName>
    <definedName name="______deb6" localSheetId="0">#REF!</definedName>
    <definedName name="______deb6">#REF!</definedName>
    <definedName name="______deb8" localSheetId="1">#REF!</definedName>
    <definedName name="______deb8" localSheetId="2">#REF!</definedName>
    <definedName name="______deb8" localSheetId="0">#REF!</definedName>
    <definedName name="______deb8">#REF!</definedName>
    <definedName name="______dec1" localSheetId="1">#REF!</definedName>
    <definedName name="______dec1" localSheetId="2">#REF!</definedName>
    <definedName name="______dec1" localSheetId="0">#REF!</definedName>
    <definedName name="______dec1">#REF!</definedName>
    <definedName name="______dec2" localSheetId="1">#REF!</definedName>
    <definedName name="______dec2" localSheetId="2">#REF!</definedName>
    <definedName name="______dec2" localSheetId="0">#REF!</definedName>
    <definedName name="______dec2">#REF!</definedName>
    <definedName name="______dec3" localSheetId="1">#REF!</definedName>
    <definedName name="______dec3" localSheetId="2">#REF!</definedName>
    <definedName name="______dec3" localSheetId="0">#REF!</definedName>
    <definedName name="______dec3">#REF!</definedName>
    <definedName name="______dee1" localSheetId="1">#REF!</definedName>
    <definedName name="______dee1" localSheetId="2">#REF!</definedName>
    <definedName name="______dee1" localSheetId="0">#REF!</definedName>
    <definedName name="______dee1">#REF!</definedName>
    <definedName name="______dee2" localSheetId="1">#REF!</definedName>
    <definedName name="______dee2" localSheetId="2">#REF!</definedName>
    <definedName name="______dee2" localSheetId="0">#REF!</definedName>
    <definedName name="______dee2">#REF!</definedName>
    <definedName name="______dee3" localSheetId="1">#REF!</definedName>
    <definedName name="______dee3" localSheetId="2">#REF!</definedName>
    <definedName name="______dee3" localSheetId="0">#REF!</definedName>
    <definedName name="______dee3">#REF!</definedName>
    <definedName name="______EST1">#REF!</definedName>
    <definedName name="______EST2">#REF!</definedName>
    <definedName name="______EST3">#REF!</definedName>
    <definedName name="______IMM48">#REF!</definedName>
    <definedName name="______LPN10">#REF!</definedName>
    <definedName name="______LPN16">#REF!</definedName>
    <definedName name="______MM1" localSheetId="1">#REF!</definedName>
    <definedName name="______MM1" localSheetId="2">#REF!</definedName>
    <definedName name="______MM1" localSheetId="0">#REF!</definedName>
    <definedName name="______MM1" localSheetId="3">#REF!</definedName>
    <definedName name="______MM1">#REF!</definedName>
    <definedName name="______NA1" localSheetId="1">#REF!</definedName>
    <definedName name="______NA1" localSheetId="2">#REF!</definedName>
    <definedName name="______NA1" localSheetId="0">#REF!</definedName>
    <definedName name="______NA1" localSheetId="3">#REF!</definedName>
    <definedName name="______NA1">#REF!</definedName>
    <definedName name="______NA2" localSheetId="1">#REF!</definedName>
    <definedName name="______NA2" localSheetId="0">#REF!</definedName>
    <definedName name="______NA2" localSheetId="3">#REF!</definedName>
    <definedName name="______NA2">#REF!</definedName>
    <definedName name="______NA3" localSheetId="1">#REF!</definedName>
    <definedName name="______NA3" localSheetId="0">#REF!</definedName>
    <definedName name="______NA3" localSheetId="3">#REF!</definedName>
    <definedName name="______NA3">#REF!</definedName>
    <definedName name="______NB1" localSheetId="1">#REF!</definedName>
    <definedName name="______NB1" localSheetId="2">#REF!</definedName>
    <definedName name="______NB1" localSheetId="0">#REF!</definedName>
    <definedName name="______NB1">#REF!</definedName>
    <definedName name="______NB2" localSheetId="1">#REF!</definedName>
    <definedName name="______NB2" localSheetId="2">#REF!</definedName>
    <definedName name="______NB2" localSheetId="0">#REF!</definedName>
    <definedName name="______NB2">#REF!</definedName>
    <definedName name="______NB3" localSheetId="1">#REF!</definedName>
    <definedName name="______NB3" localSheetId="2">#REF!</definedName>
    <definedName name="______NB3" localSheetId="0">#REF!</definedName>
    <definedName name="______NB3">#REF!</definedName>
    <definedName name="______nba1" localSheetId="1">#REF!</definedName>
    <definedName name="______nba1" localSheetId="2">#REF!</definedName>
    <definedName name="______nba1" localSheetId="0">#REF!</definedName>
    <definedName name="______nba1">#REF!</definedName>
    <definedName name="______qmg1">#REF!</definedName>
    <definedName name="______qmg3">#REF!</definedName>
    <definedName name="______R" localSheetId="1">#REF!</definedName>
    <definedName name="______R" localSheetId="2">#REF!</definedName>
    <definedName name="______R" localSheetId="0">#REF!</definedName>
    <definedName name="______R" localSheetId="3">#REF!</definedName>
    <definedName name="______R">#REF!</definedName>
    <definedName name="______R100_" localSheetId="3">#REF!</definedName>
    <definedName name="______R100_">#REF!</definedName>
    <definedName name="______R150_" localSheetId="3">#REF!</definedName>
    <definedName name="______R150_">#REF!</definedName>
    <definedName name="______R300_" localSheetId="3">#REF!</definedName>
    <definedName name="______R300_">#REF!</definedName>
    <definedName name="______SB1" localSheetId="1">#REF!</definedName>
    <definedName name="______SB1" localSheetId="2">#REF!</definedName>
    <definedName name="______SB1" localSheetId="0">#REF!</definedName>
    <definedName name="______SB1">#REF!</definedName>
    <definedName name="______SB2" localSheetId="1">#REF!</definedName>
    <definedName name="______SB2" localSheetId="2">#REF!</definedName>
    <definedName name="______SB2" localSheetId="0">#REF!</definedName>
    <definedName name="______SB2">#REF!</definedName>
    <definedName name="______SB3" localSheetId="1">#REF!</definedName>
    <definedName name="______SB3" localSheetId="2">#REF!</definedName>
    <definedName name="______SB3" localSheetId="0">#REF!</definedName>
    <definedName name="______SB3">#REF!</definedName>
    <definedName name="______SEB3" localSheetId="1">#REF!</definedName>
    <definedName name="______SEB3" localSheetId="2">#REF!</definedName>
    <definedName name="______SEB3" localSheetId="0">#REF!</definedName>
    <definedName name="______SEB3">#REF!</definedName>
    <definedName name="______seb5" localSheetId="1">#REF!</definedName>
    <definedName name="______seb5" localSheetId="2">#REF!</definedName>
    <definedName name="______seb5" localSheetId="0">#REF!</definedName>
    <definedName name="______seb5">#REF!</definedName>
    <definedName name="______seb6" localSheetId="1">#REF!</definedName>
    <definedName name="______seb6" localSheetId="2">#REF!</definedName>
    <definedName name="______seb6" localSheetId="0">#REF!</definedName>
    <definedName name="______seb6">#REF!</definedName>
    <definedName name="______seb8" localSheetId="1">#REF!</definedName>
    <definedName name="______seb8" localSheetId="2">#REF!</definedName>
    <definedName name="______seb8" localSheetId="0">#REF!</definedName>
    <definedName name="______seb8">#REF!</definedName>
    <definedName name="______ss1">#REF!</definedName>
    <definedName name="______ss2">#REF!</definedName>
    <definedName name="______ss3">#REF!</definedName>
    <definedName name="______ss4">#REF!</definedName>
    <definedName name="______ST150">#REF!</definedName>
    <definedName name="______ST300">#REF!</definedName>
    <definedName name="_____AA1">#REF!</definedName>
    <definedName name="_____deb1" localSheetId="1">#REF!</definedName>
    <definedName name="_____deb1" localSheetId="0">#REF!</definedName>
    <definedName name="_____deb1">#REF!</definedName>
    <definedName name="_____DEB3" localSheetId="1">#REF!</definedName>
    <definedName name="_____DEB3" localSheetId="2">#REF!</definedName>
    <definedName name="_____DEB3" localSheetId="0">#REF!</definedName>
    <definedName name="_____DEB3">#REF!</definedName>
    <definedName name="_____deb5" localSheetId="1">#REF!</definedName>
    <definedName name="_____deb5" localSheetId="2">#REF!</definedName>
    <definedName name="_____deb5" localSheetId="0">#REF!</definedName>
    <definedName name="_____deb5">#REF!</definedName>
    <definedName name="_____deb6" localSheetId="1">#REF!</definedName>
    <definedName name="_____deb6" localSheetId="2">#REF!</definedName>
    <definedName name="_____deb6" localSheetId="0">#REF!</definedName>
    <definedName name="_____deb6">#REF!</definedName>
    <definedName name="_____deb8" localSheetId="1">#REF!</definedName>
    <definedName name="_____deb8" localSheetId="2">#REF!</definedName>
    <definedName name="_____deb8" localSheetId="0">#REF!</definedName>
    <definedName name="_____deb8">#REF!</definedName>
    <definedName name="_____dec1" localSheetId="1">#REF!</definedName>
    <definedName name="_____dec1" localSheetId="0">#REF!</definedName>
    <definedName name="_____dec1">#REF!</definedName>
    <definedName name="_____dec2" localSheetId="1">#REF!</definedName>
    <definedName name="_____dec2" localSheetId="0">#REF!</definedName>
    <definedName name="_____dec2">#REF!</definedName>
    <definedName name="_____dec3" localSheetId="1">#REF!</definedName>
    <definedName name="_____dec3" localSheetId="0">#REF!</definedName>
    <definedName name="_____dec3">#REF!</definedName>
    <definedName name="_____dee1" localSheetId="1">#REF!</definedName>
    <definedName name="_____dee1" localSheetId="0">#REF!</definedName>
    <definedName name="_____dee1">#REF!</definedName>
    <definedName name="_____dee2" localSheetId="1">#REF!</definedName>
    <definedName name="_____dee2" localSheetId="0">#REF!</definedName>
    <definedName name="_____dee2">#REF!</definedName>
    <definedName name="_____dee3" localSheetId="1">#REF!</definedName>
    <definedName name="_____dee3" localSheetId="0">#REF!</definedName>
    <definedName name="_____dee3">#REF!</definedName>
    <definedName name="_____EST1" localSheetId="1">#REF!</definedName>
    <definedName name="_____EST1" localSheetId="2">#REF!</definedName>
    <definedName name="_____EST1" localSheetId="0">#REF!</definedName>
    <definedName name="_____EST1">#REF!</definedName>
    <definedName name="_____EST2" localSheetId="1">#REF!</definedName>
    <definedName name="_____EST2" localSheetId="2">#REF!</definedName>
    <definedName name="_____EST2" localSheetId="0">#REF!</definedName>
    <definedName name="_____EST2">#REF!</definedName>
    <definedName name="_____EST3" localSheetId="1">#REF!</definedName>
    <definedName name="_____EST3" localSheetId="2">#REF!</definedName>
    <definedName name="_____EST3" localSheetId="0">#REF!</definedName>
    <definedName name="_____EST3">#REF!</definedName>
    <definedName name="_____IMM48" localSheetId="1">#REF!</definedName>
    <definedName name="_____IMM48" localSheetId="2">#REF!</definedName>
    <definedName name="_____IMM48" localSheetId="0">#REF!</definedName>
    <definedName name="_____IMM48">#REF!</definedName>
    <definedName name="_____LPN10">#REF!</definedName>
    <definedName name="_____LPN16">#REF!</definedName>
    <definedName name="_____MM1" localSheetId="1">#REF!</definedName>
    <definedName name="_____MM1" localSheetId="2">#REF!</definedName>
    <definedName name="_____MM1" localSheetId="0">#REF!</definedName>
    <definedName name="_____MM1" localSheetId="3">#REF!</definedName>
    <definedName name="_____MM1">#REF!</definedName>
    <definedName name="_____NA1" localSheetId="1">#REF!</definedName>
    <definedName name="_____NA1" localSheetId="2">#REF!</definedName>
    <definedName name="_____NA1" localSheetId="0">#REF!</definedName>
    <definedName name="_____NA1" localSheetId="3">#REF!</definedName>
    <definedName name="_____NA1">#REF!</definedName>
    <definedName name="_____NA2" localSheetId="1">#REF!</definedName>
    <definedName name="_____NA2" localSheetId="0">#REF!</definedName>
    <definedName name="_____NA2" localSheetId="3">#REF!</definedName>
    <definedName name="_____NA2">#REF!</definedName>
    <definedName name="_____NA3" localSheetId="1">#REF!</definedName>
    <definedName name="_____NA3" localSheetId="0">#REF!</definedName>
    <definedName name="_____NA3" localSheetId="3">#REF!</definedName>
    <definedName name="_____NA3">#REF!</definedName>
    <definedName name="_____NB1" localSheetId="1">#REF!</definedName>
    <definedName name="_____NB1" localSheetId="2">#REF!</definedName>
    <definedName name="_____NB1" localSheetId="0">#REF!</definedName>
    <definedName name="_____NB1">#REF!</definedName>
    <definedName name="_____NB2" localSheetId="1">#REF!</definedName>
    <definedName name="_____NB2" localSheetId="0">#REF!</definedName>
    <definedName name="_____NB2">#REF!</definedName>
    <definedName name="_____NB3" localSheetId="1">#REF!</definedName>
    <definedName name="_____NB3" localSheetId="0">#REF!</definedName>
    <definedName name="_____NB3">#REF!</definedName>
    <definedName name="_____nba1" localSheetId="1">#REF!</definedName>
    <definedName name="_____nba1" localSheetId="2">#REF!</definedName>
    <definedName name="_____nba1" localSheetId="0">#REF!</definedName>
    <definedName name="_____nba1">#REF!</definedName>
    <definedName name="_____Pt2">#REF!</definedName>
    <definedName name="_____Pt3">#REF!</definedName>
    <definedName name="_____qmg1">#REF!</definedName>
    <definedName name="_____qmg2">#REF!</definedName>
    <definedName name="_____qmg3">#REF!</definedName>
    <definedName name="_____Qt2">#REF!</definedName>
    <definedName name="_____Qt3">#REF!</definedName>
    <definedName name="_____R" localSheetId="1">#REF!</definedName>
    <definedName name="_____R" localSheetId="2">#REF!</definedName>
    <definedName name="_____R" localSheetId="0">#REF!</definedName>
    <definedName name="_____R" localSheetId="3">#REF!</definedName>
    <definedName name="_____R">#REF!</definedName>
    <definedName name="_____R100_" localSheetId="3">#REF!</definedName>
    <definedName name="_____R100_">#REF!</definedName>
    <definedName name="_____R150_" localSheetId="3">#REF!</definedName>
    <definedName name="_____R150_">#REF!</definedName>
    <definedName name="_____R200_" localSheetId="3">#REF!</definedName>
    <definedName name="_____R200_">#REF!</definedName>
    <definedName name="_____R300_">#REF!</definedName>
    <definedName name="_____SB1" localSheetId="1">#REF!</definedName>
    <definedName name="_____SB1" localSheetId="2">#REF!</definedName>
    <definedName name="_____SB1" localSheetId="0">#REF!</definedName>
    <definedName name="_____SB1">#REF!</definedName>
    <definedName name="_____SB2" localSheetId="1">#REF!</definedName>
    <definedName name="_____SB2" localSheetId="0">#REF!</definedName>
    <definedName name="_____SB2">#REF!</definedName>
    <definedName name="_____SB3" localSheetId="1">#REF!</definedName>
    <definedName name="_____SB3" localSheetId="0">#REF!</definedName>
    <definedName name="_____SB3">#REF!</definedName>
    <definedName name="_____SEB3" localSheetId="1">#REF!</definedName>
    <definedName name="_____SEB3" localSheetId="2">#REF!</definedName>
    <definedName name="_____SEB3" localSheetId="0">#REF!</definedName>
    <definedName name="_____SEB3">#REF!</definedName>
    <definedName name="_____seb5" localSheetId="1">#REF!</definedName>
    <definedName name="_____seb5" localSheetId="2">#REF!</definedName>
    <definedName name="_____seb5" localSheetId="0">#REF!</definedName>
    <definedName name="_____seb5">#REF!</definedName>
    <definedName name="_____seb6" localSheetId="1">#REF!</definedName>
    <definedName name="_____seb6" localSheetId="2">#REF!</definedName>
    <definedName name="_____seb6" localSheetId="0">#REF!</definedName>
    <definedName name="_____seb6">#REF!</definedName>
    <definedName name="_____seb8" localSheetId="1">#REF!</definedName>
    <definedName name="_____seb8" localSheetId="2">#REF!</definedName>
    <definedName name="_____seb8" localSheetId="0">#REF!</definedName>
    <definedName name="_____seb8">#REF!</definedName>
    <definedName name="_____ss1">#REF!</definedName>
    <definedName name="_____ss2">#REF!</definedName>
    <definedName name="_____ss3">#REF!</definedName>
    <definedName name="_____ss4">#REF!</definedName>
    <definedName name="_____ST100">#REF!</definedName>
    <definedName name="_____ST150">#REF!</definedName>
    <definedName name="_____ST200">#REF!</definedName>
    <definedName name="_____ST300">#REF!</definedName>
    <definedName name="____AA1">#REF!</definedName>
    <definedName name="____deb1" localSheetId="1">#REF!</definedName>
    <definedName name="____deb1" localSheetId="0">#REF!</definedName>
    <definedName name="____deb1">#REF!</definedName>
    <definedName name="____DEB3" localSheetId="1">#REF!</definedName>
    <definedName name="____DEB3" localSheetId="2">#REF!</definedName>
    <definedName name="____DEB3" localSheetId="0">#REF!</definedName>
    <definedName name="____DEB3">#REF!</definedName>
    <definedName name="____deb5" localSheetId="1">#REF!</definedName>
    <definedName name="____deb5" localSheetId="2">#REF!</definedName>
    <definedName name="____deb5" localSheetId="0">#REF!</definedName>
    <definedName name="____deb5">#REF!</definedName>
    <definedName name="____deb6" localSheetId="1">#REF!</definedName>
    <definedName name="____deb6" localSheetId="2">#REF!</definedName>
    <definedName name="____deb6" localSheetId="0">#REF!</definedName>
    <definedName name="____deb6">#REF!</definedName>
    <definedName name="____deb8" localSheetId="1">#REF!</definedName>
    <definedName name="____deb8" localSheetId="2">#REF!</definedName>
    <definedName name="____deb8" localSheetId="0">#REF!</definedName>
    <definedName name="____deb8">#REF!</definedName>
    <definedName name="____dec1" localSheetId="1">#REF!</definedName>
    <definedName name="____dec1" localSheetId="0">#REF!</definedName>
    <definedName name="____dec1">#REF!</definedName>
    <definedName name="____dec2" localSheetId="1">#REF!</definedName>
    <definedName name="____dec2" localSheetId="0">#REF!</definedName>
    <definedName name="____dec2">#REF!</definedName>
    <definedName name="____dec3" localSheetId="1">#REF!</definedName>
    <definedName name="____dec3" localSheetId="0">#REF!</definedName>
    <definedName name="____dec3">#REF!</definedName>
    <definedName name="____dee1" localSheetId="1">#REF!</definedName>
    <definedName name="____dee1" localSheetId="0">#REF!</definedName>
    <definedName name="____dee1">#REF!</definedName>
    <definedName name="____dee2" localSheetId="1">#REF!</definedName>
    <definedName name="____dee2" localSheetId="0">#REF!</definedName>
    <definedName name="____dee2">#REF!</definedName>
    <definedName name="____dee3" localSheetId="1">#REF!</definedName>
    <definedName name="____dee3" localSheetId="0">#REF!</definedName>
    <definedName name="____dee3">#REF!</definedName>
    <definedName name="____EST1" localSheetId="1">#REF!</definedName>
    <definedName name="____EST1" localSheetId="2">#REF!</definedName>
    <definedName name="____EST1" localSheetId="0">#REF!</definedName>
    <definedName name="____EST1">#REF!</definedName>
    <definedName name="____EST2" localSheetId="1">#REF!</definedName>
    <definedName name="____EST2" localSheetId="2">#REF!</definedName>
    <definedName name="____EST2" localSheetId="0">#REF!</definedName>
    <definedName name="____EST2">#REF!</definedName>
    <definedName name="____EST3" localSheetId="1">#REF!</definedName>
    <definedName name="____EST3" localSheetId="2">#REF!</definedName>
    <definedName name="____EST3" localSheetId="0">#REF!</definedName>
    <definedName name="____EST3">#REF!</definedName>
    <definedName name="____IMM48" localSheetId="1">#REF!</definedName>
    <definedName name="____IMM48" localSheetId="2">#REF!</definedName>
    <definedName name="____IMM48" localSheetId="0">#REF!</definedName>
    <definedName name="____IMM48">#REF!</definedName>
    <definedName name="____LPN10">#REF!</definedName>
    <definedName name="____LPN16">#REF!</definedName>
    <definedName name="____MM1" localSheetId="1">#REF!</definedName>
    <definedName name="____MM1" localSheetId="2">#REF!</definedName>
    <definedName name="____MM1" localSheetId="0">#REF!</definedName>
    <definedName name="____MM1" localSheetId="3">#REF!</definedName>
    <definedName name="____MM1">#REF!</definedName>
    <definedName name="____NA1" localSheetId="1">#REF!</definedName>
    <definedName name="____NA1" localSheetId="2">#REF!</definedName>
    <definedName name="____NA1" localSheetId="0">#REF!</definedName>
    <definedName name="____NA1" localSheetId="3">#REF!</definedName>
    <definedName name="____NA1">#REF!</definedName>
    <definedName name="____NA2" localSheetId="1">#REF!</definedName>
    <definedName name="____NA2" localSheetId="0">#REF!</definedName>
    <definedName name="____NA2" localSheetId="3">#REF!</definedName>
    <definedName name="____NA2">#REF!</definedName>
    <definedName name="____NA3" localSheetId="1">#REF!</definedName>
    <definedName name="____NA3" localSheetId="0">#REF!</definedName>
    <definedName name="____NA3" localSheetId="3">#REF!</definedName>
    <definedName name="____NA3">#REF!</definedName>
    <definedName name="____NB1" localSheetId="1">#REF!</definedName>
    <definedName name="____NB1" localSheetId="0">#REF!</definedName>
    <definedName name="____NB1" localSheetId="3">#REF!</definedName>
    <definedName name="____NB1">#REF!</definedName>
    <definedName name="____NB2" localSheetId="1">#REF!</definedName>
    <definedName name="____NB2" localSheetId="0">#REF!</definedName>
    <definedName name="____NB2">#REF!</definedName>
    <definedName name="____NB3" localSheetId="1">#REF!</definedName>
    <definedName name="____NB3" localSheetId="0">#REF!</definedName>
    <definedName name="____NB3">#REF!</definedName>
    <definedName name="____nba1" localSheetId="1">#REF!</definedName>
    <definedName name="____nba1" localSheetId="0">#REF!</definedName>
    <definedName name="____nba1">#REF!</definedName>
    <definedName name="____Pt2">#REF!</definedName>
    <definedName name="____Pt3">#REF!</definedName>
    <definedName name="____qmg1">#REF!</definedName>
    <definedName name="____qmg2">#REF!</definedName>
    <definedName name="____qmg3">#REF!</definedName>
    <definedName name="____Qt2">#REF!</definedName>
    <definedName name="____Qt3">#REF!</definedName>
    <definedName name="____R" localSheetId="1">#REF!</definedName>
    <definedName name="____R" localSheetId="2">#REF!</definedName>
    <definedName name="____R" localSheetId="0">#REF!</definedName>
    <definedName name="____R" localSheetId="3">#REF!</definedName>
    <definedName name="____R">#REF!</definedName>
    <definedName name="____R100_" localSheetId="3">#REF!</definedName>
    <definedName name="____R100_">#REF!</definedName>
    <definedName name="____R150_" localSheetId="3">#REF!</definedName>
    <definedName name="____R150_">#REF!</definedName>
    <definedName name="____R200_" localSheetId="3">#REF!</definedName>
    <definedName name="____R200_">#REF!</definedName>
    <definedName name="____R300_">#REF!</definedName>
    <definedName name="____SB1" localSheetId="1">#REF!</definedName>
    <definedName name="____SB1" localSheetId="2">#REF!</definedName>
    <definedName name="____SB1" localSheetId="0">#REF!</definedName>
    <definedName name="____SB1">#REF!</definedName>
    <definedName name="____SB2" localSheetId="1">#REF!</definedName>
    <definedName name="____SB2" localSheetId="0">#REF!</definedName>
    <definedName name="____SB2">#REF!</definedName>
    <definedName name="____SB3" localSheetId="1">#REF!</definedName>
    <definedName name="____SB3" localSheetId="0">#REF!</definedName>
    <definedName name="____SB3">#REF!</definedName>
    <definedName name="____SEB3" localSheetId="1">#REF!</definedName>
    <definedName name="____SEB3" localSheetId="2">#REF!</definedName>
    <definedName name="____SEB3" localSheetId="0">#REF!</definedName>
    <definedName name="____SEB3">#REF!</definedName>
    <definedName name="____seb5" localSheetId="1">#REF!</definedName>
    <definedName name="____seb5" localSheetId="2">#REF!</definedName>
    <definedName name="____seb5" localSheetId="0">#REF!</definedName>
    <definedName name="____seb5">#REF!</definedName>
    <definedName name="____seb6" localSheetId="1">#REF!</definedName>
    <definedName name="____seb6" localSheetId="2">#REF!</definedName>
    <definedName name="____seb6" localSheetId="0">#REF!</definedName>
    <definedName name="____seb6">#REF!</definedName>
    <definedName name="____seb8" localSheetId="1">#REF!</definedName>
    <definedName name="____seb8" localSheetId="2">#REF!</definedName>
    <definedName name="____seb8" localSheetId="0">#REF!</definedName>
    <definedName name="____seb8">#REF!</definedName>
    <definedName name="____ss1">#REF!</definedName>
    <definedName name="____ss2">#REF!</definedName>
    <definedName name="____ss3">#REF!</definedName>
    <definedName name="____ss4">#REF!</definedName>
    <definedName name="____ST100">#REF!</definedName>
    <definedName name="____ST150">#REF!</definedName>
    <definedName name="____ST200">#REF!</definedName>
    <definedName name="____ST300">#REF!</definedName>
    <definedName name="___AA1">#REF!</definedName>
    <definedName name="___deb1" localSheetId="1">#REF!</definedName>
    <definedName name="___deb1" localSheetId="0">#REF!</definedName>
    <definedName name="___deb1">#REF!</definedName>
    <definedName name="___DEB3" localSheetId="1">#REF!</definedName>
    <definedName name="___DEB3" localSheetId="2">#REF!</definedName>
    <definedName name="___DEB3" localSheetId="0">#REF!</definedName>
    <definedName name="___DEB3">#REF!</definedName>
    <definedName name="___deb5" localSheetId="1">#REF!</definedName>
    <definedName name="___deb5" localSheetId="2">#REF!</definedName>
    <definedName name="___deb5" localSheetId="0">#REF!</definedName>
    <definedName name="___deb5">#REF!</definedName>
    <definedName name="___deb6" localSheetId="1">#REF!</definedName>
    <definedName name="___deb6" localSheetId="2">#REF!</definedName>
    <definedName name="___deb6" localSheetId="0">#REF!</definedName>
    <definedName name="___deb6">#REF!</definedName>
    <definedName name="___deb8" localSheetId="1">#REF!</definedName>
    <definedName name="___deb8" localSheetId="2">#REF!</definedName>
    <definedName name="___deb8" localSheetId="0">#REF!</definedName>
    <definedName name="___deb8">#REF!</definedName>
    <definedName name="___dec1" localSheetId="1">#REF!</definedName>
    <definedName name="___dec1" localSheetId="0">#REF!</definedName>
    <definedName name="___dec1">#REF!</definedName>
    <definedName name="___dec2" localSheetId="1">#REF!</definedName>
    <definedName name="___dec2" localSheetId="0">#REF!</definedName>
    <definedName name="___dec2">#REF!</definedName>
    <definedName name="___dec3" localSheetId="1">#REF!</definedName>
    <definedName name="___dec3" localSheetId="0">#REF!</definedName>
    <definedName name="___dec3">#REF!</definedName>
    <definedName name="___dee1" localSheetId="1">#REF!</definedName>
    <definedName name="___dee1" localSheetId="0">#REF!</definedName>
    <definedName name="___dee1">#REF!</definedName>
    <definedName name="___dee2" localSheetId="1">#REF!</definedName>
    <definedName name="___dee2" localSheetId="0">#REF!</definedName>
    <definedName name="___dee2">#REF!</definedName>
    <definedName name="___dee3" localSheetId="1">#REF!</definedName>
    <definedName name="___dee3" localSheetId="0">#REF!</definedName>
    <definedName name="___dee3">#REF!</definedName>
    <definedName name="___EST1" localSheetId="1">#REF!</definedName>
    <definedName name="___EST1" localSheetId="2">#REF!</definedName>
    <definedName name="___EST1" localSheetId="0">#REF!</definedName>
    <definedName name="___EST1">#REF!</definedName>
    <definedName name="___EST2" localSheetId="1">#REF!</definedName>
    <definedName name="___EST2" localSheetId="2">#REF!</definedName>
    <definedName name="___EST2" localSheetId="0">#REF!</definedName>
    <definedName name="___EST2">#REF!</definedName>
    <definedName name="___EST3" localSheetId="1">#REF!</definedName>
    <definedName name="___EST3" localSheetId="2">#REF!</definedName>
    <definedName name="___EST3" localSheetId="0">#REF!</definedName>
    <definedName name="___EST3">#REF!</definedName>
    <definedName name="___IMM48">#REF!</definedName>
    <definedName name="___LPN10">#REF!</definedName>
    <definedName name="___LPN16">#REF!</definedName>
    <definedName name="___MM1" localSheetId="1">#REF!</definedName>
    <definedName name="___MM1" localSheetId="2">#REF!</definedName>
    <definedName name="___MM1" localSheetId="0">#REF!</definedName>
    <definedName name="___MM1" localSheetId="3">#REF!</definedName>
    <definedName name="___MM1">#REF!</definedName>
    <definedName name="___NA1" localSheetId="1">#REF!</definedName>
    <definedName name="___NA1" localSheetId="2">#REF!</definedName>
    <definedName name="___NA1" localSheetId="0">#REF!</definedName>
    <definedName name="___NA1" localSheetId="3">#REF!</definedName>
    <definedName name="___NA1">#REF!</definedName>
    <definedName name="___NA2" localSheetId="1">#REF!</definedName>
    <definedName name="___NA2" localSheetId="0">#REF!</definedName>
    <definedName name="___NA2" localSheetId="3">#REF!</definedName>
    <definedName name="___NA2">#REF!</definedName>
    <definedName name="___NA3" localSheetId="1">#REF!</definedName>
    <definedName name="___NA3" localSheetId="0">#REF!</definedName>
    <definedName name="___NA3" localSheetId="3">#REF!</definedName>
    <definedName name="___NA3">#REF!</definedName>
    <definedName name="___NB1" localSheetId="1">#REF!</definedName>
    <definedName name="___NB1" localSheetId="0">#REF!</definedName>
    <definedName name="___NB1" localSheetId="3">#REF!</definedName>
    <definedName name="___NB1">#REF!</definedName>
    <definedName name="___NB2" localSheetId="1">#REF!</definedName>
    <definedName name="___NB2" localSheetId="0">#REF!</definedName>
    <definedName name="___NB2">#REF!</definedName>
    <definedName name="___NB3" localSheetId="1">#REF!</definedName>
    <definedName name="___NB3" localSheetId="0">#REF!</definedName>
    <definedName name="___NB3">#REF!</definedName>
    <definedName name="___nba1" localSheetId="1">#REF!</definedName>
    <definedName name="___nba1" localSheetId="0">#REF!</definedName>
    <definedName name="___nba1">#REF!</definedName>
    <definedName name="___Pt2">#REF!</definedName>
    <definedName name="___Pt3">#REF!</definedName>
    <definedName name="___qmg1">#REF!</definedName>
    <definedName name="___qmg2">#REF!</definedName>
    <definedName name="___qmg3">#REF!</definedName>
    <definedName name="___Qt2">#REF!</definedName>
    <definedName name="___Qt3">#REF!</definedName>
    <definedName name="___r" localSheetId="1">#REF!</definedName>
    <definedName name="___r" localSheetId="2">#REF!</definedName>
    <definedName name="___r" localSheetId="0">#REF!</definedName>
    <definedName name="___r">#REF!</definedName>
    <definedName name="___R100_">#REF!</definedName>
    <definedName name="___R150_">#REF!</definedName>
    <definedName name="___R200_">#REF!</definedName>
    <definedName name="___R300_">#REF!</definedName>
    <definedName name="___SB1" localSheetId="1">#REF!</definedName>
    <definedName name="___SB1" localSheetId="0">#REF!</definedName>
    <definedName name="___SB1">#REF!</definedName>
    <definedName name="___SB2" localSheetId="1">#REF!</definedName>
    <definedName name="___SB2" localSheetId="0">#REF!</definedName>
    <definedName name="___SB2">#REF!</definedName>
    <definedName name="___SB3" localSheetId="1">#REF!</definedName>
    <definedName name="___SB3" localSheetId="0">#REF!</definedName>
    <definedName name="___SB3">#REF!</definedName>
    <definedName name="___SEB3" localSheetId="1">#REF!</definedName>
    <definedName name="___SEB3" localSheetId="2">#REF!</definedName>
    <definedName name="___SEB3" localSheetId="0">#REF!</definedName>
    <definedName name="___SEB3">#REF!</definedName>
    <definedName name="___seb5" localSheetId="1">#REF!</definedName>
    <definedName name="___seb5" localSheetId="2">#REF!</definedName>
    <definedName name="___seb5" localSheetId="0">#REF!</definedName>
    <definedName name="___seb5">#REF!</definedName>
    <definedName name="___seb6" localSheetId="1">#REF!</definedName>
    <definedName name="___seb6" localSheetId="2">#REF!</definedName>
    <definedName name="___seb6" localSheetId="0">#REF!</definedName>
    <definedName name="___seb6">#REF!</definedName>
    <definedName name="___seb8" localSheetId="1">#REF!</definedName>
    <definedName name="___seb8" localSheetId="2">#REF!</definedName>
    <definedName name="___seb8" localSheetId="0">#REF!</definedName>
    <definedName name="___seb8">#REF!</definedName>
    <definedName name="___ss1">#REF!</definedName>
    <definedName name="___ss2">#REF!</definedName>
    <definedName name="___ss3">#REF!</definedName>
    <definedName name="___ss4">#REF!</definedName>
    <definedName name="___ST100">#REF!</definedName>
    <definedName name="___ST150">#REF!</definedName>
    <definedName name="___ST200">#REF!</definedName>
    <definedName name="___ST300">#REF!</definedName>
    <definedName name="__1c" localSheetId="1">#REF!</definedName>
    <definedName name="__1c" localSheetId="0">#REF!</definedName>
    <definedName name="__1c">#REF!</definedName>
    <definedName name="__1cc" localSheetId="1">#REF!</definedName>
    <definedName name="__1cc" localSheetId="0">#REF!</definedName>
    <definedName name="__1cc">#REF!</definedName>
    <definedName name="__AA1">#REF!</definedName>
    <definedName name="__deb1" localSheetId="1">#REF!</definedName>
    <definedName name="__deb1" localSheetId="0">#REF!</definedName>
    <definedName name="__deb1">#REF!</definedName>
    <definedName name="__DEB3" localSheetId="1">#REF!</definedName>
    <definedName name="__DEB3" localSheetId="0">#REF!</definedName>
    <definedName name="__DEB3">#REF!</definedName>
    <definedName name="__deb5" localSheetId="1">#REF!</definedName>
    <definedName name="__deb5" localSheetId="0">#REF!</definedName>
    <definedName name="__deb5">#REF!</definedName>
    <definedName name="__deb6" localSheetId="1">#REF!</definedName>
    <definedName name="__deb6" localSheetId="0">#REF!</definedName>
    <definedName name="__deb6">#REF!</definedName>
    <definedName name="__deb8" localSheetId="1">#REF!</definedName>
    <definedName name="__deb8" localSheetId="0">#REF!</definedName>
    <definedName name="__deb8">#REF!</definedName>
    <definedName name="__dec1" localSheetId="1">#REF!</definedName>
    <definedName name="__dec1" localSheetId="0">#REF!</definedName>
    <definedName name="__dec1">#REF!</definedName>
    <definedName name="__dec2" localSheetId="1">#REF!</definedName>
    <definedName name="__dec2" localSheetId="0">#REF!</definedName>
    <definedName name="__dec2">#REF!</definedName>
    <definedName name="__dec3" localSheetId="1">#REF!</definedName>
    <definedName name="__dec3" localSheetId="0">#REF!</definedName>
    <definedName name="__dec3">#REF!</definedName>
    <definedName name="__dee1" localSheetId="1">#REF!</definedName>
    <definedName name="__dee1" localSheetId="0">#REF!</definedName>
    <definedName name="__dee1">#REF!</definedName>
    <definedName name="__dee2" localSheetId="1">#REF!</definedName>
    <definedName name="__dee2" localSheetId="0">#REF!</definedName>
    <definedName name="__dee2">#REF!</definedName>
    <definedName name="__dee3" localSheetId="1">#REF!</definedName>
    <definedName name="__dee3" localSheetId="0">#REF!</definedName>
    <definedName name="__dee3">#REF!</definedName>
    <definedName name="__domotiquechambre">#REF!</definedName>
    <definedName name="__EST1" localSheetId="1">#REF!</definedName>
    <definedName name="__EST1" localSheetId="2">#REF!</definedName>
    <definedName name="__EST1" localSheetId="0">#REF!</definedName>
    <definedName name="__EST1">#REF!</definedName>
    <definedName name="__EST2" localSheetId="1">#REF!</definedName>
    <definedName name="__EST2" localSheetId="2">#REF!</definedName>
    <definedName name="__EST2" localSheetId="0">#REF!</definedName>
    <definedName name="__EST2">#REF!</definedName>
    <definedName name="__EST3" localSheetId="1">#REF!</definedName>
    <definedName name="__EST3" localSheetId="2">#REF!</definedName>
    <definedName name="__EST3" localSheetId="0">#REF!</definedName>
    <definedName name="__EST3">#REF!</definedName>
    <definedName name="__IMM48" localSheetId="1">#REF!</definedName>
    <definedName name="__IMM48" localSheetId="2">#REF!</definedName>
    <definedName name="__IMM48" localSheetId="0">#REF!</definedName>
    <definedName name="__IMM48">#REF!</definedName>
    <definedName name="__LPN10">#REF!</definedName>
    <definedName name="__LPN16">#REF!</definedName>
    <definedName name="__maj4">#REF!</definedName>
    <definedName name="__MM1" localSheetId="1">#REF!</definedName>
    <definedName name="__MM1" localSheetId="2">#REF!</definedName>
    <definedName name="__MM1" localSheetId="0">#REF!</definedName>
    <definedName name="__MM1" localSheetId="3">#REF!</definedName>
    <definedName name="__MM1">#REF!</definedName>
    <definedName name="__NA1" localSheetId="1">#REF!</definedName>
    <definedName name="__NA1" localSheetId="2">#REF!</definedName>
    <definedName name="__NA1" localSheetId="0">#REF!</definedName>
    <definedName name="__NA1">#REF!</definedName>
    <definedName name="__NA2" localSheetId="1">#REF!</definedName>
    <definedName name="__NA2" localSheetId="0">#REF!</definedName>
    <definedName name="__NA2">#REF!</definedName>
    <definedName name="__NA3" localSheetId="1">#REF!</definedName>
    <definedName name="__NA3" localSheetId="0">#REF!</definedName>
    <definedName name="__NA3">#REF!</definedName>
    <definedName name="__NB1" localSheetId="1">#REF!</definedName>
    <definedName name="__NB1" localSheetId="0">#REF!</definedName>
    <definedName name="__NB1">#REF!</definedName>
    <definedName name="__NB2" localSheetId="1">#REF!</definedName>
    <definedName name="__NB2" localSheetId="0">#REF!</definedName>
    <definedName name="__NB2">#REF!</definedName>
    <definedName name="__NB3" localSheetId="1">#REF!</definedName>
    <definedName name="__NB3" localSheetId="0">#REF!</definedName>
    <definedName name="__NB3">#REF!</definedName>
    <definedName name="__nba1" localSheetId="1">#REF!</definedName>
    <definedName name="__nba1" localSheetId="0">#REF!</definedName>
    <definedName name="__nba1">#REF!</definedName>
    <definedName name="__Pt2">#REF!</definedName>
    <definedName name="__Pt3">#REF!</definedName>
    <definedName name="__qmg1">#REF!</definedName>
    <definedName name="__qmg2">#REF!</definedName>
    <definedName name="__qmg3">#REF!</definedName>
    <definedName name="__Qt2">#REF!</definedName>
    <definedName name="__Qt3">#REF!</definedName>
    <definedName name="__R" localSheetId="1">#REF!</definedName>
    <definedName name="__R" localSheetId="0">#REF!</definedName>
    <definedName name="__r" localSheetId="3">#REF!</definedName>
    <definedName name="__R">#REF!</definedName>
    <definedName name="__R100_" localSheetId="3">#REF!</definedName>
    <definedName name="__R100_">#REF!</definedName>
    <definedName name="__R150_">#REF!</definedName>
    <definedName name="__R200_">#REF!</definedName>
    <definedName name="__R300_">#REF!</definedName>
    <definedName name="__SB1" localSheetId="1">#REF!</definedName>
    <definedName name="__SB1" localSheetId="2">#REF!</definedName>
    <definedName name="__SB1" localSheetId="0">#REF!</definedName>
    <definedName name="__SB1">#REF!</definedName>
    <definedName name="__SB2" localSheetId="1">#REF!</definedName>
    <definedName name="__SB2" localSheetId="0">#REF!</definedName>
    <definedName name="__SB2">#REF!</definedName>
    <definedName name="__SB3" localSheetId="1">#REF!</definedName>
    <definedName name="__SB3" localSheetId="0">#REF!</definedName>
    <definedName name="__SB3">#REF!</definedName>
    <definedName name="__SEB3" localSheetId="1">#REF!</definedName>
    <definedName name="__SEB3" localSheetId="0">#REF!</definedName>
    <definedName name="__SEB3">#REF!</definedName>
    <definedName name="__seb5" localSheetId="1">#REF!</definedName>
    <definedName name="__seb5" localSheetId="0">#REF!</definedName>
    <definedName name="__seb5">#REF!</definedName>
    <definedName name="__seb6" localSheetId="1">#REF!</definedName>
    <definedName name="__seb6" localSheetId="0">#REF!</definedName>
    <definedName name="__seb6">#REF!</definedName>
    <definedName name="__seb8" localSheetId="1">#REF!</definedName>
    <definedName name="__seb8" localSheetId="0">#REF!</definedName>
    <definedName name="__seb8">#REF!</definedName>
    <definedName name="__ss1">#REF!</definedName>
    <definedName name="__ss2">#REF!</definedName>
    <definedName name="__ss3">#REF!</definedName>
    <definedName name="__ss4">#REF!</definedName>
    <definedName name="__ST100">#REF!</definedName>
    <definedName name="__ST150">#REF!</definedName>
    <definedName name="__ST200">#REF!</definedName>
    <definedName name="__ST300">#REF!</definedName>
    <definedName name="__tx1">#REF!</definedName>
    <definedName name="__tx2">#REF!</definedName>
    <definedName name="_1" localSheetId="1">#REF!</definedName>
    <definedName name="_1" localSheetId="0">#REF!</definedName>
    <definedName name="_1">#REF!</definedName>
    <definedName name="_1_Excel_BuiltIn_Print_Area_4_1">#REF!</definedName>
    <definedName name="_10" localSheetId="1">#REF!</definedName>
    <definedName name="_10" localSheetId="0">#REF!</definedName>
    <definedName name="_10">#REF!</definedName>
    <definedName name="_100_Fonte_k9">#REF!</definedName>
    <definedName name="_110PN10">#REF!</definedName>
    <definedName name="_110PN16">#REF!</definedName>
    <definedName name="_125_Fonte_k9">#REF!</definedName>
    <definedName name="_125PN10">#REF!</definedName>
    <definedName name="_125PN16">#REF!</definedName>
    <definedName name="_140PN10">#REF!</definedName>
    <definedName name="_140PN16">#REF!</definedName>
    <definedName name="_150_Fonte_k9">#REF!</definedName>
    <definedName name="_160PN10">#REF!</definedName>
    <definedName name="_160PN16">#REF!</definedName>
    <definedName name="_1ER_ETAGE" localSheetId="1">#REF!</definedName>
    <definedName name="_1ER_ETAGE" localSheetId="2">#REF!</definedName>
    <definedName name="_1ER_ETAGE" localSheetId="0">#REF!</definedName>
    <definedName name="_1ER_ETAGE">#REF!</definedName>
    <definedName name="_2" localSheetId="1">#REF!</definedName>
    <definedName name="_2" localSheetId="0">#REF!</definedName>
    <definedName name="_2">#REF!</definedName>
    <definedName name="_2_Excel_BuiltIn_Print_Titles_4_1">#REF!</definedName>
    <definedName name="_200_Fonte_k9">#REF!</definedName>
    <definedName name="_200PN10">#REF!</definedName>
    <definedName name="_200PN16">#REF!</definedName>
    <definedName name="_225_Fonte_k9">#REF!</definedName>
    <definedName name="_225PN10">#REF!</definedName>
    <definedName name="_225PN16">#REF!</definedName>
    <definedName name="_250_Fonte_k9">#REF!</definedName>
    <definedName name="_250PN10">#REF!</definedName>
    <definedName name="_250PN16">#REF!</definedName>
    <definedName name="_2c" localSheetId="1">#REF!</definedName>
    <definedName name="_2c" localSheetId="0">#REF!</definedName>
    <definedName name="_2c">#REF!</definedName>
    <definedName name="_2EME_ETAGE" localSheetId="1">#REF!</definedName>
    <definedName name="_2EME_ETAGE" localSheetId="2">#REF!</definedName>
    <definedName name="_2EME_ETAGE" localSheetId="0">#REF!</definedName>
    <definedName name="_2EME_ETAGE">#REF!</definedName>
    <definedName name="_3" localSheetId="1">#REF!</definedName>
    <definedName name="_3" localSheetId="0">#REF!</definedName>
    <definedName name="_3">#REF!</definedName>
    <definedName name="_300_Fonte_k9">#REF!</definedName>
    <definedName name="_315PN10">#REF!</definedName>
    <definedName name="_315PN16">#REF!</definedName>
    <definedName name="_3c" localSheetId="1">#REF!</definedName>
    <definedName name="_3c" localSheetId="0">#REF!</definedName>
    <definedName name="_3c">#REF!</definedName>
    <definedName name="_4" localSheetId="1">#REF!</definedName>
    <definedName name="_4" localSheetId="0">#REF!</definedName>
    <definedName name="_4">#REF!</definedName>
    <definedName name="_400_Fonte_k9">#REF!</definedName>
    <definedName name="_4c" localSheetId="1">#REF!</definedName>
    <definedName name="_4c" localSheetId="0">#REF!</definedName>
    <definedName name="_4c">#REF!</definedName>
    <definedName name="_5" localSheetId="1">#REF!</definedName>
    <definedName name="_5" localSheetId="0">#REF!</definedName>
    <definedName name="_5">#REF!</definedName>
    <definedName name="_50PN10">#REF!</definedName>
    <definedName name="_50PN16">#REF!</definedName>
    <definedName name="_5c" localSheetId="1">#REF!</definedName>
    <definedName name="_5c" localSheetId="0">#REF!</definedName>
    <definedName name="_5c">#REF!</definedName>
    <definedName name="_5p" localSheetId="1">#REF!</definedName>
    <definedName name="_5p" localSheetId="0">#REF!</definedName>
    <definedName name="_5p">#REF!</definedName>
    <definedName name="_6" localSheetId="1">#REF!</definedName>
    <definedName name="_6" localSheetId="0">#REF!</definedName>
    <definedName name="_6">#REF!</definedName>
    <definedName name="_60_Fonte_k9">#REF!</definedName>
    <definedName name="_63PN10">#REF!</definedName>
    <definedName name="_63PN16">#REF!</definedName>
    <definedName name="_7" localSheetId="1">#REF!</definedName>
    <definedName name="_7" localSheetId="0">#REF!</definedName>
    <definedName name="_7">#REF!</definedName>
    <definedName name="_75PN10">#REF!</definedName>
    <definedName name="_75PN16">#REF!</definedName>
    <definedName name="_8" localSheetId="1">#REF!</definedName>
    <definedName name="_8" localSheetId="0">#REF!</definedName>
    <definedName name="_8">#REF!</definedName>
    <definedName name="_80_Fonte_k9">#REF!</definedName>
    <definedName name="_8c" localSheetId="1">#REF!</definedName>
    <definedName name="_8c" localSheetId="0">#REF!</definedName>
    <definedName name="_8c">#REF!</definedName>
    <definedName name="_8T_7cm" localSheetId="1">#REF!</definedName>
    <definedName name="_8T_7cm" localSheetId="2">#REF!</definedName>
    <definedName name="_8T_7cm" localSheetId="0">#REF!</definedName>
    <definedName name="_8T_7cm" localSheetId="3">#REF!</definedName>
    <definedName name="_8T_7cm">#REF!</definedName>
    <definedName name="_9" localSheetId="1">#REF!</definedName>
    <definedName name="_9" localSheetId="2">#REF!</definedName>
    <definedName name="_9" localSheetId="0">#REF!</definedName>
    <definedName name="_9">#REF!</definedName>
    <definedName name="_90PN10">#REF!</definedName>
    <definedName name="_90PN16">#REF!</definedName>
    <definedName name="_9c" localSheetId="1">#REF!</definedName>
    <definedName name="_9c" localSheetId="0">#REF!</definedName>
    <definedName name="_9c">#REF!</definedName>
    <definedName name="_A">#REF!</definedName>
    <definedName name="_AA1">#REF!</definedName>
    <definedName name="_B">#REF!</definedName>
    <definedName name="_C">#REF!</definedName>
    <definedName name="_C1" localSheetId="1">#REF!</definedName>
    <definedName name="_C1" localSheetId="0">#REF!</definedName>
    <definedName name="_C1">#REF!</definedName>
    <definedName name="_deb1" localSheetId="1">#REF!</definedName>
    <definedName name="_deb1" localSheetId="0">#REF!</definedName>
    <definedName name="_deb1">#REF!</definedName>
    <definedName name="_DEB3" localSheetId="1">#REF!</definedName>
    <definedName name="_DEB3" localSheetId="0">#REF!</definedName>
    <definedName name="_DEB3">#REF!</definedName>
    <definedName name="_deb5" localSheetId="1">#REF!</definedName>
    <definedName name="_deb5" localSheetId="0">#REF!</definedName>
    <definedName name="_deb5">#REF!</definedName>
    <definedName name="_deb6" localSheetId="1">#REF!</definedName>
    <definedName name="_deb6" localSheetId="0">#REF!</definedName>
    <definedName name="_deb6">#REF!</definedName>
    <definedName name="_deb8" localSheetId="1">#REF!</definedName>
    <definedName name="_deb8" localSheetId="0">#REF!</definedName>
    <definedName name="_deb8">#REF!</definedName>
    <definedName name="_dec1" localSheetId="1">#REF!</definedName>
    <definedName name="_dec1" localSheetId="0">#REF!</definedName>
    <definedName name="_dec1">#REF!</definedName>
    <definedName name="_dec2" localSheetId="1">#REF!</definedName>
    <definedName name="_dec2" localSheetId="0">#REF!</definedName>
    <definedName name="_dec2">#REF!</definedName>
    <definedName name="_dec3" localSheetId="1">#REF!</definedName>
    <definedName name="_dec3" localSheetId="0">#REF!</definedName>
    <definedName name="_dec3">#REF!</definedName>
    <definedName name="_dee1" localSheetId="1">#REF!</definedName>
    <definedName name="_dee1" localSheetId="0">#REF!</definedName>
    <definedName name="_dee1">#REF!</definedName>
    <definedName name="_dee2" localSheetId="1">#REF!</definedName>
    <definedName name="_dee2" localSheetId="0">#REF!</definedName>
    <definedName name="_dee2">#REF!</definedName>
    <definedName name="_dee3" localSheetId="1">#REF!</definedName>
    <definedName name="_dee3" localSheetId="0">#REF!</definedName>
    <definedName name="_dee3">#REF!</definedName>
    <definedName name="_EST1" localSheetId="1">#REF!</definedName>
    <definedName name="_EST1" localSheetId="0">#REF!</definedName>
    <definedName name="_EST1">#REF!</definedName>
    <definedName name="_EST2" localSheetId="1">#REF!</definedName>
    <definedName name="_EST2" localSheetId="0">#REF!</definedName>
    <definedName name="_EST2">#REF!</definedName>
    <definedName name="_EST3" localSheetId="1">#REF!</definedName>
    <definedName name="_EST3" localSheetId="0">#REF!</definedName>
    <definedName name="_EST3">#REF!</definedName>
    <definedName name="_xlnm._FilterDatabase" localSheetId="1" hidden="1">'APP SAN'!$A$1:$M$23</definedName>
    <definedName name="_xlnm._FilterDatabase" localSheetId="2" hidden="1">CVC!$A$1:$M$67</definedName>
    <definedName name="_xlnm._FilterDatabase" localSheetId="0" hidden="1">PL!$A$1:$M$108</definedName>
    <definedName name="_IMM48" localSheetId="1">#REF!</definedName>
    <definedName name="_IMM48" localSheetId="0">#REF!</definedName>
    <definedName name="_IMM48" localSheetId="3">#REF!</definedName>
    <definedName name="_IMM48">#REF!</definedName>
    <definedName name="_LPN10">NA()</definedName>
    <definedName name="_LPN16">NA()</definedName>
    <definedName name="_MM1" localSheetId="1">#REF!</definedName>
    <definedName name="_MM1" localSheetId="2">#REF!</definedName>
    <definedName name="_MM1" localSheetId="0">#REF!</definedName>
    <definedName name="_MM1" localSheetId="3">#REF!</definedName>
    <definedName name="_MM1">#REF!</definedName>
    <definedName name="_NA1" localSheetId="1">#REF!</definedName>
    <definedName name="_NA1" localSheetId="2">#REF!</definedName>
    <definedName name="_NA1" localSheetId="0">#REF!</definedName>
    <definedName name="_NA1" localSheetId="3">#REF!</definedName>
    <definedName name="_NA1">#REF!</definedName>
    <definedName name="_NA2" localSheetId="1">#REF!</definedName>
    <definedName name="_NA2" localSheetId="0">#REF!</definedName>
    <definedName name="_NA2" localSheetId="3">#REF!</definedName>
    <definedName name="_NA2">#REF!</definedName>
    <definedName name="_NA3" localSheetId="1">#REF!</definedName>
    <definedName name="_NA3" localSheetId="0">#REF!</definedName>
    <definedName name="_NA3" localSheetId="3">#REF!</definedName>
    <definedName name="_NA3">#REF!</definedName>
    <definedName name="_NB1" localSheetId="1">#REF!</definedName>
    <definedName name="_NB1" localSheetId="2">#REF!</definedName>
    <definedName name="_NB1" localSheetId="0">#REF!</definedName>
    <definedName name="_NB1">#REF!</definedName>
    <definedName name="_NB2" localSheetId="1">#REF!</definedName>
    <definedName name="_NB2" localSheetId="0">#REF!</definedName>
    <definedName name="_NB2">#REF!</definedName>
    <definedName name="_NB3" localSheetId="1">#REF!</definedName>
    <definedName name="_NB3" localSheetId="0">#REF!</definedName>
    <definedName name="_NB3">#REF!</definedName>
    <definedName name="_nba1" localSheetId="1">#REF!</definedName>
    <definedName name="_nba1" localSheetId="0">#REF!</definedName>
    <definedName name="_nba1">#REF!</definedName>
    <definedName name="_Pt2">#REF!</definedName>
    <definedName name="_Pt3">#REF!</definedName>
    <definedName name="_qmg1">#REF!</definedName>
    <definedName name="_qmg2">NA()</definedName>
    <definedName name="_qmg3">#REF!</definedName>
    <definedName name="_Qt2">#REF!</definedName>
    <definedName name="_Qt3">#REF!</definedName>
    <definedName name="_R" localSheetId="1">#REF!</definedName>
    <definedName name="_R" localSheetId="0">#REF!</definedName>
    <definedName name="_R" localSheetId="3">#REF!</definedName>
    <definedName name="_R">#REF!</definedName>
    <definedName name="_R100_" localSheetId="3">#REF!</definedName>
    <definedName name="_R100_">#REF!</definedName>
    <definedName name="_R150_" localSheetId="3">#REF!</definedName>
    <definedName name="_R150_">#REF!</definedName>
    <definedName name="_R200_">#REF!</definedName>
    <definedName name="_R300_">#REF!</definedName>
    <definedName name="_Ref170219593" localSheetId="2">CVC!#REF!</definedName>
    <definedName name="_RobToc1_1" localSheetId="3">#REF!</definedName>
    <definedName name="_RobToc1_1">#REF!</definedName>
    <definedName name="_RobToc1_2" localSheetId="3">#REF!</definedName>
    <definedName name="_RobToc1_2">#REF!</definedName>
    <definedName name="_RobToc10_1" localSheetId="3">#REF!</definedName>
    <definedName name="_RobToc10_1">#REF!</definedName>
    <definedName name="_RobToc10_2">#REF!</definedName>
    <definedName name="_RobToc12_1">#REF!</definedName>
    <definedName name="_RobToc12_2">#REF!</definedName>
    <definedName name="_RobToc3_1">#REF!</definedName>
    <definedName name="_RobToc3_2">#REF!</definedName>
    <definedName name="_RobToc4_1">#REF!</definedName>
    <definedName name="_RobToc4_2">#REF!</definedName>
    <definedName name="_RobToc5_1">#REF!</definedName>
    <definedName name="_RobToc5_2">#REF!</definedName>
    <definedName name="_RobToc6_1">#REF!</definedName>
    <definedName name="_RobToc6_2">#REF!</definedName>
    <definedName name="_RobToc7_1">#REF!</definedName>
    <definedName name="_RobToc7_2">#REF!</definedName>
    <definedName name="_RobToc8_1">#REF!</definedName>
    <definedName name="_RobToc8_2">#REF!</definedName>
    <definedName name="_RobToc9_1">#REF!</definedName>
    <definedName name="_RobToc9_2">#REF!</definedName>
    <definedName name="_SB1" localSheetId="1">#REF!</definedName>
    <definedName name="_SB1" localSheetId="2">#REF!</definedName>
    <definedName name="_SB1" localSheetId="0">#REF!</definedName>
    <definedName name="_SB1">#REF!</definedName>
    <definedName name="_SB2" localSheetId="1">#REF!</definedName>
    <definedName name="_SB2" localSheetId="0">#REF!</definedName>
    <definedName name="_SB2">#REF!</definedName>
    <definedName name="_SB3" localSheetId="1">#REF!</definedName>
    <definedName name="_SB3" localSheetId="0">#REF!</definedName>
    <definedName name="_SB3">#REF!</definedName>
    <definedName name="_SEB3" localSheetId="1">#REF!</definedName>
    <definedName name="_SEB3" localSheetId="0">#REF!</definedName>
    <definedName name="_SEB3">#REF!</definedName>
    <definedName name="_seb5" localSheetId="1">#REF!</definedName>
    <definedName name="_seb5" localSheetId="0">#REF!</definedName>
    <definedName name="_seb5">#REF!</definedName>
    <definedName name="_seb6" localSheetId="1">#REF!</definedName>
    <definedName name="_seb6" localSheetId="0">#REF!</definedName>
    <definedName name="_seb6">#REF!</definedName>
    <definedName name="_seb8" localSheetId="1">#REF!</definedName>
    <definedName name="_seb8" localSheetId="0">#REF!</definedName>
    <definedName name="_seb8">#REF!</definedName>
    <definedName name="_ss1">#REF!</definedName>
    <definedName name="_ss2">#REF!</definedName>
    <definedName name="_ss3">#REF!</definedName>
    <definedName name="_ss4">#REF!</definedName>
    <definedName name="_ST100">NA()</definedName>
    <definedName name="_ST150">#REF!</definedName>
    <definedName name="_ST200">#REF!</definedName>
    <definedName name="_ST300">#REF!</definedName>
    <definedName name="_Toc189233600" localSheetId="1">'APP SAN'!$B$4</definedName>
    <definedName name="_Toc189233600" localSheetId="0">PL!$B$56</definedName>
    <definedName name="_Toc198983790" localSheetId="3">#REF!</definedName>
    <definedName name="_Toc198983790">#REF!</definedName>
    <definedName name="_Toc276547385_1" localSheetId="3">#REF!</definedName>
    <definedName name="_Toc276547385_1">#REF!</definedName>
    <definedName name="_Toc276547385_2" localSheetId="3">#REF!</definedName>
    <definedName name="_Toc276547385_2">#REF!</definedName>
    <definedName name="_Toc276547386_1">#REF!</definedName>
    <definedName name="_Toc276547386_2">#REF!</definedName>
    <definedName name="_Toc276547387_1">#REF!</definedName>
    <definedName name="_Toc276547387_2">#REF!</definedName>
    <definedName name="_Toc276547388_1">#REF!</definedName>
    <definedName name="_Toc276547388_2">#REF!</definedName>
    <definedName name="_Toc276547389_1">#REF!</definedName>
    <definedName name="_Toc276547389_2">#REF!</definedName>
    <definedName name="_Toc276547393_1">#REF!</definedName>
    <definedName name="_Toc276547393_2">#REF!</definedName>
    <definedName name="_Toc276547394_1">#REF!</definedName>
    <definedName name="_Toc276547394_2">#REF!</definedName>
    <definedName name="_Toc276547395_1">#REF!</definedName>
    <definedName name="_Toc276547395_2">#REF!</definedName>
    <definedName name="_Toc276547396_1">#REF!</definedName>
    <definedName name="_Toc276547396_2">#REF!</definedName>
    <definedName name="_Toc276547397_1">#REF!</definedName>
    <definedName name="_Toc276547397_2">#REF!</definedName>
    <definedName name="_Toc280368475_1">#REF!</definedName>
    <definedName name="_Toc280368475_2">#REF!</definedName>
    <definedName name="_Toc280368476_1">#REF!</definedName>
    <definedName name="_Toc280368476_2">#REF!</definedName>
    <definedName name="_Toc280368477_1">#REF!</definedName>
    <definedName name="_Toc280368477_2">#REF!</definedName>
    <definedName name="_Toc280368478_1">#REF!</definedName>
    <definedName name="_Toc280368478_2">#REF!</definedName>
    <definedName name="_Toc280368479_1">#REF!</definedName>
    <definedName name="_Toc280368479_2">#REF!</definedName>
    <definedName name="_Toc280368480_1">#REF!</definedName>
    <definedName name="_Toc280368480_2">#REF!</definedName>
    <definedName name="_Toc280368481_1">#REF!</definedName>
    <definedName name="_Toc280368481_2">#REF!</definedName>
    <definedName name="_Toc280368482_1">#REF!</definedName>
    <definedName name="_Toc280368482_2">#REF!</definedName>
    <definedName name="_Toc280368483_1">#REF!</definedName>
    <definedName name="_Toc280368483_2">#REF!</definedName>
    <definedName name="_Toc280368484_1">#REF!</definedName>
    <definedName name="_Toc280368484_2">#REF!</definedName>
    <definedName name="_Toc280368486_1">#REF!</definedName>
    <definedName name="_Toc280368486_2">#REF!</definedName>
    <definedName name="_Toc280368488_1">#REF!</definedName>
    <definedName name="_Toc280368488_2">#REF!</definedName>
    <definedName name="_Toc280368489_1">#REF!</definedName>
    <definedName name="_Toc280368489_2">#REF!</definedName>
    <definedName name="_Toc280368490_1">#REF!</definedName>
    <definedName name="_Toc280368490_2">#REF!</definedName>
    <definedName name="_Toc280368491_1">#REF!</definedName>
    <definedName name="_Toc280368491_2">#REF!</definedName>
    <definedName name="_Toc280368492_1">#REF!</definedName>
    <definedName name="_Toc280368492_2">#REF!</definedName>
    <definedName name="_Toc280368493_1">#REF!</definedName>
    <definedName name="_Toc280368493_2">#REF!</definedName>
    <definedName name="_Toc280368494_1">#REF!</definedName>
    <definedName name="_Toc280368494_2">#REF!</definedName>
    <definedName name="_Toc280368495_1">#REF!</definedName>
    <definedName name="_Toc280368495_2">#REF!</definedName>
    <definedName name="_Toc280368496_1">#REF!</definedName>
    <definedName name="_Toc280368496_2">#REF!</definedName>
    <definedName name="_Toc280368497_1">#REF!</definedName>
    <definedName name="_Toc280368497_2">#REF!</definedName>
    <definedName name="_Toc280368498_1">#REF!</definedName>
    <definedName name="_Toc280368498_2">#REF!</definedName>
    <definedName name="_Toc280368499_1">#REF!</definedName>
    <definedName name="_Toc280368499_2">#REF!</definedName>
    <definedName name="_Toc280368500_1">#REF!</definedName>
    <definedName name="_Toc280368500_2">#REF!</definedName>
    <definedName name="_Toc280368501_1">#REF!</definedName>
    <definedName name="_Toc280368501_2">#REF!</definedName>
    <definedName name="_Toc280368502_1">#REF!</definedName>
    <definedName name="_Toc280368502_2">#REF!</definedName>
    <definedName name="_Toc280368503_1">#REF!</definedName>
    <definedName name="_Toc280368503_2">#REF!</definedName>
    <definedName name="_Toc280368504_1">#REF!</definedName>
    <definedName name="_Toc280368504_2">#REF!</definedName>
    <definedName name="_Toc280368505_1">#REF!</definedName>
    <definedName name="_Toc280368505_2">#REF!</definedName>
    <definedName name="_Toc280368506_1">#REF!</definedName>
    <definedName name="_Toc280368506_2">#REF!</definedName>
    <definedName name="_Toc280368507_1">#REF!</definedName>
    <definedName name="_Toc280368507_2">#REF!</definedName>
    <definedName name="_Toc280368508_1">#REF!</definedName>
    <definedName name="_Toc280368508_2">#REF!</definedName>
    <definedName name="_Toc280368509_1">#REF!</definedName>
    <definedName name="_Toc280368509_2">#REF!</definedName>
    <definedName name="_Toc280368512_1">#REF!</definedName>
    <definedName name="_Toc280368512_2">#REF!</definedName>
    <definedName name="_Toc280368513_1">#REF!</definedName>
    <definedName name="_Toc280368513_2">#REF!</definedName>
    <definedName name="_Toc280368514_1">#REF!</definedName>
    <definedName name="_Toc280368514_2">#REF!</definedName>
    <definedName name="_Toc280368515_1">#REF!</definedName>
    <definedName name="_Toc280368515_2">#REF!</definedName>
    <definedName name="_Toc280368516_1">#REF!</definedName>
    <definedName name="_Toc280368516_2">#REF!</definedName>
    <definedName name="_Toc280368517_1">#REF!</definedName>
    <definedName name="_Toc280368517_2">#REF!</definedName>
    <definedName name="_Toc280368518_1">#REF!</definedName>
    <definedName name="_Toc280368518_2">#REF!</definedName>
    <definedName name="_Toc280368519_1">#REF!</definedName>
    <definedName name="_Toc280368519_2">#REF!</definedName>
    <definedName name="_Toc280368520_1">#REF!</definedName>
    <definedName name="_Toc280368520_2">#REF!</definedName>
    <definedName name="_Toc280368521_1">#REF!</definedName>
    <definedName name="_Toc280368521_2">#REF!</definedName>
    <definedName name="_Toc280368522_1">#REF!</definedName>
    <definedName name="_Toc280368522_2">#REF!</definedName>
    <definedName name="_Toc280368523_1">#REF!</definedName>
    <definedName name="_Toc280368523_2">#REF!</definedName>
    <definedName name="_Toc280368525_1">#REF!</definedName>
    <definedName name="_Toc280368525_2">#REF!</definedName>
    <definedName name="_Toc280368526_1">#REF!</definedName>
    <definedName name="_Toc280368526_2">#REF!</definedName>
    <definedName name="_Toc280368527_1">#REF!</definedName>
    <definedName name="_Toc280368527_2">#REF!</definedName>
    <definedName name="_Toc280368528_1">#REF!</definedName>
    <definedName name="_Toc280368528_2">#REF!</definedName>
    <definedName name="_Toc280368529_1">#REF!</definedName>
    <definedName name="_Toc280368529_2">#REF!</definedName>
    <definedName name="_Toc280368530_1">#REF!</definedName>
    <definedName name="_Toc280368530_2">#REF!</definedName>
    <definedName name="_Toc280368531_1">#REF!</definedName>
    <definedName name="_Toc280368531_2">#REF!</definedName>
    <definedName name="_Toc280368532_1">#REF!</definedName>
    <definedName name="_Toc280368532_2">#REF!</definedName>
    <definedName name="_Toc280368533_1">#REF!</definedName>
    <definedName name="_Toc280368533_2">#REF!</definedName>
    <definedName name="_Toc280368534_1">#REF!</definedName>
    <definedName name="_Toc280368534_2">#REF!</definedName>
    <definedName name="_Toc280368536_1">#REF!</definedName>
    <definedName name="_Toc280368536_2">#REF!</definedName>
    <definedName name="_Toc280368537_1">#REF!</definedName>
    <definedName name="_Toc280368537_2">#REF!</definedName>
    <definedName name="_Toc280368538_1">#REF!</definedName>
    <definedName name="_Toc280368538_2">#REF!</definedName>
    <definedName name="_Toc280368539_1">#REF!</definedName>
    <definedName name="_Toc280368539_2">#REF!</definedName>
    <definedName name="_Toc280368540_1">#REF!</definedName>
    <definedName name="_Toc280368540_2">#REF!</definedName>
    <definedName name="_Toc280368541_1">#REF!</definedName>
    <definedName name="_Toc280368541_2">#REF!</definedName>
    <definedName name="_Toc280368542_1">#REF!</definedName>
    <definedName name="_Toc280368542_2">#REF!</definedName>
    <definedName name="_Toc280368543_1">#REF!</definedName>
    <definedName name="_Toc280368543_2">#REF!</definedName>
    <definedName name="_Toc280368544_1">#REF!</definedName>
    <definedName name="_Toc280368544_2">#REF!</definedName>
    <definedName name="_Toc280368545_1">#REF!</definedName>
    <definedName name="_Toc280368545_2">#REF!</definedName>
    <definedName name="_Toc280368547_1">#REF!</definedName>
    <definedName name="_Toc280368547_2">#REF!</definedName>
    <definedName name="_Toc280368548_1">#REF!</definedName>
    <definedName name="_Toc280368548_2">#REF!</definedName>
    <definedName name="_Toc280368549_1">#REF!</definedName>
    <definedName name="_Toc280368549_2">#REF!</definedName>
    <definedName name="_Toc280368550_1">#REF!</definedName>
    <definedName name="_Toc280368550_2">#REF!</definedName>
    <definedName name="_Toc280368551_1">#REF!</definedName>
    <definedName name="_Toc280368551_2">#REF!</definedName>
    <definedName name="_Toc280368552_1">#REF!</definedName>
    <definedName name="_Toc280368552_2">#REF!</definedName>
    <definedName name="_Toc280368553_1">#REF!</definedName>
    <definedName name="_Toc280368553_2">#REF!</definedName>
    <definedName name="_Toc280368554_1">#REF!</definedName>
    <definedName name="_Toc280368554_2">#REF!</definedName>
    <definedName name="_Toc280368555_1">#REF!</definedName>
    <definedName name="_Toc280368555_2">#REF!</definedName>
    <definedName name="_Toc280368556_1">#REF!</definedName>
    <definedName name="_Toc280368556_2">#REF!</definedName>
    <definedName name="_Toc280368557_1">#REF!</definedName>
    <definedName name="_Toc280368557_2">#REF!</definedName>
    <definedName name="_Toc280368559_1">#REF!</definedName>
    <definedName name="_Toc280368559_2">#REF!</definedName>
    <definedName name="_Toc280368560_1">#REF!</definedName>
    <definedName name="_Toc280368560_2">#REF!</definedName>
    <definedName name="_Toc280368561_1">#REF!</definedName>
    <definedName name="_Toc280368561_2">#REF!</definedName>
    <definedName name="_Toc280368562_1">#REF!</definedName>
    <definedName name="_Toc280368562_2">#REF!</definedName>
    <definedName name="_Toc280368563_1">#REF!</definedName>
    <definedName name="_Toc280368563_2">#REF!</definedName>
    <definedName name="_Toc280368564_1">#REF!</definedName>
    <definedName name="_Toc280368564_2">#REF!</definedName>
    <definedName name="_Toc280368565_1">#REF!</definedName>
    <definedName name="_Toc280368565_2">#REF!</definedName>
    <definedName name="_Toc280368566_1">#REF!</definedName>
    <definedName name="_Toc280368566_2">#REF!</definedName>
    <definedName name="_Toc280368567_1">#REF!</definedName>
    <definedName name="_Toc280368567_2">#REF!</definedName>
    <definedName name="_Toc280368568_1">#REF!</definedName>
    <definedName name="_Toc280368568_2">#REF!</definedName>
    <definedName name="_Toc280368569_1">#REF!</definedName>
    <definedName name="_Toc280368569_2">#REF!</definedName>
    <definedName name="_Toc280601842_1">#REF!</definedName>
    <definedName name="_Toc280601842_2">#REF!</definedName>
    <definedName name="_Toc280601843_1">#REF!</definedName>
    <definedName name="_Toc280601843_2">#REF!</definedName>
    <definedName name="_Toc280601844_1">#REF!</definedName>
    <definedName name="_Toc280601844_2">#REF!</definedName>
    <definedName name="_Toc280601845_1">#REF!</definedName>
    <definedName name="_Toc280601845_2">#REF!</definedName>
    <definedName name="_Toc280601846_1">#REF!</definedName>
    <definedName name="_Toc280601846_2">#REF!</definedName>
    <definedName name="_Toc280601847_1">#REF!</definedName>
    <definedName name="_Toc280601847_2">#REF!</definedName>
    <definedName name="_Toc280601848_1">#REF!</definedName>
    <definedName name="_Toc280601848_2">#REF!</definedName>
    <definedName name="_Toc280601849_1">#REF!</definedName>
    <definedName name="_Toc280601849_2">#REF!</definedName>
    <definedName name="_Toc424635275">#REF!</definedName>
    <definedName name="_Toc509884261_1">#REF!</definedName>
    <definedName name="_Toc509884261_2">#REF!</definedName>
    <definedName name="_tx1">#REF!</definedName>
    <definedName name="_tx2">#REF!</definedName>
    <definedName name="a" localSheetId="1">#REF!</definedName>
    <definedName name="a" localSheetId="2">#REF!</definedName>
    <definedName name="a" localSheetId="0">#REF!</definedName>
    <definedName name="a" localSheetId="3">#REF!</definedName>
    <definedName name="a">#REF!</definedName>
    <definedName name="A1_" localSheetId="1">#REF!</definedName>
    <definedName name="A1_" localSheetId="2">#REF!</definedName>
    <definedName name="A1_" localSheetId="0">#REF!</definedName>
    <definedName name="A1_">#REF!</definedName>
    <definedName name="A2_" localSheetId="1">#REF!</definedName>
    <definedName name="A2_" localSheetId="0">#REF!</definedName>
    <definedName name="A2_">#REF!</definedName>
    <definedName name="A3_" localSheetId="1">#REF!</definedName>
    <definedName name="A3_" localSheetId="0">#REF!</definedName>
    <definedName name="A3_">#REF!</definedName>
    <definedName name="A4_" localSheetId="1">#REF!</definedName>
    <definedName name="A4_" localSheetId="0">#REF!</definedName>
    <definedName name="A4_">#REF!</definedName>
    <definedName name="aa" localSheetId="1">#REF!</definedName>
    <definedName name="aa" localSheetId="0">#REF!</definedName>
    <definedName name="aa">#REF!</definedName>
    <definedName name="AAa" localSheetId="1">#REF!</definedName>
    <definedName name="AAa" localSheetId="2">#REF!</definedName>
    <definedName name="AAa" localSheetId="0">#REF!</definedName>
    <definedName name="AAa" localSheetId="3">#REF!</definedName>
    <definedName name="AAa">#REF!</definedName>
    <definedName name="AAAA" localSheetId="3">#REF!</definedName>
    <definedName name="AAAA">#REF!</definedName>
    <definedName name="aaaaa" localSheetId="1">#REF!</definedName>
    <definedName name="aaaaa" localSheetId="0">#REF!</definedName>
    <definedName name="aaaaa" localSheetId="3">#REF!</definedName>
    <definedName name="aaaaa">#REF!</definedName>
    <definedName name="aaaaaa" localSheetId="1">#REF!</definedName>
    <definedName name="aaaaaa" localSheetId="2">#REF!</definedName>
    <definedName name="aaaaaa" localSheetId="0">#REF!</definedName>
    <definedName name="aaaaaa">#REF!</definedName>
    <definedName name="aaaaaaaaaaaaaa" localSheetId="1">#REF!</definedName>
    <definedName name="aaaaaaaaaaaaaa" localSheetId="2">#REF!</definedName>
    <definedName name="aaaaaaaaaaaaaa" localSheetId="0">#REF!</definedName>
    <definedName name="aaaaaaaaaaaaaa" localSheetId="3">#REF!</definedName>
    <definedName name="aaaaaaaaaaaaaa">#REF!</definedName>
    <definedName name="AAAAAANNNN" localSheetId="3">#REF!</definedName>
    <definedName name="AAAAAANNNN">#REF!</definedName>
    <definedName name="aasr2" localSheetId="3">#REF!</definedName>
    <definedName name="aasr2">#REF!</definedName>
    <definedName name="aasr412" localSheetId="3">#REF!</definedName>
    <definedName name="aasr412">#REF!</definedName>
    <definedName name="ab">#REF!</definedName>
    <definedName name="abc" localSheetId="1">#REF!</definedName>
    <definedName name="abc" localSheetId="2">#REF!</definedName>
    <definedName name="abc" localSheetId="0">#REF!</definedName>
    <definedName name="abc">#REF!</definedName>
    <definedName name="abs">#REF!</definedName>
    <definedName name="Ac" localSheetId="1">#REF!</definedName>
    <definedName name="Ac" localSheetId="0">#REF!</definedName>
    <definedName name="Ac">#REF!</definedName>
    <definedName name="Ac1_" localSheetId="1">#REF!</definedName>
    <definedName name="Ac1_" localSheetId="0">#REF!</definedName>
    <definedName name="Ac1_">#REF!</definedName>
    <definedName name="Ac2_" localSheetId="1">#REF!</definedName>
    <definedName name="Ac2_" localSheetId="0">#REF!</definedName>
    <definedName name="Ac2_">#REF!</definedName>
    <definedName name="Ac3_" localSheetId="1">#REF!</definedName>
    <definedName name="Ac3_" localSheetId="0">#REF!</definedName>
    <definedName name="Ac3_">#REF!</definedName>
    <definedName name="Acier_rond">#REF!</definedName>
    <definedName name="Acier_Tor">#REF!</definedName>
    <definedName name="ACS">#N/A</definedName>
    <definedName name="AER">#N/A</definedName>
    <definedName name="afzefzf" localSheetId="1">#REF!</definedName>
    <definedName name="afzefzf" localSheetId="2">#REF!</definedName>
    <definedName name="afzefzf" localSheetId="0">#REF!</definedName>
    <definedName name="afzefzf" localSheetId="3">#REF!</definedName>
    <definedName name="afzefzf">#REF!</definedName>
    <definedName name="AG_100">#REF!</definedName>
    <definedName name="AG_150">#REF!</definedName>
    <definedName name="AG_200">#REF!</definedName>
    <definedName name="AG_250">#REF!</definedName>
    <definedName name="AG_40">#REF!</definedName>
    <definedName name="AG_60">#REF!</definedName>
    <definedName name="AG_80">#REF!</definedName>
    <definedName name="Agglos_20cm">#REF!</definedName>
    <definedName name="Agitateur">#REF!</definedName>
    <definedName name="AJLAIDI" localSheetId="1">#REF!</definedName>
    <definedName name="AJLAIDI" localSheetId="0">#REF!</definedName>
    <definedName name="AJLAIDI">#REF!</definedName>
    <definedName name="Albums_photos">#REF!</definedName>
    <definedName name="Albums_photos_Tout">#REF!</definedName>
    <definedName name="Anas" localSheetId="1">#REF!</definedName>
    <definedName name="Anas" localSheetId="0">#REF!</definedName>
    <definedName name="Anas">#REF!</definedName>
    <definedName name="annee">#REF!</definedName>
    <definedName name="anneref">#REF!</definedName>
    <definedName name="annui" localSheetId="3">IF(#REF!&lt;&gt;"",#REF!+#REF!,"")</definedName>
    <definedName name="annui">IF(#REF!&lt;&gt;"",#REF!+#REF!,"")</definedName>
    <definedName name="annuit">#REF!*#REF!</definedName>
    <definedName name="ANREF">#REF!</definedName>
    <definedName name="anrefer">#REF!</definedName>
    <definedName name="Anti_bélier_100">#REF!</definedName>
    <definedName name="Anti_bélier_1000">#REF!</definedName>
    <definedName name="Anti_bélier_150">#REF!</definedName>
    <definedName name="Anti_bélier_200">#REF!</definedName>
    <definedName name="Anti_bélier_250">#REF!</definedName>
    <definedName name="Anti_bélier_300">#REF!</definedName>
    <definedName name="Anti_bélier_50">#REF!</definedName>
    <definedName name="Anti_bélier_500">#REF!</definedName>
    <definedName name="Ap" localSheetId="1">#REF!</definedName>
    <definedName name="Ap" localSheetId="0">#REF!</definedName>
    <definedName name="Ap">#REF!</definedName>
    <definedName name="Approbation_plan_BA">#REF!</definedName>
    <definedName name="APS" localSheetId="1">#REF!</definedName>
    <definedName name="APS" localSheetId="2">#REF!</definedName>
    <definedName name="APS" localSheetId="0">#REF!</definedName>
    <definedName name="APS" localSheetId="3">#REF!</definedName>
    <definedName name="APS">#REF!</definedName>
    <definedName name="aps_a_comm_elec" localSheetId="1">#REF!</definedName>
    <definedName name="aps_a_comm_elec" localSheetId="2">#REF!</definedName>
    <definedName name="aps_a_comm_elec" localSheetId="0">#REF!</definedName>
    <definedName name="aps_a_comm_elec" localSheetId="3">#REF!</definedName>
    <definedName name="aps_a_comm_elec">#REF!</definedName>
    <definedName name="aqs">#N/A</definedName>
    <definedName name="aqsz" localSheetId="3">#REF!</definedName>
    <definedName name="aqsz">#REF!</definedName>
    <definedName name="AR" localSheetId="1">#REF!</definedName>
    <definedName name="AR" localSheetId="2">#REF!</definedName>
    <definedName name="AR" localSheetId="0">#REF!</definedName>
    <definedName name="AR">#REF!</definedName>
    <definedName name="armoire_arrivée">#REF!</definedName>
    <definedName name="Armoire_électrique">#REF!</definedName>
    <definedName name="armoire_groupe">#REF!</definedName>
    <definedName name="armoire_javellisation">#REF!</definedName>
    <definedName name="AS" localSheetId="1">#REF!</definedName>
    <definedName name="AS" localSheetId="2">#REF!</definedName>
    <definedName name="AS" localSheetId="0">#REF!</definedName>
    <definedName name="AS" localSheetId="3">#REF!</definedName>
    <definedName name="AS">#REF!</definedName>
    <definedName name="Asphalte" localSheetId="3">#REF!</definedName>
    <definedName name="Asphalte">#REF!</definedName>
    <definedName name="Assurance_decennale" localSheetId="3">#REF!</definedName>
    <definedName name="Assurance_decennale">#REF!</definedName>
    <definedName name="aui" localSheetId="3">#REF!</definedName>
    <definedName name="aui">#REF!</definedName>
    <definedName name="az">#REF!</definedName>
    <definedName name="az_uu" localSheetId="1">#REF!</definedName>
    <definedName name="az_uu" localSheetId="2">#REF!</definedName>
    <definedName name="az_uu" localSheetId="0">#REF!</definedName>
    <definedName name="az_uu">#REF!</definedName>
    <definedName name="aze">#REF!</definedName>
    <definedName name="AZERT">#REF!</definedName>
    <definedName name="azerty" localSheetId="1">#REF!</definedName>
    <definedName name="azerty" localSheetId="2">#REF!</definedName>
    <definedName name="azerty" localSheetId="0">#REF!</definedName>
    <definedName name="azerty" localSheetId="3">#REF!</definedName>
    <definedName name="azerty">#REF!</definedName>
    <definedName name="azr" localSheetId="3">#REF!</definedName>
    <definedName name="azr">#REF!</definedName>
    <definedName name="b" localSheetId="1">#REF!</definedName>
    <definedName name="b" localSheetId="2">#REF!</definedName>
    <definedName name="b" localSheetId="0">#REF!</definedName>
    <definedName name="b" localSheetId="3">#REF!</definedName>
    <definedName name="b">#REF!</definedName>
    <definedName name="B.pr" localSheetId="3">#REF!</definedName>
    <definedName name="B.pr">#REF!</definedName>
    <definedName name="B__" localSheetId="1">#REF!</definedName>
    <definedName name="B__" localSheetId="2">#REF!</definedName>
    <definedName name="B__" localSheetId="0">#REF!</definedName>
    <definedName name="B__">#REF!</definedName>
    <definedName name="B1_" localSheetId="1">#REF!</definedName>
    <definedName name="B1_" localSheetId="0">#REF!</definedName>
    <definedName name="B1_">#REF!</definedName>
    <definedName name="B2_" localSheetId="1">#REF!</definedName>
    <definedName name="B2_" localSheetId="0">#REF!</definedName>
    <definedName name="B2_">#REF!</definedName>
    <definedName name="BA">#REF!</definedName>
    <definedName name="Bac_100">#REF!</definedName>
    <definedName name="Bac_douche_gré_0.70x0.70">#REF!</definedName>
    <definedName name="Badigeon_chaux">#REF!</definedName>
    <definedName name="Badigeon_flinkote">#REF!</definedName>
    <definedName name="baig">#REF!</definedName>
    <definedName name="Barbacanes">#REF!</definedName>
    <definedName name="_xlnm.Database" localSheetId="1">#REF!</definedName>
    <definedName name="_xlnm.Database" localSheetId="2">#REF!</definedName>
    <definedName name="_xlnm.Database" localSheetId="0">#REF!</definedName>
    <definedName name="_xlnm.Database">#REF!</definedName>
    <definedName name="basededonnées" localSheetId="1">#REF!</definedName>
    <definedName name="basededonnées" localSheetId="0">#REF!</definedName>
    <definedName name="basededonnées">#REF!</definedName>
    <definedName name="bb" localSheetId="1">#REF!</definedName>
    <definedName name="bb" localSheetId="0">#REF!</definedName>
    <definedName name="bb">#REF!</definedName>
    <definedName name="bbb" localSheetId="1">#REF!</definedName>
    <definedName name="bbb" localSheetId="2">#REF!</definedName>
    <definedName name="bbb" localSheetId="0">#REF!</definedName>
    <definedName name="bbb" localSheetId="3">#REF!</definedName>
    <definedName name="bbb">#REF!</definedName>
    <definedName name="BBVBBVNBVNBV" localSheetId="1">#REF!</definedName>
    <definedName name="BBVBBVNBVNBV" localSheetId="2">#REF!</definedName>
    <definedName name="BBVBBVNBVNBV" localSheetId="0">#REF!</definedName>
    <definedName name="BBVBBVNBVNBV">#REF!</definedName>
    <definedName name="BBVBVBBV" localSheetId="1">#REF!</definedName>
    <definedName name="BBVBVBBV" localSheetId="0">#REF!</definedName>
    <definedName name="BBVBVBBV">#REF!</definedName>
    <definedName name="Bc">#REF!</definedName>
    <definedName name="BEL">#REF!</definedName>
    <definedName name="Béton_B1">#REF!</definedName>
    <definedName name="Béton_B2">#REF!</definedName>
    <definedName name="Béton_B2_parois_coupole_lanterneau_acrotère___12_cm">#REF!</definedName>
    <definedName name="Béton_B2_parois_verticale_25_cm">#REF!</definedName>
    <definedName name="Béton_B2_semelle_radier__20_cm">#REF!</definedName>
    <definedName name="Béton_B3">#REF!</definedName>
    <definedName name="Béton_B4">#REF!</definedName>
    <definedName name="Béton_B4_pour_les_caniveaux">#REF!</definedName>
    <definedName name="Béton_B5">#REF!</definedName>
    <definedName name="Béton_Bhydrofuge">#REF!</definedName>
    <definedName name="Béton_cellulaire">#REF!</definedName>
    <definedName name="Béton_cyclopéen">#REF!</definedName>
    <definedName name="Béton_de_forme_de_pente_2">#REF!</definedName>
    <definedName name="Béton_de_propreté">#REF!</definedName>
    <definedName name="Béton_poreux">#REF!</definedName>
    <definedName name="BG">#REF!</definedName>
    <definedName name="Bhgg" localSheetId="1">#REF!</definedName>
    <definedName name="Bhgg" localSheetId="0">#REF!</definedName>
    <definedName name="Bhgg">#REF!</definedName>
    <definedName name="bid">#REF!</definedName>
    <definedName name="bidet">#REF!</definedName>
    <definedName name="BJ" localSheetId="1">#REF!</definedName>
    <definedName name="BJ" localSheetId="2">#REF!</definedName>
    <definedName name="BJ" localSheetId="0">#REF!</definedName>
    <definedName name="BJ" localSheetId="3">#REF!</definedName>
    <definedName name="BJ">#REF!</definedName>
    <definedName name="BLOC_A_B" localSheetId="1">#REF!</definedName>
    <definedName name="BLOC_A_B" localSheetId="2">#REF!</definedName>
    <definedName name="BLOC_A_B" localSheetId="0">#REF!</definedName>
    <definedName name="BLOC_A_B">#REF!</definedName>
    <definedName name="BLOC_C" localSheetId="1">#REF!</definedName>
    <definedName name="BLOC_C" localSheetId="2">#REF!</definedName>
    <definedName name="BLOC_C" localSheetId="0">#REF!</definedName>
    <definedName name="BLOC_C">#REF!</definedName>
    <definedName name="BLOC_D" localSheetId="1">#REF!</definedName>
    <definedName name="BLOC_D" localSheetId="2">#REF!</definedName>
    <definedName name="BLOC_D" localSheetId="0">#REF!</definedName>
    <definedName name="BLOC_D">#REF!</definedName>
    <definedName name="BLOC_E" localSheetId="1">#REF!</definedName>
    <definedName name="BLOC_E" localSheetId="2">#REF!</definedName>
    <definedName name="BLOC_E" localSheetId="0">#REF!</definedName>
    <definedName name="BLOC_E">#REF!</definedName>
    <definedName name="BLOC_F" localSheetId="1">#REF!</definedName>
    <definedName name="BLOC_F" localSheetId="2">#REF!</definedName>
    <definedName name="BLOC_F" localSheetId="0">#REF!</definedName>
    <definedName name="BLOC_F">#REF!</definedName>
    <definedName name="BLOC_G" localSheetId="1">#REF!</definedName>
    <definedName name="BLOC_G" localSheetId="2">#REF!</definedName>
    <definedName name="BLOC_G" localSheetId="0">#REF!</definedName>
    <definedName name="BLOC_G">#REF!</definedName>
    <definedName name="BLOC_H" localSheetId="1">#REF!</definedName>
    <definedName name="BLOC_H" localSheetId="2">#REF!</definedName>
    <definedName name="BLOC_H" localSheetId="0">#REF!</definedName>
    <definedName name="BLOC_H">#REF!</definedName>
    <definedName name="BLOC_H2___H7" localSheetId="1">#REF!</definedName>
    <definedName name="BLOC_H2___H7" localSheetId="2">#REF!</definedName>
    <definedName name="BLOC_H2___H7" localSheetId="0">#REF!</definedName>
    <definedName name="BLOC_H2___H7">#REF!</definedName>
    <definedName name="BLOC_I" localSheetId="1">#REF!</definedName>
    <definedName name="BLOC_I" localSheetId="2">#REF!</definedName>
    <definedName name="BLOC_I" localSheetId="0">#REF!</definedName>
    <definedName name="BLOC_I">#REF!</definedName>
    <definedName name="BLOC_J" localSheetId="1">#REF!</definedName>
    <definedName name="BLOC_J" localSheetId="2">#REF!</definedName>
    <definedName name="BLOC_J" localSheetId="0">#REF!</definedName>
    <definedName name="BLOC_J">#REF!</definedName>
    <definedName name="BLOC_K" localSheetId="1">#REF!</definedName>
    <definedName name="BLOC_K" localSheetId="2">#REF!</definedName>
    <definedName name="BLOC_K" localSheetId="0">#REF!</definedName>
    <definedName name="BLOC_K">#REF!</definedName>
    <definedName name="BLOC_L" localSheetId="1">#REF!</definedName>
    <definedName name="BLOC_L" localSheetId="2">#REF!</definedName>
    <definedName name="BLOC_L" localSheetId="0">#REF!</definedName>
    <definedName name="BLOC_L">#REF!</definedName>
    <definedName name="BLOC_M" localSheetId="1">#REF!</definedName>
    <definedName name="BLOC_M" localSheetId="2">#REF!</definedName>
    <definedName name="BLOC_M" localSheetId="0">#REF!</definedName>
    <definedName name="BLOC_M">#REF!</definedName>
    <definedName name="BLOC_N" localSheetId="1">#REF!</definedName>
    <definedName name="BLOC_N" localSheetId="2">#REF!</definedName>
    <definedName name="BLOC_N" localSheetId="0">#REF!</definedName>
    <definedName name="BLOC_N">#REF!</definedName>
    <definedName name="bn" localSheetId="1">#REF!</definedName>
    <definedName name="bn" localSheetId="2">#REF!</definedName>
    <definedName name="bn" localSheetId="0">#REF!</definedName>
    <definedName name="bn" localSheetId="3">#REF!</definedName>
    <definedName name="bn">#REF!</definedName>
    <definedName name="BNBBNBVBV" localSheetId="1">#REF!</definedName>
    <definedName name="BNBBNBVBV" localSheetId="2">#REF!</definedName>
    <definedName name="BNBBNBVBV" localSheetId="0">#REF!</definedName>
    <definedName name="BNBBNBVBV">#REF!</definedName>
    <definedName name="Bordereau" localSheetId="1">#REF!</definedName>
    <definedName name="Bordereau" localSheetId="0">#REF!</definedName>
    <definedName name="Bordereau">#REF!</definedName>
    <definedName name="bordure_trottoir">#REF!</definedName>
    <definedName name="Borne_fontaine">#REF!</definedName>
    <definedName name="BOU" localSheetId="1">#REF!</definedName>
    <definedName name="BOU" localSheetId="0">#REF!</definedName>
    <definedName name="BOU">#REF!</definedName>
    <definedName name="bouchon_110">#REF!</definedName>
    <definedName name="bouchon_125">#REF!</definedName>
    <definedName name="bouchon_160">#REF!</definedName>
    <definedName name="bouchon_50">#REF!</definedName>
    <definedName name="bouchon_63">#REF!</definedName>
    <definedName name="bouchon_75">#REF!</definedName>
    <definedName name="bouchon_90">#REF!</definedName>
    <definedName name="Bouchon_SR_110">#REF!</definedName>
    <definedName name="Bouchon_SR_50">#REF!</definedName>
    <definedName name="Bouchon_SR_63">#REF!</definedName>
    <definedName name="Bouchon_SR_75">#REF!</definedName>
    <definedName name="Bouchon_SR_90">#REF!</definedName>
    <definedName name="BP" localSheetId="1">#REF!</definedName>
    <definedName name="BP" localSheetId="2">#REF!</definedName>
    <definedName name="BP" localSheetId="0">#REF!</definedName>
    <definedName name="BP">#REF!</definedName>
    <definedName name="BPDE">#REF!</definedName>
    <definedName name="Briques_20cm">#REF!</definedName>
    <definedName name="BU__en_FONTE">#REF!</definedName>
    <definedName name="BU_fonte_100">#REF!</definedName>
    <definedName name="BU_fonte_150">#REF!</definedName>
    <definedName name="BU_fonte_200">#REF!</definedName>
    <definedName name="BU_fonte_250">#REF!</definedName>
    <definedName name="BU_fonte_300">#REF!</definedName>
    <definedName name="BU_fonte_400">#REF!</definedName>
    <definedName name="BU_fonte_60">#REF!</definedName>
    <definedName name="BU_fonte_80">#REF!</definedName>
    <definedName name="BU_PVC_110">#REF!</definedName>
    <definedName name="BU_PVC_125">#REF!</definedName>
    <definedName name="BU_PVC_160">#REF!</definedName>
    <definedName name="BU_PVC_63">#REF!</definedName>
    <definedName name="BU_PVC_75">#REF!</definedName>
    <definedName name="BU_PVC_90">#REF!</definedName>
    <definedName name="BU_PVC_ou_FONTE">#REF!</definedName>
    <definedName name="Bureaux_location">#REF!</definedName>
    <definedName name="Buse_100">#REF!</definedName>
    <definedName name="Buse_200">#REF!</definedName>
    <definedName name="C_" localSheetId="1">#REF!</definedName>
    <definedName name="C_" localSheetId="0">#REF!</definedName>
    <definedName name="C_">#REF!</definedName>
    <definedName name="cable_arrivée">#REF!</definedName>
    <definedName name="cable_BT_groupes">#REF!</definedName>
    <definedName name="CALCUL" localSheetId="1">#REF!</definedName>
    <definedName name="CALCUL" localSheetId="0">#REF!</definedName>
    <definedName name="CALCUL">#REF!</definedName>
    <definedName name="Canniveaux_cable">#REF!</definedName>
    <definedName name="Canniveaux_eau_fuite">#REF!</definedName>
    <definedName name="Capot_regard">#REF!</definedName>
    <definedName name="cc" localSheetId="1">#REF!</definedName>
    <definedName name="cc" localSheetId="0">#REF!</definedName>
    <definedName name="cc">#REF!</definedName>
    <definedName name="ccr" localSheetId="1">#REF!</definedName>
    <definedName name="ccr" localSheetId="0">#REF!</definedName>
    <definedName name="ccr">#REF!</definedName>
    <definedName name="ce">#REF!</definedName>
    <definedName name="celbrook">NA()</definedName>
    <definedName name="ch" localSheetId="1">#REF!</definedName>
    <definedName name="ch" localSheetId="0">#REF!</definedName>
    <definedName name="ch" localSheetId="3">#REF!</definedName>
    <definedName name="ch">#REF!</definedName>
    <definedName name="CH.DIRECTEUR" localSheetId="1">#REF!</definedName>
    <definedName name="CH.DIRECTEUR" localSheetId="0">#REF!</definedName>
    <definedName name="CH.DIRECTEUR">#REF!</definedName>
    <definedName name="chassis_0.4x0.3">#REF!</definedName>
    <definedName name="chassis_1_3x0.5">#REF!</definedName>
    <definedName name="Chaussée_bétonnée">#REF!</definedName>
    <definedName name="Chaussée_encaillasée">#REF!</definedName>
    <definedName name="CIRC" localSheetId="1">#REF!</definedName>
    <definedName name="CIRC" localSheetId="0">#REF!</definedName>
    <definedName name="CIRC">#REF!</definedName>
    <definedName name="circuit_terre">#REF!</definedName>
    <definedName name="CIVIL">#REF!</definedName>
    <definedName name="CIVILASLOUJI">#REF!</definedName>
    <definedName name="cj" localSheetId="1">#REF!</definedName>
    <definedName name="cj" localSheetId="0">#REF!</definedName>
    <definedName name="cj">#REF!</definedName>
    <definedName name="Clapet_100">#REF!</definedName>
    <definedName name="Clapet_150">#REF!</definedName>
    <definedName name="Clapet_200">#REF!</definedName>
    <definedName name="Clapet_250">#REF!</definedName>
    <definedName name="Clapet_300">#REF!</definedName>
    <definedName name="Clapet_40">#REF!</definedName>
    <definedName name="Clapet_60">#REF!</definedName>
    <definedName name="Clapet_80">#REF!</definedName>
    <definedName name="CLOISON" localSheetId="1">#REF!</definedName>
    <definedName name="CLOISON" localSheetId="2">#REF!</definedName>
    <definedName name="CLOISON" localSheetId="0">#REF!</definedName>
    <definedName name="CLOISON" localSheetId="3">#REF!</definedName>
    <definedName name="CLOISON">#REF!</definedName>
    <definedName name="Clôture_A" localSheetId="3">#REF!</definedName>
    <definedName name="Clôture_A">#REF!</definedName>
    <definedName name="Clôture_B" localSheetId="3">#REF!</definedName>
    <definedName name="Clôture_B">#REF!</definedName>
    <definedName name="Clôture_C" localSheetId="3">#REF!</definedName>
    <definedName name="Clôture_C">#REF!</definedName>
    <definedName name="Clôture_D">#REF!</definedName>
    <definedName name="CMarche">#REF!</definedName>
    <definedName name="Cmixte" localSheetId="1">#REF!</definedName>
    <definedName name="Cmixte" localSheetId="2">#REF!</definedName>
    <definedName name="Cmixte" localSheetId="0">#REF!</definedName>
    <definedName name="Cmixte" localSheetId="3">#REF!</definedName>
    <definedName name="Cmixte">#REF!</definedName>
    <definedName name="co" localSheetId="3">#REF!</definedName>
    <definedName name="co">#REF!</definedName>
    <definedName name="Coef" localSheetId="1">#REF!</definedName>
    <definedName name="Coef" localSheetId="2">#REF!</definedName>
    <definedName name="Coef" localSheetId="0">#REF!</definedName>
    <definedName name="Coef">#REF!</definedName>
    <definedName name="COEFA" localSheetId="1">#REF!</definedName>
    <definedName name="COEFA" localSheetId="0">#REF!</definedName>
    <definedName name="COEFA">#REF!</definedName>
    <definedName name="cof" localSheetId="1">#REF!</definedName>
    <definedName name="cof" localSheetId="0">#REF!</definedName>
    <definedName name="cof">#REF!</definedName>
    <definedName name="Colebrook">#REF!</definedName>
    <definedName name="colebrook2">#REF!</definedName>
    <definedName name="collet_Bridé">#REF!</definedName>
    <definedName name="Collet_bridé_110">#REF!</definedName>
    <definedName name="Collet_bridé_125">#REF!</definedName>
    <definedName name="Collet_bridé_140">#REF!</definedName>
    <definedName name="Collet_bridé_160">#REF!</definedName>
    <definedName name="Collet_bridé_200">#REF!</definedName>
    <definedName name="Collet_bridé_250">#REF!</definedName>
    <definedName name="Collet_bridé_50">#REF!</definedName>
    <definedName name="Collet_bridé_63">#REF!</definedName>
    <definedName name="Collet_bridé_75">#REF!</definedName>
    <definedName name="Collet_bridé_90">#REF!</definedName>
    <definedName name="Commande_régulation">#REF!</definedName>
    <definedName name="COMPTER" localSheetId="1">#REF!</definedName>
    <definedName name="COMPTER" localSheetId="0">#REF!</definedName>
    <definedName name="COMPTER">#REF!</definedName>
    <definedName name="Compteur">NA()</definedName>
    <definedName name="Compteur_100">#REF!</definedName>
    <definedName name="Compteur_150">#REF!</definedName>
    <definedName name="Compteur_200">#REF!</definedName>
    <definedName name="Compteur_250">#REF!</definedName>
    <definedName name="Compteur_300">#REF!</definedName>
    <definedName name="Compteur_40">#REF!</definedName>
    <definedName name="Compteur_50">#REF!</definedName>
    <definedName name="Compteur_60">#REF!</definedName>
    <definedName name="Compteur_80">#REF!</definedName>
    <definedName name="conduits_en_tube_ICD" localSheetId="1">#REF!</definedName>
    <definedName name="conduits_en_tube_ICD" localSheetId="0">#REF!</definedName>
    <definedName name="conduits_en_tube_ICD">#REF!</definedName>
    <definedName name="Cône_100">#REF!</definedName>
    <definedName name="cone_100_60">#REF!</definedName>
    <definedName name="cone_100_80">#REF!</definedName>
    <definedName name="Cône_150">#REF!</definedName>
    <definedName name="cone_150_100">#REF!</definedName>
    <definedName name="cone_150_80">#REF!</definedName>
    <definedName name="Cône_200">#REF!</definedName>
    <definedName name="cone_200_150">#REF!</definedName>
    <definedName name="cone_250_200">#REF!</definedName>
    <definedName name="cone_300_200">#REF!</definedName>
    <definedName name="cone_300_250">#REF!</definedName>
    <definedName name="cone_400_300">#REF!</definedName>
    <definedName name="Cône_60">#REF!</definedName>
    <definedName name="Cône_80">#REF!</definedName>
    <definedName name="cone_80_60">#REF!</definedName>
    <definedName name="conf" localSheetId="1">#REF!</definedName>
    <definedName name="conf" localSheetId="2">#REF!</definedName>
    <definedName name="conf" localSheetId="0">#REF!</definedName>
    <definedName name="conf">#REF!</definedName>
    <definedName name="Confection_paillasse">#REF!</definedName>
    <definedName name="Cons">#REF!</definedName>
    <definedName name="consomer">#REF!</definedName>
    <definedName name="const" localSheetId="1">#REF!</definedName>
    <definedName name="const" localSheetId="2">#REF!</definedName>
    <definedName name="const" localSheetId="0">#REF!</definedName>
    <definedName name="const">#REF!</definedName>
    <definedName name="cote_forage">#REF!</definedName>
    <definedName name="cote_forage1">#REF!</definedName>
    <definedName name="COTEPART">#REF!</definedName>
    <definedName name="Couche_d_accrochage">#REF!</definedName>
    <definedName name="Couche_d_asphalte">#REF!</definedName>
    <definedName name="coude_110">#REF!</definedName>
    <definedName name="coude_125">#REF!</definedName>
    <definedName name="coude_140">#REF!</definedName>
    <definedName name="coude_160">#REF!</definedName>
    <definedName name="coude_200">#REF!</definedName>
    <definedName name="coude_50">#REF!</definedName>
    <definedName name="coude_63">#REF!</definedName>
    <definedName name="coude_75">#REF!</definedName>
    <definedName name="coude_90">#REF!</definedName>
    <definedName name="Coude_à_bride">#REF!</definedName>
    <definedName name="Coude_bridé_100">#REF!</definedName>
    <definedName name="Coude_bridé_150">#REF!</definedName>
    <definedName name="Coude_bridé_200">#REF!</definedName>
    <definedName name="Coude_bridé_250">#REF!</definedName>
    <definedName name="Coude_bridé_250_PN16">#REF!</definedName>
    <definedName name="Coude_bridé_250_PN25">#REF!</definedName>
    <definedName name="Coude_bridé_300">#REF!</definedName>
    <definedName name="Coude_bridé_40">#REF!</definedName>
    <definedName name="Coude_bridé_60">#REF!</definedName>
    <definedName name="Coude_bridé_80">#REF!</definedName>
    <definedName name="Coudes_Tout_angle">#REF!</definedName>
    <definedName name="Cp" localSheetId="1">#REF!</definedName>
    <definedName name="Cp" localSheetId="0">#REF!</definedName>
    <definedName name="Cp">#REF!</definedName>
    <definedName name="Cpc" localSheetId="1">#REF!</definedName>
    <definedName name="Cpc" localSheetId="0">#REF!</definedName>
    <definedName name="Cpc">#REF!</definedName>
    <definedName name="CPJ">NA()</definedName>
    <definedName name="cpteur">NA()</definedName>
    <definedName name="cqa">#N/A</definedName>
    <definedName name="CQS">#N/A</definedName>
    <definedName name="Crépine_100">#REF!</definedName>
    <definedName name="Crépine_150">#REF!</definedName>
    <definedName name="Crépine_200">#REF!</definedName>
    <definedName name="Crépine_250">#REF!</definedName>
    <definedName name="Crépine_300">#REF!</definedName>
    <definedName name="Crépine_40">#REF!</definedName>
    <definedName name="Crépine_60">#REF!</definedName>
    <definedName name="Crépine_80">#REF!</definedName>
    <definedName name="_xlnm.Criteria" localSheetId="1">#REF!</definedName>
    <definedName name="_xlnm.Criteria" localSheetId="2">#REF!</definedName>
    <definedName name="_xlnm.Criteria" localSheetId="0">#REF!</definedName>
    <definedName name="_xlnm.Criteria">#REF!</definedName>
    <definedName name="CSP">NA()</definedName>
    <definedName name="CSR">NA()</definedName>
    <definedName name="cvn">#REF!</definedName>
    <definedName name="cWhole">#N/A</definedName>
    <definedName name="cxq">#REF!</definedName>
    <definedName name="D" localSheetId="1">#REF!</definedName>
    <definedName name="D" localSheetId="2">#REF!</definedName>
    <definedName name="D" localSheetId="0">#REF!</definedName>
    <definedName name="D" localSheetId="3">#REF!</definedName>
    <definedName name="D">#REF!</definedName>
    <definedName name="D81b17" localSheetId="3">#REF!</definedName>
    <definedName name="D81b17">#REF!</definedName>
    <definedName name="da" localSheetId="1">#REF!</definedName>
    <definedName name="da" localSheetId="2">#REF!</definedName>
    <definedName name="da" localSheetId="0">#REF!</definedName>
    <definedName name="da">#REF!</definedName>
    <definedName name="daghet" localSheetId="1">#REF!</definedName>
    <definedName name="daghet" localSheetId="2">#REF!</definedName>
    <definedName name="daghet" localSheetId="0">#REF!</definedName>
    <definedName name="daghet">#REF!</definedName>
    <definedName name="db" localSheetId="1">#REF!</definedName>
    <definedName name="db" localSheetId="0">#REF!</definedName>
    <definedName name="db">#REF!</definedName>
    <definedName name="dbf">#REF!</definedName>
    <definedName name="Dc" localSheetId="1">#REF!</definedName>
    <definedName name="Dc" localSheetId="0">#REF!</definedName>
    <definedName name="Dc">#REF!</definedName>
    <definedName name="dd" localSheetId="1">#REF!</definedName>
    <definedName name="dd" localSheetId="0">#REF!</definedName>
    <definedName name="dd">#REF!</definedName>
    <definedName name="ddd">#REF!</definedName>
    <definedName name="DDDDD" localSheetId="1">#REF!</definedName>
    <definedName name="DDDDD" localSheetId="2">#REF!</definedName>
    <definedName name="DDDDD" localSheetId="0">#REF!</definedName>
    <definedName name="DDDDD" localSheetId="3">#REF!</definedName>
    <definedName name="DDDDD">#REF!</definedName>
    <definedName name="dddddd" localSheetId="3">#REF!</definedName>
    <definedName name="dddddd">#REF!</definedName>
    <definedName name="DDFDSSDSD" localSheetId="3">#REF!</definedName>
    <definedName name="DDFDSSDSD">#REF!</definedName>
    <definedName name="Deboisement_déracinnage" localSheetId="3">#REF!</definedName>
    <definedName name="Deboisement_déracinnage">#REF!</definedName>
    <definedName name="debp">NA()</definedName>
    <definedName name="Décapage_intérieur">#REF!</definedName>
    <definedName name="DEDUIRE" localSheetId="1">#REF!</definedName>
    <definedName name="DEDUIRE" localSheetId="2">#REF!</definedName>
    <definedName name="DEDUIRE" localSheetId="0">#REF!</definedName>
    <definedName name="DEDUIRE">#REF!</definedName>
    <definedName name="demi_buse_100">#REF!</definedName>
    <definedName name="demi_buse_200">#REF!</definedName>
    <definedName name="demi_buse_300">#REF!</definedName>
    <definedName name="Démolition_chaussée">#REF!</definedName>
    <definedName name="dens" localSheetId="1">#REF!</definedName>
    <definedName name="dens" localSheetId="0">#REF!</definedName>
    <definedName name="dens">#REF!</definedName>
    <definedName name="dep">#REF!</definedName>
    <definedName name="DESIGNATION" localSheetId="1">#REF!</definedName>
    <definedName name="DESIGNATION" localSheetId="0">#REF!</definedName>
    <definedName name="DESIGNATION">#REF!</definedName>
    <definedName name="Désignation_des_ouvrages">#REF!</definedName>
    <definedName name="désinfection">#REF!</definedName>
    <definedName name="DETALESTIMATIF" localSheetId="1">#REF!</definedName>
    <definedName name="DETALESTIMATIF" localSheetId="2">#REF!</definedName>
    <definedName name="DETALESTIMATIF" localSheetId="0">#REF!</definedName>
    <definedName name="DETALESTIMATIF" localSheetId="3">#REF!</definedName>
    <definedName name="DETALESTIMATIF">#REF!</definedName>
    <definedName name="detectionincendie" localSheetId="3">#REF!</definedName>
    <definedName name="detectionincendie">#REF!</definedName>
    <definedName name="dev" localSheetId="1">#REF!</definedName>
    <definedName name="dev" localSheetId="2">#REF!</definedName>
    <definedName name="dev" localSheetId="0">#REF!</definedName>
    <definedName name="dev">#REF!</definedName>
    <definedName name="dex">#REF!</definedName>
    <definedName name="Dexterne">#REF!</definedName>
    <definedName name="DF" localSheetId="1">#REF!</definedName>
    <definedName name="DF" localSheetId="0">#REF!</definedName>
    <definedName name="DF">#REF!</definedName>
    <definedName name="DFD">#REF!</definedName>
    <definedName name="DFDFD">#REF!</definedName>
    <definedName name="DFDFDSSD">#REF!</definedName>
    <definedName name="DFDSDS">#REF!</definedName>
    <definedName name="DFDSFSFSDFD">#REF!</definedName>
    <definedName name="DFDSSDFSD">#REF!</definedName>
    <definedName name="DFE">#REF!</definedName>
    <definedName name="dfg">#REF!</definedName>
    <definedName name="DFGDFGDF">#REF!</definedName>
    <definedName name="DFGS">#REF!</definedName>
    <definedName name="dfr">#REF!</definedName>
    <definedName name="DFSDFSDFSDF">#REF!</definedName>
    <definedName name="DFSDFSF">#REF!</definedName>
    <definedName name="DFSDSDSDS" localSheetId="1">#REF!</definedName>
    <definedName name="DFSDSDSDS" localSheetId="2">#REF!</definedName>
    <definedName name="DFSDSDSDS" localSheetId="0">#REF!</definedName>
    <definedName name="DFSDSDSDS" localSheetId="3">#REF!</definedName>
    <definedName name="DFSDSDSDS">#REF!</definedName>
    <definedName name="dfss" localSheetId="1">#REF!</definedName>
    <definedName name="dfss" localSheetId="2">#REF!</definedName>
    <definedName name="dfss" localSheetId="0">#REF!</definedName>
    <definedName name="dfss">#REF!</definedName>
    <definedName name="DGFDGDF">#REF!</definedName>
    <definedName name="dh" localSheetId="1">#REF!</definedName>
    <definedName name="dh" localSheetId="0">#REF!</definedName>
    <definedName name="dh">#REF!</definedName>
    <definedName name="dia">NA()</definedName>
    <definedName name="Diam_ext">#REF!</definedName>
    <definedName name="Diam_int">#REF!</definedName>
    <definedName name="Diam_Norm">NA()</definedName>
    <definedName name="Diam_puit">NA()</definedName>
    <definedName name="Diamètre_lanterneau">#REF!</definedName>
    <definedName name="dimens.COL" localSheetId="3">#REF!</definedName>
    <definedName name="dimens.COL">#REF!</definedName>
    <definedName name="din" localSheetId="3">#REF!</definedName>
    <definedName name="din">#REF!</definedName>
    <definedName name="Dint" localSheetId="3">#REF!</definedName>
    <definedName name="Dint">#REF!</definedName>
    <definedName name="Dinterne" localSheetId="3">#REF!</definedName>
    <definedName name="Dinterne">#REF!</definedName>
    <definedName name="Disjoncteur_général">#REF!</definedName>
    <definedName name="divers" localSheetId="1">#REF!</definedName>
    <definedName name="divers" localSheetId="2">#REF!</definedName>
    <definedName name="divers" localSheetId="0">#REF!</definedName>
    <definedName name="divers">#REF!</definedName>
    <definedName name="DN" localSheetId="1">#REF!</definedName>
    <definedName name="DN" localSheetId="0">#REF!</definedName>
    <definedName name="DN">#REF!</definedName>
    <definedName name="doadm" localSheetId="1">#REF!</definedName>
    <definedName name="doadm" localSheetId="0">#REF!</definedName>
    <definedName name="doadm">#REF!</definedName>
    <definedName name="dob" localSheetId="1">#REF!</definedName>
    <definedName name="dob" localSheetId="0">#REF!</definedName>
    <definedName name="dob">#REF!</definedName>
    <definedName name="doc" localSheetId="1">#REF!</definedName>
    <definedName name="doc" localSheetId="0">#REF!</definedName>
    <definedName name="doc">#REF!</definedName>
    <definedName name="dohe" localSheetId="1">#REF!</definedName>
    <definedName name="dohe" localSheetId="0">#REF!</definedName>
    <definedName name="dohe">#REF!</definedName>
    <definedName name="Dossier_recollement_GC">#REF!</definedName>
    <definedName name="Dossier_recollement_Tout">#REF!</definedName>
    <definedName name="dot">#REF!</definedName>
    <definedName name="dotadm" localSheetId="1">#REF!</definedName>
    <definedName name="dotadm" localSheetId="0">#REF!</definedName>
    <definedName name="dotadm">#REF!</definedName>
    <definedName name="Dotbr">#REF!</definedName>
    <definedName name="dotcamp" localSheetId="1">#REF!</definedName>
    <definedName name="dotcamp" localSheetId="0">#REF!</definedName>
    <definedName name="dotcamp">#REF!</definedName>
    <definedName name="dotdom" localSheetId="1">#REF!</definedName>
    <definedName name="dotdom" localSheetId="0">#REF!</definedName>
    <definedName name="dotdom">#REF!</definedName>
    <definedName name="dotind" localSheetId="1">#REF!</definedName>
    <definedName name="dotind" localSheetId="0">#REF!</definedName>
    <definedName name="dotind">#REF!</definedName>
    <definedName name="dotindus">#REF!</definedName>
    <definedName name="dotindust">#REF!</definedName>
    <definedName name="Dotnbr">#REF!</definedName>
    <definedName name="dotzat" localSheetId="1">#REF!</definedName>
    <definedName name="dotzat" localSheetId="0">#REF!</definedName>
    <definedName name="dotzat">#REF!</definedName>
    <definedName name="dou">#REF!</definedName>
    <definedName name="dov" localSheetId="1">#REF!</definedName>
    <definedName name="dov" localSheetId="0">#REF!</definedName>
    <definedName name="dov">#REF!</definedName>
    <definedName name="doza" localSheetId="1">#REF!</definedName>
    <definedName name="doza" localSheetId="0">#REF!</definedName>
    <definedName name="doza">#REF!</definedName>
    <definedName name="Drain_pierre">#REF!</definedName>
    <definedName name="Drain_sèche_en_pierres_autour_cuve">#REF!</definedName>
    <definedName name="DSDFDSD">#REF!</definedName>
    <definedName name="DSQ">#REF!</definedName>
    <definedName name="DTI">#REF!</definedName>
    <definedName name="DuCmixte" localSheetId="1">#REF!</definedName>
    <definedName name="DuCmixte" localSheetId="2">#REF!</definedName>
    <definedName name="DuCmixte" localSheetId="0">#REF!</definedName>
    <definedName name="DuCmixte" localSheetId="3">#REF!</definedName>
    <definedName name="DuCmixte">#REF!</definedName>
    <definedName name="DuD" localSheetId="1">#REF!</definedName>
    <definedName name="DuD" localSheetId="2">#REF!</definedName>
    <definedName name="DuD" localSheetId="0">#REF!</definedName>
    <definedName name="DuD" localSheetId="3">#REF!</definedName>
    <definedName name="DuD">#REF!</definedName>
    <definedName name="DuEn" localSheetId="1">#REF!</definedName>
    <definedName name="DuEn" localSheetId="2">#REF!</definedName>
    <definedName name="DuEn" localSheetId="0">#REF!</definedName>
    <definedName name="DuEn" localSheetId="3">#REF!</definedName>
    <definedName name="DuEn">#REF!</definedName>
    <definedName name="DuEnBA" localSheetId="1">#REF!</definedName>
    <definedName name="DuEnBA" localSheetId="2">#REF!</definedName>
    <definedName name="DuEnBA" localSheetId="0">#REF!</definedName>
    <definedName name="DuEnBA" localSheetId="3">#REF!</definedName>
    <definedName name="DuEnBA">#REF!</definedName>
    <definedName name="DuES" localSheetId="1">#REF!</definedName>
    <definedName name="DuES" localSheetId="2">#REF!</definedName>
    <definedName name="DuES" localSheetId="0">#REF!</definedName>
    <definedName name="DuES" localSheetId="3">#REF!</definedName>
    <definedName name="DuES">#REF!</definedName>
    <definedName name="DuI2ind" localSheetId="1">#REF!</definedName>
    <definedName name="DuI2ind" localSheetId="2">#REF!</definedName>
    <definedName name="DuI2ind" localSheetId="0">#REF!</definedName>
    <definedName name="DuI2ind" localSheetId="3">#REF!</definedName>
    <definedName name="DuI2ind">#REF!</definedName>
    <definedName name="DuSP" localSheetId="1">#REF!</definedName>
    <definedName name="DuSP" localSheetId="2">#REF!</definedName>
    <definedName name="DuSP" localSheetId="0">#REF!</definedName>
    <definedName name="DuSP" localSheetId="3">#REF!</definedName>
    <definedName name="DuSP">#REF!</definedName>
    <definedName name="DuSPc" localSheetId="1">#REF!</definedName>
    <definedName name="DuSPc" localSheetId="2">#REF!</definedName>
    <definedName name="DuSPc" localSheetId="0">#REF!</definedName>
    <definedName name="DuSPc" localSheetId="3">#REF!</definedName>
    <definedName name="DuSPc">#REF!</definedName>
    <definedName name="DuSPh" localSheetId="1">#REF!</definedName>
    <definedName name="DuSPh" localSheetId="2">#REF!</definedName>
    <definedName name="DuSPh" localSheetId="0">#REF!</definedName>
    <definedName name="DuSPh" localSheetId="3">#REF!</definedName>
    <definedName name="DuSPh">#REF!</definedName>
    <definedName name="DuSPv" localSheetId="1">#REF!</definedName>
    <definedName name="DuSPv" localSheetId="2">#REF!</definedName>
    <definedName name="DuSPv" localSheetId="0">#REF!</definedName>
    <definedName name="DuSPv" localSheetId="3">#REF!</definedName>
    <definedName name="DuSPv">#REF!</definedName>
    <definedName name="DZD" localSheetId="3">#REF!</definedName>
    <definedName name="DZD">#REF!</definedName>
    <definedName name="E" localSheetId="1">#REF!</definedName>
    <definedName name="E" localSheetId="2">#REF!</definedName>
    <definedName name="E" localSheetId="0">#REF!</definedName>
    <definedName name="E">#REF!</definedName>
    <definedName name="EA" localSheetId="1">#REF!</definedName>
    <definedName name="EA" localSheetId="0">#REF!</definedName>
    <definedName name="EA">#REF!</definedName>
    <definedName name="EB" localSheetId="1">#REF!</definedName>
    <definedName name="EB" localSheetId="0">#REF!</definedName>
    <definedName name="EB">#REF!</definedName>
    <definedName name="ec" localSheetId="1">#REF!</definedName>
    <definedName name="ec" localSheetId="0">#REF!</definedName>
    <definedName name="EC" localSheetId="3">#REF!</definedName>
    <definedName name="ec">#REF!</definedName>
    <definedName name="Echelle_AGC_ml" localSheetId="3">#REF!</definedName>
    <definedName name="Echelle_AGC_ml">#REF!</definedName>
    <definedName name="Echelle_AGF_ml">#REF!</definedName>
    <definedName name="Eclairage_extérieure">#REF!</definedName>
    <definedName name="éclairage_int_station">#REF!</definedName>
    <definedName name="Eclairage_intérieur">#REF!</definedName>
    <definedName name="EDI">#REF!</definedName>
    <definedName name="EDIESTIM">#REF!</definedName>
    <definedName name="ee" localSheetId="1">#REF!</definedName>
    <definedName name="ee" localSheetId="2">#REF!</definedName>
    <definedName name="ee" localSheetId="0">#REF!</definedName>
    <definedName name="ee">#REF!</definedName>
    <definedName name="eeee" localSheetId="1">#REF!</definedName>
    <definedName name="eeee" localSheetId="2">#REF!</definedName>
    <definedName name="eeee" localSheetId="0">#REF!</definedName>
    <definedName name="eeee">#REF!</definedName>
    <definedName name="EEEEEEEEE" localSheetId="1">#REF!</definedName>
    <definedName name="EEEEEEEEE" localSheetId="0">#REF!</definedName>
    <definedName name="EEEEEEEEE">#REF!</definedName>
    <definedName name="eerr">#REF!</definedName>
    <definedName name="EF" localSheetId="1">#REF!</definedName>
    <definedName name="EF" localSheetId="0">#REF!</definedName>
    <definedName name="EF">#REF!</definedName>
    <definedName name="Elec" localSheetId="3">#REF!</definedName>
    <definedName name="Elec">#REF!</definedName>
    <definedName name="electr" localSheetId="3">#REF!</definedName>
    <definedName name="electr">#REF!</definedName>
    <definedName name="electricité" localSheetId="3">#REF!</definedName>
    <definedName name="electricité">#REF!</definedName>
    <definedName name="Electrode" localSheetId="3">#REF!</definedName>
    <definedName name="Electrode">#REF!</definedName>
    <definedName name="électrode" localSheetId="3">#REF!</definedName>
    <definedName name="électrode">#REF!</definedName>
    <definedName name="Embase_IPN" localSheetId="3">#REF!</definedName>
    <definedName name="Embase_IPN">#REF!</definedName>
    <definedName name="en" localSheetId="1">#REF!</definedName>
    <definedName name="en" localSheetId="2">#REF!</definedName>
    <definedName name="en" localSheetId="0">#REF!</definedName>
    <definedName name="en" localSheetId="3">#REF!</definedName>
    <definedName name="en">#REF!</definedName>
    <definedName name="EnBA" localSheetId="1">#REF!</definedName>
    <definedName name="EnBA" localSheetId="2">#REF!</definedName>
    <definedName name="EnBA" localSheetId="0">#REF!</definedName>
    <definedName name="EnBA" localSheetId="3">#REF!</definedName>
    <definedName name="EnBA">#REF!</definedName>
    <definedName name="Enduit_bitumineux" localSheetId="3">#REF!</definedName>
    <definedName name="Enduit_bitumineux">#REF!</definedName>
    <definedName name="Enduit_étanche" localSheetId="3">#REF!</definedName>
    <definedName name="Enduit_étanche">#REF!</definedName>
    <definedName name="Enduit_étanche_3_cm">#REF!</definedName>
    <definedName name="Enduit_exterieur">#REF!</definedName>
    <definedName name="Enduit_extérieur">#REF!</definedName>
    <definedName name="Enduit_hydraulique_Sous_dalle">#REF!</definedName>
    <definedName name="Enduit_interieur">#REF!</definedName>
    <definedName name="Enduite_couche_0_5">#REF!</definedName>
    <definedName name="enrichissement_ciment">#REF!</definedName>
    <definedName name="Enseigne_ONEP">#REF!</definedName>
    <definedName name="Ensemble">#REF!</definedName>
    <definedName name="Enter">#REF!</definedName>
    <definedName name="ENTREE1">#REF!</definedName>
    <definedName name="ep">#REF!</definedName>
    <definedName name="ép">#REF!</definedName>
    <definedName name="ep.ouv">#REF!</definedName>
    <definedName name="ép_accrot">#REF!</definedName>
    <definedName name="ép_accrot1">#REF!</definedName>
    <definedName name="ép_canniveau">#REF!</definedName>
    <definedName name="ép_canniveau_2">NA()</definedName>
    <definedName name="ép_canniveau150">#REF!</definedName>
    <definedName name="ép_canniveau300">#REF!</definedName>
    <definedName name="ép_Chicane">#REF!</definedName>
    <definedName name="ép_coupole">#REF!</definedName>
    <definedName name="ép_coupole150">#REF!</definedName>
    <definedName name="ép_coupole300">#REF!</definedName>
    <definedName name="ép_lanterne">#REF!</definedName>
    <definedName name="ép_lanterne150">#REF!</definedName>
    <definedName name="ép_lanterne2">#REF!</definedName>
    <definedName name="ép_lanterne300">#REF!</definedName>
    <definedName name="ép_paroi_jav">NA()</definedName>
    <definedName name="ép_paroi_vanne">#REF!</definedName>
    <definedName name="ép_paroi_vanne150">#REF!</definedName>
    <definedName name="ép_paroi_vanne300">#REF!</definedName>
    <definedName name="ép_parois">#REF!</definedName>
    <definedName name="ép_parois1">#REF!</definedName>
    <definedName name="ép_radier">#REF!</definedName>
    <definedName name="ép_radier1">#REF!</definedName>
    <definedName name="ép_radier150">#REF!</definedName>
    <definedName name="ép_radier300">#REF!</definedName>
    <definedName name="ép_tour">#REF!</definedName>
    <definedName name="ép_tour150">#REF!</definedName>
    <definedName name="ép_tour300">#REF!</definedName>
    <definedName name="ép_vide2">#REF!</definedName>
    <definedName name="ép_voile">#REF!</definedName>
    <definedName name="ép_voile1">#REF!</definedName>
    <definedName name="ép1">#REF!</definedName>
    <definedName name="ép2">#REF!</definedName>
    <definedName name="Epai_Dalle_de" localSheetId="1">#REF!</definedName>
    <definedName name="Epai_Dalle_de" localSheetId="2">#REF!</definedName>
    <definedName name="Epai_Dalle_de" localSheetId="0">#REF!</definedName>
    <definedName name="Epai_Dalle_de">#REF!</definedName>
    <definedName name="Epais">#REF!</definedName>
    <definedName name="Epaiss_pui">NA()</definedName>
    <definedName name="Epaisseur">#REF!</definedName>
    <definedName name="Epaisseur_conduite">#REF!</definedName>
    <definedName name="epaisseurPaillasse" localSheetId="3">#REF!</definedName>
    <definedName name="epaisseurPaillasse">#REF!</definedName>
    <definedName name="er" localSheetId="1">#REF!</definedName>
    <definedName name="er" localSheetId="2">#REF!</definedName>
    <definedName name="er" localSheetId="0">#REF!</definedName>
    <definedName name="er" localSheetId="3">#REF!</definedName>
    <definedName name="er">#REF!</definedName>
    <definedName name="erf">#REF!</definedName>
    <definedName name="ES" localSheetId="1">#REF!</definedName>
    <definedName name="ES" localSheetId="2">#REF!</definedName>
    <definedName name="ES" localSheetId="0">#REF!</definedName>
    <definedName name="ES" localSheetId="3">#REF!</definedName>
    <definedName name="ES">#REF!</definedName>
    <definedName name="Essai_etancheité" localSheetId="3">#REF!</definedName>
    <definedName name="Essai_etancheité">#REF!</definedName>
    <definedName name="ESTIM" localSheetId="1">#REF!</definedName>
    <definedName name="ESTIM" localSheetId="2">#REF!</definedName>
    <definedName name="ESTIM" localSheetId="0">#REF!</definedName>
    <definedName name="ESTIM">#REF!</definedName>
    <definedName name="etag1" localSheetId="1">#REF!</definedName>
    <definedName name="etag1" localSheetId="2">#REF!</definedName>
    <definedName name="etag1" localSheetId="0">#REF!</definedName>
    <definedName name="etag1" localSheetId="3">#REF!</definedName>
    <definedName name="etag1">#REF!</definedName>
    <definedName name="etag2" localSheetId="1">#REF!</definedName>
    <definedName name="etag2" localSheetId="2">#REF!</definedName>
    <definedName name="etag2" localSheetId="0">#REF!</definedName>
    <definedName name="etag2" localSheetId="3">#REF!</definedName>
    <definedName name="etag2">#REF!</definedName>
    <definedName name="etag3" localSheetId="1">#REF!</definedName>
    <definedName name="etag3" localSheetId="2">#REF!</definedName>
    <definedName name="etag3" localSheetId="0">#REF!</definedName>
    <definedName name="etag3" localSheetId="3">#REF!</definedName>
    <definedName name="etag3">#REF!</definedName>
    <definedName name="etag4" localSheetId="1">#REF!</definedName>
    <definedName name="etag4" localSheetId="2">#REF!</definedName>
    <definedName name="etag4" localSheetId="0">#REF!</definedName>
    <definedName name="etag4" localSheetId="3">#REF!</definedName>
    <definedName name="etag4">#REF!</definedName>
    <definedName name="etag5" localSheetId="1">#REF!</definedName>
    <definedName name="etag5" localSheetId="2">#REF!</definedName>
    <definedName name="etag5" localSheetId="0">#REF!</definedName>
    <definedName name="etag5" localSheetId="3">#REF!</definedName>
    <definedName name="etag5">#REF!</definedName>
    <definedName name="etag6" localSheetId="1">#REF!</definedName>
    <definedName name="etag6" localSheetId="2">#REF!</definedName>
    <definedName name="etag6" localSheetId="0">#REF!</definedName>
    <definedName name="etag6" localSheetId="3">#REF!</definedName>
    <definedName name="etag6">#REF!</definedName>
    <definedName name="etag7" localSheetId="1">#REF!</definedName>
    <definedName name="etag7" localSheetId="2">#REF!</definedName>
    <definedName name="etag7" localSheetId="0">#REF!</definedName>
    <definedName name="etag7" localSheetId="3">#REF!</definedName>
    <definedName name="etag7">#REF!</definedName>
    <definedName name="etancheité" localSheetId="1">#REF!</definedName>
    <definedName name="etancheité" localSheetId="0">#REF!</definedName>
    <definedName name="etancheité" localSheetId="3">#REF!</definedName>
    <definedName name="etancheité">#REF!</definedName>
    <definedName name="Etanchéité" localSheetId="3">#REF!</definedName>
    <definedName name="Etanchéité">#REF!</definedName>
    <definedName name="Etanchéité_coupole" localSheetId="3">#REF!</definedName>
    <definedName name="Etanchéité_coupole">#REF!</definedName>
    <definedName name="Etancheité_couverture">#REF!</definedName>
    <definedName name="Etude_d_exécution">#REF!</definedName>
    <definedName name="Etude_execution">#REF!</definedName>
    <definedName name="ev">#REF!</definedName>
    <definedName name="Evacuation_Terres">#REF!</definedName>
    <definedName name="evi">#REF!</definedName>
    <definedName name="Evier_cuisine_gré">#REF!</definedName>
    <definedName name="Excel_BuiltIn_Criteria">#REF!</definedName>
    <definedName name="Excel_BuiltIn_Database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2">#REF!</definedName>
    <definedName name="Excel_BuiltIn_Print_Area_2_1">#REF!</definedName>
    <definedName name="Excel_BuiltIn_Print_Titles_1_1">#REF!</definedName>
    <definedName name="Excel_BuiltIn_Print_Titles_2">#REF!</definedName>
    <definedName name="Excel_BuiltIn_Print_Titles_2_1">#REF!</definedName>
    <definedName name="Extincteur_10">#REF!</definedName>
    <definedName name="_xlnm.Extract" localSheetId="1">#REF!</definedName>
    <definedName name="_xlnm.Extract" localSheetId="2">#REF!</definedName>
    <definedName name="_xlnm.Extract" localSheetId="0">#REF!</definedName>
    <definedName name="_xlnm.Extract">#REF!</definedName>
    <definedName name="ezfz" localSheetId="1">#REF!</definedName>
    <definedName name="ezfz" localSheetId="2">#REF!</definedName>
    <definedName name="ezfz" localSheetId="0">#REF!</definedName>
    <definedName name="ezfz">#REF!</definedName>
    <definedName name="F" localSheetId="1">#REF!</definedName>
    <definedName name="F" localSheetId="0">#REF!</definedName>
    <definedName name="F">#REF!</definedName>
    <definedName name="F__" localSheetId="1">#REF!</definedName>
    <definedName name="F__" localSheetId="0">#REF!</definedName>
    <definedName name="F__">#REF!</definedName>
    <definedName name="F1_" localSheetId="1">#REF!</definedName>
    <definedName name="F1_" localSheetId="0">#REF!</definedName>
    <definedName name="F1_">#REF!</definedName>
    <definedName name="faical">#REF!</definedName>
    <definedName name="Fc" localSheetId="1">#REF!</definedName>
    <definedName name="Fc" localSheetId="0">#REF!</definedName>
    <definedName name="Fc">#REF!</definedName>
    <definedName name="Fc1_" localSheetId="1">#REF!</definedName>
    <definedName name="Fc1_" localSheetId="0">#REF!</definedName>
    <definedName name="Fc1_">#REF!</definedName>
    <definedName name="FDFFD">#REF!</definedName>
    <definedName name="fdg">#REF!</definedName>
    <definedName name="FDGFDG">#REF!</definedName>
    <definedName name="FDS">#REF!</definedName>
    <definedName name="FDSFS">#REF!</definedName>
    <definedName name="FDSQA">#REF!</definedName>
    <definedName name="FEDE">#REF!</definedName>
    <definedName name="fef">#REF!</definedName>
    <definedName name="FEFD">#N/A</definedName>
    <definedName name="fenerg">#REF!</definedName>
    <definedName name="fenêtre_0.75_1.30">#REF!</definedName>
    <definedName name="Fenêtre_0.75x0.75">#REF!</definedName>
    <definedName name="Fenêtre_1.0x1.25">#REF!</definedName>
    <definedName name="Fenêtre_2.1x1.25">#REF!</definedName>
    <definedName name="ff" localSheetId="1">#REF!</definedName>
    <definedName name="ff" localSheetId="0">#REF!</definedName>
    <definedName name="ff">#REF!</definedName>
    <definedName name="fff">#REF!</definedName>
    <definedName name="FFFF">#REF!</definedName>
    <definedName name="fffff">#N/A</definedName>
    <definedName name="fffffff" localSheetId="1">#REF!</definedName>
    <definedName name="fffffff" localSheetId="0">#REF!</definedName>
    <definedName name="fffffff" localSheetId="3">#REF!</definedName>
    <definedName name="fffffff">#REF!</definedName>
    <definedName name="ffg" localSheetId="3">#REF!</definedName>
    <definedName name="ffg">#REF!</definedName>
    <definedName name="FGFDD">#REF!</definedName>
    <definedName name="FGFDFGG">#REF!</definedName>
    <definedName name="FGFDGFDGDF">#REF!</definedName>
    <definedName name="FGFDGFGFD">#REF!</definedName>
    <definedName name="FGFFDGDF">#REF!</definedName>
    <definedName name="FGFFGFG">#REF!</definedName>
    <definedName name="FGFGFDGDF">#REF!</definedName>
    <definedName name="FGFGFF">#REF!</definedName>
    <definedName name="FGFGFGF">#REF!</definedName>
    <definedName name="FGFGFGFFGFD">#REF!</definedName>
    <definedName name="fgh">#REF!</definedName>
    <definedName name="FGHFGDFGF">#REF!</definedName>
    <definedName name="Fléche_coupole">#REF!</definedName>
    <definedName name="_xlnm.Recorder" localSheetId="1">#REF!</definedName>
    <definedName name="_xlnm.Recorder" localSheetId="2">#REF!</definedName>
    <definedName name="_xlnm.Recorder" localSheetId="0">#REF!</definedName>
    <definedName name="_xlnm.Recorder">#REF!</definedName>
    <definedName name="Forme_pente">#REF!</definedName>
    <definedName name="Fosse_septique_filtre">#REF!</definedName>
    <definedName name="fouille">#REF!</definedName>
    <definedName name="Fourreau_100">#REF!</definedName>
    <definedName name="Fourreau_150">#REF!</definedName>
    <definedName name="Fourreau_200">#REF!</definedName>
    <definedName name="Fourreau_60">#REF!</definedName>
    <definedName name="Fourreau_80">#REF!</definedName>
    <definedName name="Foyer_etanche">#REF!</definedName>
    <definedName name="Foyer_simple">#REF!</definedName>
    <definedName name="Fp" localSheetId="1">#REF!</definedName>
    <definedName name="Fp" localSheetId="0">#REF!</definedName>
    <definedName name="Fp">#REF!</definedName>
    <definedName name="fpers">#REF!</definedName>
    <definedName name="fpers.">#REF!</definedName>
    <definedName name="fpp" localSheetId="1">#REF!</definedName>
    <definedName name="fpp" localSheetId="2">#REF!</definedName>
    <definedName name="fpp" localSheetId="0">#REF!</definedName>
    <definedName name="fpp">#REF!</definedName>
    <definedName name="FSDDSFSDFDS">#REF!</definedName>
    <definedName name="Fût_200">#REF!</definedName>
    <definedName name="G" localSheetId="1">#REF!</definedName>
    <definedName name="G" localSheetId="2">#REF!</definedName>
    <definedName name="G" localSheetId="0">#REF!</definedName>
    <definedName name="G" localSheetId="3">#REF!</definedName>
    <definedName name="G">#REF!</definedName>
    <definedName name="G.OPort" localSheetId="1">#REF!</definedName>
    <definedName name="G.OPort" localSheetId="2">#REF!</definedName>
    <definedName name="G.OPort" localSheetId="0">#REF!</definedName>
    <definedName name="G.OPort">#REF!</definedName>
    <definedName name="gaqgqhfq" localSheetId="1">#REF!</definedName>
    <definedName name="gaqgqhfq" localSheetId="2">#REF!</definedName>
    <definedName name="gaqgqhfq" localSheetId="0">#REF!</definedName>
    <definedName name="gaqgqhfq">#REF!</definedName>
    <definedName name="Garantie_décinale_GC">#REF!</definedName>
    <definedName name="Garantie_décinale_Tout">#REF!</definedName>
    <definedName name="Gargouille">#REF!</definedName>
    <definedName name="Gazon">#REF!</definedName>
    <definedName name="GCCORR">#REF!</definedName>
    <definedName name="GDFG">#REF!</definedName>
    <definedName name="gdfsfs">#REF!</definedName>
    <definedName name="GFDGGDF">#REF!</definedName>
    <definedName name="GFE" localSheetId="1">#REF!</definedName>
    <definedName name="GFE" localSheetId="2">#REF!</definedName>
    <definedName name="GFE" localSheetId="0">#REF!</definedName>
    <definedName name="GFE" localSheetId="3">#REF!</definedName>
    <definedName name="GFE">#REF!</definedName>
    <definedName name="GFGFGFG" localSheetId="3">#REF!</definedName>
    <definedName name="GFGFGFG">#REF!</definedName>
    <definedName name="gfhgfhgh" localSheetId="3">#REF!</definedName>
    <definedName name="gfhgfhgh">#REF!</definedName>
    <definedName name="gfr">#REF!</definedName>
    <definedName name="GG" localSheetId="1">#REF!</definedName>
    <definedName name="GG" localSheetId="2">#REF!</definedName>
    <definedName name="GG" localSheetId="0">#REF!</definedName>
    <definedName name="GG">#REF!</definedName>
    <definedName name="GGFD">#REF!</definedName>
    <definedName name="GGGG" localSheetId="1">#REF!</definedName>
    <definedName name="GGGG" localSheetId="0">#REF!</definedName>
    <definedName name="GGGG">#REF!</definedName>
    <definedName name="ggggg" localSheetId="1">#REF!</definedName>
    <definedName name="ggggg" localSheetId="2">#REF!</definedName>
    <definedName name="ggggg" localSheetId="0">#REF!</definedName>
    <definedName name="ggggg" localSheetId="3">#REF!</definedName>
    <definedName name="ggggg">#REF!</definedName>
    <definedName name="GGGGGG" localSheetId="3">#REF!</definedName>
    <definedName name="GGGGGG">#REF!</definedName>
    <definedName name="GHGHJG" localSheetId="3">#REF!</definedName>
    <definedName name="GHGHJG">#REF!</definedName>
    <definedName name="GHJ">#REF!</definedName>
    <definedName name="GJGHJGH">#REF!</definedName>
    <definedName name="GO" localSheetId="1">#REF!</definedName>
    <definedName name="GO" localSheetId="2">#REF!</definedName>
    <definedName name="GO" localSheetId="0">#REF!</definedName>
    <definedName name="GO" localSheetId="3">#REF!</definedName>
    <definedName name="GO">#REF!</definedName>
    <definedName name="goaziz" localSheetId="1">#REF!</definedName>
    <definedName name="goaziz" localSheetId="2">#REF!</definedName>
    <definedName name="goaziz" localSheetId="0">#REF!</definedName>
    <definedName name="goaziz">#REF!</definedName>
    <definedName name="gros">#N/A</definedName>
    <definedName name="gtggs" localSheetId="1">#REF!</definedName>
    <definedName name="gtggs" localSheetId="0">#REF!</definedName>
    <definedName name="gtggs" localSheetId="3">#REF!</definedName>
    <definedName name="gtggs">#REF!</definedName>
    <definedName name="GTHGF" localSheetId="3">#REF!</definedName>
    <definedName name="GTHGF">#REF!</definedName>
    <definedName name="h" localSheetId="1">#REF!</definedName>
    <definedName name="h" localSheetId="2">#REF!</definedName>
    <definedName name="h" localSheetId="0">#REF!</definedName>
    <definedName name="h" localSheetId="3">#REF!</definedName>
    <definedName name="h">#REF!</definedName>
    <definedName name="H_acces" localSheetId="3">#REF!</definedName>
    <definedName name="H_acces">#REF!</definedName>
    <definedName name="H_acces2" localSheetId="3">#REF!</definedName>
    <definedName name="H_acces2">#REF!</definedName>
    <definedName name="H_accrot" localSheetId="3">#REF!</definedName>
    <definedName name="H_accrot">#REF!</definedName>
    <definedName name="H_accrot_jav">NA()</definedName>
    <definedName name="H_accrot_vanne">#REF!</definedName>
    <definedName name="H_accrot_vanne150">#REF!</definedName>
    <definedName name="H_accrot_vanne300">#REF!</definedName>
    <definedName name="H_accrot1">#REF!</definedName>
    <definedName name="H_accrot2">#REF!</definedName>
    <definedName name="H_accrotère">#REF!</definedName>
    <definedName name="H_accrotère150">#REF!</definedName>
    <definedName name="H_accrotère300">#REF!</definedName>
    <definedName name="H_BA_forage">#REF!</definedName>
    <definedName name="H_BA_forage1">#REF!</definedName>
    <definedName name="H_canniveau">#REF!</definedName>
    <definedName name="H_canniveau_2">NA()</definedName>
    <definedName name="H_canniveau150">#REF!</definedName>
    <definedName name="H_canniveau300">#REF!</definedName>
    <definedName name="H_ch_jav">NA()</definedName>
    <definedName name="H_ch_sup">#REF!</definedName>
    <definedName name="H_ch_sup150">#REF!</definedName>
    <definedName name="H_ch_sup300">#REF!</definedName>
    <definedName name="H_ch_vanne">#REF!</definedName>
    <definedName name="H_ch_vanne150">#REF!</definedName>
    <definedName name="H_ch_vanne300">#REF!</definedName>
    <definedName name="H_chain">#REF!</definedName>
    <definedName name="H_chainage">#REF!</definedName>
    <definedName name="H_chainage1">#REF!</definedName>
    <definedName name="H_chicane">#REF!</definedName>
    <definedName name="H_dép">#REF!</definedName>
    <definedName name="H_dép2">#REF!</definedName>
    <definedName name="H_départ">#REF!</definedName>
    <definedName name="H_départ150">#REF!</definedName>
    <definedName name="H_départ300">#REF!</definedName>
    <definedName name="h_élév" localSheetId="1">#REF!</definedName>
    <definedName name="h_élév" localSheetId="2">#REF!</definedName>
    <definedName name="h_élév" localSheetId="0">#REF!</definedName>
    <definedName name="h_élév">#REF!</definedName>
    <definedName name="H_escalier">#REF!</definedName>
    <definedName name="H_escalier1">#REF!</definedName>
    <definedName name="H_ext_lantern">#REF!</definedName>
    <definedName name="H_ext_lantern150">#REF!</definedName>
    <definedName name="H_ext_lantern300">#REF!</definedName>
    <definedName name="H_flinkote">#REF!</definedName>
    <definedName name="H_flinkote150">#REF!</definedName>
    <definedName name="H_javel">#REF!</definedName>
    <definedName name="H_javellisation">#REF!</definedName>
    <definedName name="H_L_talon">#REF!</definedName>
    <definedName name="H_L_talon150">#REF!</definedName>
    <definedName name="H_L_talon300">#REF!</definedName>
    <definedName name="H_lantern">#REF!</definedName>
    <definedName name="H_lantern150">#REF!</definedName>
    <definedName name="H_lantern300">#REF!</definedName>
    <definedName name="H_lanterne">#REF!</definedName>
    <definedName name="H_lanterne2">#REF!</definedName>
    <definedName name="H_pomp">#REF!</definedName>
    <definedName name="H_pomp1">#REF!</definedName>
    <definedName name="H_reprise">#REF!</definedName>
    <definedName name="H_semelle">#REF!</definedName>
    <definedName name="H_semelle1">#REF!</definedName>
    <definedName name="H_talus">#REF!</definedName>
    <definedName name="H_talus2">#REF!</definedName>
    <definedName name="H_tour">#REF!</definedName>
    <definedName name="H_tour150">#REF!</definedName>
    <definedName name="H_tour300">#REF!</definedName>
    <definedName name="H_voile">#REF!</definedName>
    <definedName name="H_voile_vh_vanne">#REF!</definedName>
    <definedName name="H_voile1">#REF!</definedName>
    <definedName name="H1_talus">#REF!</definedName>
    <definedName name="H1_talus150">#REF!</definedName>
    <definedName name="H2_">#REF!</definedName>
    <definedName name="H2_Talus">#REF!</definedName>
    <definedName name="H2_Talus150">#REF!</definedName>
    <definedName name="HAHA" localSheetId="1">#REF!</definedName>
    <definedName name="HAHA" localSheetId="0">#REF!</definedName>
    <definedName name="HAHA">#REF!</definedName>
    <definedName name="hampe_drapeau">#REF!</definedName>
    <definedName name="Hardy_Cross">#REF!</definedName>
    <definedName name="Hauteur_d_eau">#REF!</definedName>
    <definedName name="Hauteur_lanterneau">#REF!</definedName>
    <definedName name="Hauteur_talus">#REF!</definedName>
    <definedName name="Hauteur_talus300">#REF!</definedName>
    <definedName name="HCmixte" localSheetId="1">#REF!</definedName>
    <definedName name="HCmixte" localSheetId="0">#REF!</definedName>
    <definedName name="HCmixte">#REF!</definedName>
    <definedName name="HD" localSheetId="1">#REF!</definedName>
    <definedName name="HD" localSheetId="0">#REF!</definedName>
    <definedName name="HD">#REF!</definedName>
    <definedName name="hdhdhdgdd" localSheetId="1">#REF!</definedName>
    <definedName name="hdhdhdgdd" localSheetId="2">#REF!</definedName>
    <definedName name="hdhdhdgdd" localSheetId="0">#REF!</definedName>
    <definedName name="hdhdhdgdd">#REF!</definedName>
    <definedName name="HE" localSheetId="1">#REF!</definedName>
    <definedName name="HE" localSheetId="0">#REF!</definedName>
    <definedName name="HE">#REF!</definedName>
    <definedName name="HEn" localSheetId="1">#REF!</definedName>
    <definedName name="HEn" localSheetId="0">#REF!</definedName>
    <definedName name="HEn">#REF!</definedName>
    <definedName name="HEnBA" localSheetId="1">#REF!</definedName>
    <definedName name="HEnBA" localSheetId="0">#REF!</definedName>
    <definedName name="HEnBA">#REF!</definedName>
    <definedName name="Henterré">#REF!</definedName>
    <definedName name="Herrissonage">#REF!</definedName>
    <definedName name="Herrissonnage">#REF!</definedName>
    <definedName name="HES" localSheetId="1">#REF!</definedName>
    <definedName name="HES" localSheetId="0">#REF!</definedName>
    <definedName name="HES">#REF!</definedName>
    <definedName name="HGE">#REF!</definedName>
    <definedName name="HGJGHJHG">#REF!</definedName>
    <definedName name="HH" localSheetId="3">#REF!</definedName>
    <definedName name="HH">#REF!</definedName>
    <definedName name="HHHFGH" localSheetId="3">#REF!</definedName>
    <definedName name="HHHFGH">#REF!</definedName>
    <definedName name="HHHHH" localSheetId="1">#REF!</definedName>
    <definedName name="HHHHH" localSheetId="2">#REF!</definedName>
    <definedName name="HHHHH" localSheetId="0">#REF!</definedName>
    <definedName name="HHHHH">#REF!</definedName>
    <definedName name="HHJGHJ">#REF!</definedName>
    <definedName name="HI2ind" localSheetId="1">#REF!</definedName>
    <definedName name="HI2ind" localSheetId="0">#REF!</definedName>
    <definedName name="HI2ind">#REF!</definedName>
    <definedName name="HJHH">#REF!</definedName>
    <definedName name="HJHHH">#REF!</definedName>
    <definedName name="HJHHHJH">#REF!</definedName>
    <definedName name="HJHHJ">#REF!</definedName>
    <definedName name="HJHHJH">#REF!</definedName>
    <definedName name="HJHHJHJ">#REF!</definedName>
    <definedName name="HJHHJHJH">#REF!</definedName>
    <definedName name="HJHJHH">#REF!</definedName>
    <definedName name="HJHJHHJH">#REF!</definedName>
    <definedName name="HJHJHJH">#REF!</definedName>
    <definedName name="HmoyR">#REF!</definedName>
    <definedName name="HmoyR150">#REF!</definedName>
    <definedName name="Hp" localSheetId="1">#REF!</definedName>
    <definedName name="Hp" localSheetId="0">#REF!</definedName>
    <definedName name="Hp">#REF!</definedName>
    <definedName name="Hs">NA()</definedName>
    <definedName name="HSP" localSheetId="1">#REF!</definedName>
    <definedName name="HSP" localSheetId="0">#REF!</definedName>
    <definedName name="HSP" localSheetId="3">#REF!</definedName>
    <definedName name="HSP">#REF!</definedName>
    <definedName name="HSPc" localSheetId="1">#REF!</definedName>
    <definedName name="HSPc" localSheetId="0">#REF!</definedName>
    <definedName name="HSPc">#REF!</definedName>
    <definedName name="HSPh" localSheetId="1">#REF!</definedName>
    <definedName name="HSPh" localSheetId="0">#REF!</definedName>
    <definedName name="HSPh">#REF!</definedName>
    <definedName name="HSPv" localSheetId="1">#REF!</definedName>
    <definedName name="HSPv" localSheetId="0">#REF!</definedName>
    <definedName name="HSPv">#REF!</definedName>
    <definedName name="Hublot_etanche_L6">#REF!</definedName>
    <definedName name="I2ind" localSheetId="1">#REF!</definedName>
    <definedName name="I2ind" localSheetId="2">#REF!</definedName>
    <definedName name="I2ind" localSheetId="0">#REF!</definedName>
    <definedName name="I2ind" localSheetId="3">#REF!</definedName>
    <definedName name="I2ind">#REF!</definedName>
    <definedName name="ii" localSheetId="1">#REF!</definedName>
    <definedName name="ii" localSheetId="2">#REF!</definedName>
    <definedName name="ii" localSheetId="0">#REF!</definedName>
    <definedName name="ii" localSheetId="3">#REF!</definedName>
    <definedName name="ii">#REF!</definedName>
    <definedName name="III" localSheetId="3">#REF!</definedName>
    <definedName name="III">#REF!</definedName>
    <definedName name="IJHKJH" localSheetId="3">#REF!</definedName>
    <definedName name="IJHKJH">#REF!</definedName>
    <definedName name="_xlnm.Print_Titles" localSheetId="1">'APP SAN'!$1:$2</definedName>
    <definedName name="_xlnm.Print_Titles" localSheetId="2">CVC!$1:$2</definedName>
    <definedName name="_xlnm.Print_Titles" localSheetId="0">PL!$1:$2</definedName>
    <definedName name="Incendie60" localSheetId="3">#REF!</definedName>
    <definedName name="Incendie60">#REF!</definedName>
    <definedName name="Installation" localSheetId="3">#REF!</definedName>
    <definedName name="Installation">#REF!</definedName>
    <definedName name="Installation_chantier" localSheetId="3">#REF!</definedName>
    <definedName name="Installation_chantier">#REF!</definedName>
    <definedName name="Installation_elecrique">#REF!</definedName>
    <definedName name="Installation_plomperie">#REF!</definedName>
    <definedName name="int">#REF!</definedName>
    <definedName name="IOIU">#REF!</definedName>
    <definedName name="IPN_appareil">#REF!</definedName>
    <definedName name="IPN_ml">#REF!</definedName>
    <definedName name="Isolation_et_joint_anti_vibration_sous_socle">#REF!</definedName>
    <definedName name="JD_100">#REF!</definedName>
    <definedName name="JD_125">#REF!</definedName>
    <definedName name="JD_150">#REF!</definedName>
    <definedName name="JD_200">#REF!</definedName>
    <definedName name="JD_40">#REF!</definedName>
    <definedName name="JD_60">#REF!</definedName>
    <definedName name="JD_80">#REF!</definedName>
    <definedName name="JDHDHDH" localSheetId="1">#REF!</definedName>
    <definedName name="JDHDHDH" localSheetId="2">#REF!</definedName>
    <definedName name="JDHDHDH" localSheetId="0">#REF!</definedName>
    <definedName name="JDHDHDH">#REF!</definedName>
    <definedName name="jg_100">#REF!</definedName>
    <definedName name="jg_125">#REF!</definedName>
    <definedName name="jg_140">#REF!</definedName>
    <definedName name="jg_200">#REF!</definedName>
    <definedName name="jg_225">#REF!</definedName>
    <definedName name="jg_250">#REF!</definedName>
    <definedName name="jg_300">#REF!</definedName>
    <definedName name="jg_400">#REF!</definedName>
    <definedName name="jg_60">#REF!</definedName>
    <definedName name="jg_80">#REF!</definedName>
    <definedName name="JGHGH">#REF!</definedName>
    <definedName name="JHHHJH">#REF!</definedName>
    <definedName name="jj" localSheetId="1">#REF!</definedName>
    <definedName name="jj" localSheetId="0">#REF!</definedName>
    <definedName name="jj">#REF!</definedName>
    <definedName name="JJJJJ" localSheetId="1">#REF!</definedName>
    <definedName name="JJJJJ" localSheetId="0">#REF!</definedName>
    <definedName name="JJJJJ">#REF!</definedName>
    <definedName name="JJJJJJJJJJJ" localSheetId="1">#REF!</definedName>
    <definedName name="JJJJJJJJJJJ" localSheetId="0">#REF!</definedName>
    <definedName name="JJJJJJJJJJJ">#REF!</definedName>
    <definedName name="K" localSheetId="1">#REF!</definedName>
    <definedName name="K" localSheetId="0">#REF!</definedName>
    <definedName name="K">#REF!</definedName>
    <definedName name="kamal" localSheetId="1">#REF!</definedName>
    <definedName name="kamal" localSheetId="0">#REF!</definedName>
    <definedName name="kamal">#REF!</definedName>
    <definedName name="Kbis" localSheetId="1">#REF!</definedName>
    <definedName name="Kbis" localSheetId="0">#REF!</definedName>
    <definedName name="Kbis">#REF!</definedName>
    <definedName name="kj" localSheetId="1">#REF!</definedName>
    <definedName name="kj" localSheetId="2">#REF!</definedName>
    <definedName name="kj" localSheetId="0">#REF!</definedName>
    <definedName name="kj" localSheetId="3">#REF!</definedName>
    <definedName name="kj">#REF!</definedName>
    <definedName name="kji" localSheetId="3">#REF!</definedName>
    <definedName name="kji">#REF!</definedName>
    <definedName name="KKKKK" localSheetId="3">#REF!</definedName>
    <definedName name="KKKKK">#REF!</definedName>
    <definedName name="KL" localSheetId="3">#REF!</definedName>
    <definedName name="KL">#REF!</definedName>
    <definedName name="KLHJKHJ">#REF!</definedName>
    <definedName name="klm">#REF!</definedName>
    <definedName name="KLUXE" localSheetId="1">#REF!</definedName>
    <definedName name="KLUXE" localSheetId="2">#REF!</definedName>
    <definedName name="KLUXE" localSheetId="0">#REF!</definedName>
    <definedName name="KLUXE" localSheetId="3">#REF!</definedName>
    <definedName name="KLUXE">#REF!</definedName>
    <definedName name="Ks" localSheetId="1">#REF!</definedName>
    <definedName name="Ks" localSheetId="2">#REF!</definedName>
    <definedName name="Ks" localSheetId="0">#REF!</definedName>
    <definedName name="Ks">#REF!</definedName>
    <definedName name="KsCAO" localSheetId="1">#REF!</definedName>
    <definedName name="KsCAO" localSheetId="2">#REF!</definedName>
    <definedName name="KsCAO" localSheetId="0">#REF!</definedName>
    <definedName name="KsCAO">#REF!</definedName>
    <definedName name="L_1">NA()</definedName>
    <definedName name="L_2">NA()</definedName>
    <definedName name="L_chain">#REF!</definedName>
    <definedName name="L_decaissé">NA()</definedName>
    <definedName name="L_talus">#REF!</definedName>
    <definedName name="L_talus2">#REF!</definedName>
    <definedName name="La_dép">#REF!</definedName>
    <definedName name="La_dép2">#REF!</definedName>
    <definedName name="lar_accrotère">#REF!</definedName>
    <definedName name="lar_accrotère150">#REF!</definedName>
    <definedName name="lar_accrotère300">#REF!</definedName>
    <definedName name="Lar_ch_sup">#REF!</definedName>
    <definedName name="Lar_ch_sup150">#REF!</definedName>
    <definedName name="Lar_ch_sup300">#REF!</definedName>
    <definedName name="Lar_javel">#REF!</definedName>
    <definedName name="Lar_javel1">#REF!</definedName>
    <definedName name="Lar_pomp">#REF!</definedName>
    <definedName name="Lar_pomp1">#REF!</definedName>
    <definedName name="LARG" localSheetId="1">#REF!</definedName>
    <definedName name="LARG" localSheetId="0">#REF!</definedName>
    <definedName name="LARG">#REF!</definedName>
    <definedName name="larg_canniveau">#REF!</definedName>
    <definedName name="Larg_canniveau_2">NA()</definedName>
    <definedName name="larg_canniveau150">#REF!</definedName>
    <definedName name="larg_canniveau300">#REF!</definedName>
    <definedName name="Larg_ch_jav">NA()</definedName>
    <definedName name="Larg_ch_vanne">#REF!</definedName>
    <definedName name="Larg_ch_vanne150">#REF!</definedName>
    <definedName name="Larg_ch_vanne300">#REF!</definedName>
    <definedName name="Larg_chainage">#REF!</definedName>
    <definedName name="larg_chainage_jav_reprise">#REF!</definedName>
    <definedName name="Larg_chainage1">#REF!</definedName>
    <definedName name="larg_chainage150">#REF!</definedName>
    <definedName name="larg_chainage300">#REF!</definedName>
    <definedName name="larg_chanage_jav">NA()</definedName>
    <definedName name="larg_départ">#REF!</definedName>
    <definedName name="larg_départ150">#REF!</definedName>
    <definedName name="larg_départ300">#REF!</definedName>
    <definedName name="Larg_javellisation">#REF!</definedName>
    <definedName name="Larg_reprise">#REF!</definedName>
    <definedName name="Larg_semelle">#REF!</definedName>
    <definedName name="Larg_semelle1">#REF!</definedName>
    <definedName name="Larg2">#REF!</definedName>
    <definedName name="larg44444">#REF!</definedName>
    <definedName name="Largeur">#REF!</definedName>
    <definedName name="Largeur_Talus">#REF!</definedName>
    <definedName name="Largeur_Talus300">#REF!</definedName>
    <definedName name="Laurier">#REF!</definedName>
    <definedName name="lav">NA()</definedName>
    <definedName name="Lavabo_0.6x0.48">#REF!</definedName>
    <definedName name="LG" localSheetId="1">#REF!</definedName>
    <definedName name="LG" localSheetId="0">#REF!</definedName>
    <definedName name="LG" localSheetId="3">#REF!</definedName>
    <definedName name="LG">#REF!</definedName>
    <definedName name="Lg_dép">#REF!</definedName>
    <definedName name="Lg_dép2">#REF!</definedName>
    <definedName name="Lg_javel">#REF!</definedName>
    <definedName name="Lg_javel1">#REF!</definedName>
    <definedName name="Lg_pomp">#REF!</definedName>
    <definedName name="Lg_pomp1">#REF!</definedName>
    <definedName name="Liaison_radio">#REF!</definedName>
    <definedName name="Ligne_élétrique">#REF!</definedName>
    <definedName name="ligne_pilote">#REF!</definedName>
    <definedName name="LIQUIDATION">#N/A</definedName>
    <definedName name="LISTE1">#REF!</definedName>
    <definedName name="lit_de_pose">#REF!</definedName>
    <definedName name="lit_gravier">#REF!</definedName>
    <definedName name="LK" localSheetId="1">#REF!</definedName>
    <definedName name="LK" localSheetId="2">#REF!</definedName>
    <definedName name="LK" localSheetId="0">#REF!</definedName>
    <definedName name="LK">#REF!</definedName>
    <definedName name="LKDAkfOPisvj" localSheetId="1">#REF!</definedName>
    <definedName name="LKDAkfOPisvj" localSheetId="2">#REF!</definedName>
    <definedName name="LKDAkfOPisvj" localSheetId="0">#REF!</definedName>
    <definedName name="LKDAkfOPisvj">#REF!</definedName>
    <definedName name="lkgjklrf" localSheetId="1">#REF!</definedName>
    <definedName name="lkgjklrf" localSheetId="2">#REF!</definedName>
    <definedName name="lkgjklrf" localSheetId="0">#REF!</definedName>
    <definedName name="lkgjklrf">#REF!</definedName>
    <definedName name="lki">#REF!</definedName>
    <definedName name="LKK">#REF!</definedName>
    <definedName name="LKLK">#REF!</definedName>
    <definedName name="lll" localSheetId="1">#REF!</definedName>
    <definedName name="lll" localSheetId="0">#REF!</definedName>
    <definedName name="lll">#REF!</definedName>
    <definedName name="lllkkk" localSheetId="1">#REF!</definedName>
    <definedName name="lllkkk" localSheetId="2">#REF!</definedName>
    <definedName name="lllkkk" localSheetId="0">#REF!</definedName>
    <definedName name="lllkkk" localSheetId="3">#REF!</definedName>
    <definedName name="lllkkk">#REF!</definedName>
    <definedName name="LM" localSheetId="3">#REF!</definedName>
    <definedName name="LM">#REF!</definedName>
    <definedName name="Loge_gardien">#REF!</definedName>
    <definedName name="LONG">#REF!</definedName>
    <definedName name="Long_ch_jav">NA()</definedName>
    <definedName name="long_ch_vanne">#REF!</definedName>
    <definedName name="long_ch_vanne150">#REF!</definedName>
    <definedName name="long_ch_vanne300">#REF!</definedName>
    <definedName name="Long_chicane">#REF!</definedName>
    <definedName name="Long_javellisation">#REF!</definedName>
    <definedName name="Long_reprise">#REF!</definedName>
    <definedName name="Long_Total">#REF!</definedName>
    <definedName name="Long2">#REF!</definedName>
    <definedName name="Longueur">#REF!</definedName>
    <definedName name="LONGUEUR_CLOTURE">#REF!</definedName>
    <definedName name="LP" localSheetId="1">#REF!</definedName>
    <definedName name="LP" localSheetId="2">#REF!</definedName>
    <definedName name="LP" localSheetId="0">#REF!</definedName>
    <definedName name="LP">#REF!</definedName>
    <definedName name="LPB" localSheetId="1">#REF!</definedName>
    <definedName name="LPB" localSheetId="0">#REF!</definedName>
    <definedName name="LPB">#REF!</definedName>
    <definedName name="LSGTR" localSheetId="1">#REF!</definedName>
    <definedName name="LSGTR" localSheetId="2">#REF!</definedName>
    <definedName name="LSGTR" localSheetId="0">#REF!</definedName>
    <definedName name="LSGTR" localSheetId="3">#REF!</definedName>
    <definedName name="LSGTR">#REF!</definedName>
    <definedName name="lustre" localSheetId="3">#REF!</definedName>
    <definedName name="lustre">#REF!</definedName>
    <definedName name="m" localSheetId="1">#REF!</definedName>
    <definedName name="m" localSheetId="2">#REF!</definedName>
    <definedName name="m" localSheetId="0">#REF!</definedName>
    <definedName name="m">#REF!</definedName>
    <definedName name="Maçonnerie">#REF!</definedName>
    <definedName name="MAJ">#REF!</definedName>
    <definedName name="MAM" localSheetId="1">#REF!</definedName>
    <definedName name="MAM" localSheetId="0">#REF!</definedName>
    <definedName name="MAM">#REF!</definedName>
    <definedName name="MAMA" localSheetId="1">#REF!</definedName>
    <definedName name="MAMA" localSheetId="0">#REF!</definedName>
    <definedName name="MAMA">#REF!</definedName>
    <definedName name="Manchette_1.2_100">#REF!</definedName>
    <definedName name="Manchette_1.2_125">#REF!</definedName>
    <definedName name="Manchette_1.2_150">#REF!</definedName>
    <definedName name="Manchette_1.2_200">#REF!</definedName>
    <definedName name="Manchette_1.2_40">#REF!</definedName>
    <definedName name="Manchette_1.2_60">#REF!</definedName>
    <definedName name="Manchette_1.2_80">#REF!</definedName>
    <definedName name="Manchette_100">#REF!</definedName>
    <definedName name="Manchette_150">#REF!</definedName>
    <definedName name="Manchette_2.2_100">#REF!</definedName>
    <definedName name="Manchette_2.2_125">#REF!</definedName>
    <definedName name="Manchette_2.2_150">#REF!</definedName>
    <definedName name="Manchette_2.2_200">#REF!</definedName>
    <definedName name="Manchette_2.2_40">#REF!</definedName>
    <definedName name="Manchette_2.2_60">#REF!</definedName>
    <definedName name="Manchette_2.2_80">#REF!</definedName>
    <definedName name="Manchette_200">#REF!</definedName>
    <definedName name="Manchette_250">#REF!</definedName>
    <definedName name="Manchette_40">#REF!</definedName>
    <definedName name="Manchette_60">#REF!</definedName>
    <definedName name="Manchette_80">#REF!</definedName>
    <definedName name="Manomètre">#REF!</definedName>
    <definedName name="manostat">#REF!</definedName>
    <definedName name="Marche">#REF!</definedName>
    <definedName name="Maziz">#REF!</definedName>
    <definedName name="mb" localSheetId="1">#REF!</definedName>
    <definedName name="mb" localSheetId="2">#REF!</definedName>
    <definedName name="mb" localSheetId="0">#REF!</definedName>
    <definedName name="mb" localSheetId="3">#REF!</definedName>
    <definedName name="mb">#REF!</definedName>
    <definedName name="MC" localSheetId="3">#REF!</definedName>
    <definedName name="MC">#REF!</definedName>
    <definedName name="mehdi" localSheetId="3">#REF!</definedName>
    <definedName name="mehdi">#REF!</definedName>
    <definedName name="MEN" localSheetId="3">#REF!</definedName>
    <definedName name="MEN">#REF!</definedName>
    <definedName name="mery" localSheetId="1">#REF!</definedName>
    <definedName name="mery" localSheetId="2">#REF!</definedName>
    <definedName name="mery" localSheetId="0">#REF!</definedName>
    <definedName name="mery" localSheetId="3">#REF!</definedName>
    <definedName name="mery">#REF!</definedName>
    <definedName name="Métré_du_groupe_4" localSheetId="3">#REF!</definedName>
    <definedName name="Métré_du_groupe_4">#REF!</definedName>
    <definedName name="Métrégpe1">#REF!</definedName>
    <definedName name="Mise_à_niveau">#REF!</definedName>
    <definedName name="mlj">#REF!</definedName>
    <definedName name="mlk">#REF!</definedName>
    <definedName name="mllllll">#REF!</definedName>
    <definedName name="mlo">#REF!</definedName>
    <definedName name="MLOPIUYTREZ">#REF!</definedName>
    <definedName name="mm" localSheetId="1">#REF!</definedName>
    <definedName name="mm" localSheetId="2">#REF!</definedName>
    <definedName name="mm" localSheetId="0">#REF!</definedName>
    <definedName name="mm">#REF!</definedName>
    <definedName name="MMM">#REF!</definedName>
    <definedName name="mmmmmmm" localSheetId="1">#REF!</definedName>
    <definedName name="mmmmmmm" localSheetId="0">#REF!</definedName>
    <definedName name="mmmmmmm">#REF!</definedName>
    <definedName name="Montage_javillisation">#REF!</definedName>
    <definedName name="montage_mécanique">#REF!</definedName>
    <definedName name="montage_station">#REF!</definedName>
    <definedName name="mur" localSheetId="1">#REF!</definedName>
    <definedName name="mur" localSheetId="0">#REF!</definedName>
    <definedName name="mur">#REF!</definedName>
    <definedName name="Mur_agglos">#REF!</definedName>
    <definedName name="n" localSheetId="1">#REF!</definedName>
    <definedName name="n" localSheetId="0">#REF!</definedName>
    <definedName name="n">#REF!</definedName>
    <definedName name="N___Prix">#REF!</definedName>
    <definedName name="N°">#REF!</definedName>
    <definedName name="NA" localSheetId="1">#REF!</definedName>
    <definedName name="NA" localSheetId="0">#REF!</definedName>
    <definedName name="NA">#REF!</definedName>
    <definedName name="NA1B" localSheetId="3">#REF!</definedName>
    <definedName name="NA1B">#REF!</definedName>
    <definedName name="NA2B" localSheetId="3">#REF!</definedName>
    <definedName name="NA2B">#REF!</definedName>
    <definedName name="NA3B" localSheetId="3">#REF!</definedName>
    <definedName name="NA3B">#REF!</definedName>
    <definedName name="NB" localSheetId="1">#REF!</definedName>
    <definedName name="NB" localSheetId="2">#REF!</definedName>
    <definedName name="NB" localSheetId="0">#REF!</definedName>
    <definedName name="NB">#REF!</definedName>
    <definedName name="Nb_de_paiements_par_an">#REF!</definedName>
    <definedName name="NB3R" localSheetId="1">#REF!</definedName>
    <definedName name="NB3R" localSheetId="0">#REF!</definedName>
    <definedName name="NB3R">#REF!</definedName>
    <definedName name="NBBVNVB" localSheetId="1">#REF!</definedName>
    <definedName name="NBBVNVB" localSheetId="0">#REF!</definedName>
    <definedName name="NBBVNVB">#REF!</definedName>
    <definedName name="nbvvvvvvv" localSheetId="1">#REF!</definedName>
    <definedName name="nbvvvvvvv" localSheetId="0">#REF!</definedName>
    <definedName name="nbvvvvvvv">#REF!</definedName>
    <definedName name="NC" localSheetId="1">#REF!</definedName>
    <definedName name="NC" localSheetId="2">#REF!</definedName>
    <definedName name="NC" localSheetId="0">#REF!</definedName>
    <definedName name="NC" localSheetId="3">#REF!</definedName>
    <definedName name="NC">#REF!</definedName>
    <definedName name="NCbis" localSheetId="1">#REF!</definedName>
    <definedName name="NCbis" localSheetId="2">#REF!</definedName>
    <definedName name="NCbis" localSheetId="0">#REF!</definedName>
    <definedName name="NCbis" localSheetId="3">#REF!</definedName>
    <definedName name="NCbis">#REF!</definedName>
    <definedName name="ND" localSheetId="1">#REF!</definedName>
    <definedName name="ND" localSheetId="2">#REF!</definedName>
    <definedName name="ND" localSheetId="0">#REF!</definedName>
    <definedName name="ND">#REF!</definedName>
    <definedName name="NE" localSheetId="1">#REF!</definedName>
    <definedName name="NE" localSheetId="2">#REF!</definedName>
    <definedName name="NE" localSheetId="0">#REF!</definedName>
    <definedName name="NE" localSheetId="3">#REF!</definedName>
    <definedName name="NE">#REF!</definedName>
    <definedName name="NEB" localSheetId="3">#REF!</definedName>
    <definedName name="NEB">#REF!</definedName>
    <definedName name="New" localSheetId="3">#REF!</definedName>
    <definedName name="New">#REF!</definedName>
    <definedName name="Newton" localSheetId="3">#REF!</definedName>
    <definedName name="Newton">#REF!</definedName>
    <definedName name="NF" localSheetId="1">#REF!</definedName>
    <definedName name="NF" localSheetId="2">#REF!</definedName>
    <definedName name="NF" localSheetId="0">#REF!</definedName>
    <definedName name="NF" localSheetId="3">#REF!</definedName>
    <definedName name="NF">#REF!</definedName>
    <definedName name="NFB" localSheetId="3">#REF!</definedName>
    <definedName name="NFB">#REF!</definedName>
    <definedName name="NG" localSheetId="1">#REF!</definedName>
    <definedName name="NG" localSheetId="2">#REF!</definedName>
    <definedName name="NG" localSheetId="0">#REF!</definedName>
    <definedName name="NG" localSheetId="3">#REF!</definedName>
    <definedName name="NG">#REF!</definedName>
    <definedName name="NH" localSheetId="1">#REF!</definedName>
    <definedName name="NH" localSheetId="2">#REF!</definedName>
    <definedName name="NH" localSheetId="0">#REF!</definedName>
    <definedName name="NH" localSheetId="3">#REF!</definedName>
    <definedName name="NH">#REF!</definedName>
    <definedName name="NHbis" localSheetId="1">#REF!</definedName>
    <definedName name="NHbis" localSheetId="0">#REF!</definedName>
    <definedName name="NHbis" localSheetId="3">#REF!</definedName>
    <definedName name="NHbis">#REF!</definedName>
    <definedName name="NI" localSheetId="1">#REF!</definedName>
    <definedName name="NI" localSheetId="0">#REF!</definedName>
    <definedName name="NI" localSheetId="3">#REF!</definedName>
    <definedName name="NI">#REF!</definedName>
    <definedName name="NJ" localSheetId="1">#REF!</definedName>
    <definedName name="NJ" localSheetId="0">#REF!</definedName>
    <definedName name="NJ" localSheetId="3">#REF!</definedName>
    <definedName name="NJ">#REF!</definedName>
    <definedName name="NK" localSheetId="1">#REF!</definedName>
    <definedName name="NK" localSheetId="0">#REF!</definedName>
    <definedName name="NK" localSheetId="3">#REF!</definedName>
    <definedName name="NK">#REF!</definedName>
    <definedName name="NL" localSheetId="1">#REF!</definedName>
    <definedName name="NL" localSheetId="0">#REF!</definedName>
    <definedName name="NL" localSheetId="3">#REF!</definedName>
    <definedName name="NL">#REF!</definedName>
    <definedName name="NLbis" localSheetId="1">#REF!</definedName>
    <definedName name="NLbis" localSheetId="0">#REF!</definedName>
    <definedName name="NLbis" localSheetId="3">#REF!</definedName>
    <definedName name="NLbis">#REF!</definedName>
    <definedName name="NM" localSheetId="1">#REF!</definedName>
    <definedName name="NM" localSheetId="0">#REF!</definedName>
    <definedName name="NM" localSheetId="3">#REF!</definedName>
    <definedName name="NM">#REF!</definedName>
    <definedName name="NMB" localSheetId="3">#REF!</definedName>
    <definedName name="NMB">#REF!</definedName>
    <definedName name="NN" localSheetId="1">#REF!</definedName>
    <definedName name="NN" localSheetId="2">#REF!</definedName>
    <definedName name="NN" localSheetId="0">#REF!</definedName>
    <definedName name="NN" localSheetId="3">#REF!</definedName>
    <definedName name="NN">#REF!</definedName>
    <definedName name="NNbis" localSheetId="1">#REF!</definedName>
    <definedName name="NNbis" localSheetId="2">#REF!</definedName>
    <definedName name="NNbis" localSheetId="0">#REF!</definedName>
    <definedName name="NNbis" localSheetId="3">#REF!</definedName>
    <definedName name="NNbis">#REF!</definedName>
    <definedName name="NNNN" localSheetId="3">#REF!</definedName>
    <definedName name="NNNN">#REF!</definedName>
    <definedName name="NNNNN" localSheetId="3">#REF!</definedName>
    <definedName name="NNNNN">#REF!</definedName>
    <definedName name="NNNNNN">#REF!</definedName>
    <definedName name="NNNNNNHHH">#REF!</definedName>
    <definedName name="NO" localSheetId="1">#REF!</definedName>
    <definedName name="NO" localSheetId="0">#REF!</definedName>
    <definedName name="NO" localSheetId="3">#REF!</definedName>
    <definedName name="NO">#REF!</definedName>
    <definedName name="NOB" localSheetId="3">#REF!</definedName>
    <definedName name="NOB">#REF!</definedName>
    <definedName name="nok" localSheetId="3">#REF!</definedName>
    <definedName name="nok">#REF!</definedName>
    <definedName name="Note_calcul" localSheetId="3">#REF!</definedName>
    <definedName name="Note_calcul">#REF!</definedName>
    <definedName name="nouveau">NA()</definedName>
    <definedName name="NP" localSheetId="1">#REF!</definedName>
    <definedName name="NP" localSheetId="2">#REF!</definedName>
    <definedName name="NP" localSheetId="0">#REF!</definedName>
    <definedName name="NP" localSheetId="3">#REF!</definedName>
    <definedName name="NP">#REF!</definedName>
    <definedName name="NPB" localSheetId="1">#REF!</definedName>
    <definedName name="NPB" localSheetId="2">#REF!</definedName>
    <definedName name="NPB" localSheetId="0">#REF!</definedName>
    <definedName name="NPB" localSheetId="3">#REF!</definedName>
    <definedName name="NPB">#REF!</definedName>
    <definedName name="Npoteaux" localSheetId="3">#REF!</definedName>
    <definedName name="Npoteaux">#REF!</definedName>
    <definedName name="NPS" localSheetId="1">#REF!</definedName>
    <definedName name="NPS" localSheetId="2">#REF!</definedName>
    <definedName name="NPS" localSheetId="0">#REF!</definedName>
    <definedName name="NPS">#REF!</definedName>
    <definedName name="NQ" localSheetId="1">#REF!</definedName>
    <definedName name="NQ" localSheetId="2">#REF!</definedName>
    <definedName name="NQ" localSheetId="0">#REF!</definedName>
    <definedName name="NQ" localSheetId="3">#REF!</definedName>
    <definedName name="NQ">#REF!</definedName>
    <definedName name="NR" localSheetId="1">#REF!</definedName>
    <definedName name="NR" localSheetId="2">#REF!</definedName>
    <definedName name="NR" localSheetId="0">#REF!</definedName>
    <definedName name="NR" localSheetId="3">#REF!</definedName>
    <definedName name="NR">#REF!</definedName>
    <definedName name="NRbis" localSheetId="1">#REF!</definedName>
    <definedName name="NRbis" localSheetId="0">#REF!</definedName>
    <definedName name="NRbis" localSheetId="3">#REF!</definedName>
    <definedName name="NRbis">#REF!</definedName>
    <definedName name="O" localSheetId="1">#REF!</definedName>
    <definedName name="O" localSheetId="2">#REF!</definedName>
    <definedName name="O" localSheetId="0">#REF!</definedName>
    <definedName name="O">#REF!</definedName>
    <definedName name="O7N604">#REF!</definedName>
    <definedName name="OL">#REF!</definedName>
    <definedName name="OLE_LINK1_2">#REF!</definedName>
    <definedName name="omteq" localSheetId="1">#REF!</definedName>
    <definedName name="omteq" localSheetId="0">#REF!</definedName>
    <definedName name="omteq">#REF!</definedName>
    <definedName name="OOIUIOIO">#REF!</definedName>
    <definedName name="OOO">#REF!</definedName>
    <definedName name="OOOO">#REF!</definedName>
    <definedName name="oui">#REF!</definedName>
    <definedName name="ouvrage">NA()</definedName>
    <definedName name="p" localSheetId="3">#REF!</definedName>
    <definedName name="p">#REF!</definedName>
    <definedName name="P.acier" localSheetId="3">#REF!</definedName>
    <definedName name="P.acier">#REF!</definedName>
    <definedName name="P.beton" localSheetId="3">#REF!</definedName>
    <definedName name="P.beton">#REF!</definedName>
    <definedName name="P.bpr" localSheetId="3">#REF!</definedName>
    <definedName name="P.bpr">#REF!</definedName>
    <definedName name="P.deblais">#REF!</definedName>
    <definedName name="p.eau">#REF!</definedName>
    <definedName name="P.U._TTC" localSheetId="1">#REF!</definedName>
    <definedName name="P.U._TTC" localSheetId="2">#REF!</definedName>
    <definedName name="P.U._TTC" localSheetId="0">#REF!</definedName>
    <definedName name="P.U._TTC">#REF!</definedName>
    <definedName name="P_10">NA()</definedName>
    <definedName name="P_16">NA()</definedName>
    <definedName name="P_canniveau">#REF!</definedName>
    <definedName name="P_canniveau200">#REF!</definedName>
    <definedName name="P_drainage">#REF!</definedName>
    <definedName name="P_drainage2">#REF!</definedName>
    <definedName name="P_talus">#REF!</definedName>
    <definedName name="P_talus2">#REF!</definedName>
    <definedName name="P_talus300">#REF!</definedName>
    <definedName name="P100_">#REF!</definedName>
    <definedName name="P100_c">#REF!</definedName>
    <definedName name="P150_">#REF!</definedName>
    <definedName name="P200_">#REF!</definedName>
    <definedName name="P200_c">NA()</definedName>
    <definedName name="P300_">#REF!</definedName>
    <definedName name="painhamra">#REF!</definedName>
    <definedName name="pajdir">#REF!</definedName>
    <definedName name="paknoul">#REF!</definedName>
    <definedName name="Pannaux">#REF!</definedName>
    <definedName name="Panneaux_présentation">#REF!</definedName>
    <definedName name="Partiels">#REF!</definedName>
    <definedName name="Passivité_armature">#REF!</definedName>
    <definedName name="Payment_Needed">"Paiement dû"</definedName>
    <definedName name="pbourd">#REF!</definedName>
    <definedName name="Peinture_bois">#REF!</definedName>
    <definedName name="Peinture_extérieur">#REF!</definedName>
    <definedName name="Peinture_inté_laquée">#REF!</definedName>
    <definedName name="Peinture_intérieur">#REF!</definedName>
    <definedName name="Peinture_métal">#REF!</definedName>
    <definedName name="Peinture_métal_m2">#REF!</definedName>
    <definedName name="pente">#REF!</definedName>
    <definedName name="pente2">#REF!</definedName>
    <definedName name="Pér_canniveau">#REF!</definedName>
    <definedName name="Pér_canniveau2">#REF!</definedName>
    <definedName name="Périmètre_de_la_tour">#REF!</definedName>
    <definedName name="phase1">#REF!</definedName>
    <definedName name="phase2">#REF!</definedName>
    <definedName name="phase3">#REF!</definedName>
    <definedName name="pièce_de_rech_élec">#REF!</definedName>
    <definedName name="piste_carrossable">#REF!</definedName>
    <definedName name="pjbarna">#REF!</definedName>
    <definedName name="Plafonnier_L3">#REF!</definedName>
    <definedName name="Plan_recollement">#REF!</definedName>
    <definedName name="PLANTA" localSheetId="1">#REF!</definedName>
    <definedName name="PLANTA" localSheetId="2">#REF!</definedName>
    <definedName name="PLANTA" localSheetId="0">#REF!</definedName>
    <definedName name="PLANTA" localSheetId="3">#REF!</definedName>
    <definedName name="PLANTA">#REF!</definedName>
    <definedName name="PLANTAT" localSheetId="1">#REF!</definedName>
    <definedName name="PLANTAT" localSheetId="2">#REF!</definedName>
    <definedName name="PLANTAT" localSheetId="0">#REF!</definedName>
    <definedName name="PLANTAT">#REF!</definedName>
    <definedName name="Plaque_pleine_100">#REF!</definedName>
    <definedName name="Plaque_pleine_125">#REF!</definedName>
    <definedName name="Plaque_pleine_150">#REF!</definedName>
    <definedName name="Plaque_pleine_200">#REF!</definedName>
    <definedName name="Plaque_pleine_250">#REF!</definedName>
    <definedName name="Plaque_pleine_300">#REF!</definedName>
    <definedName name="Plaque_pleine_40">#REF!</definedName>
    <definedName name="Plaque_pleine_60">#REF!</definedName>
    <definedName name="Plaque_pleine_80">#REF!</definedName>
    <definedName name="plénum">#REF!</definedName>
    <definedName name="plénum2">#REF!</definedName>
    <definedName name="plinthe" localSheetId="1">#REF!</definedName>
    <definedName name="plinthe" localSheetId="0">#REF!</definedName>
    <definedName name="plinthe">#REF!</definedName>
    <definedName name="Plus_value">#REF!</definedName>
    <definedName name="plus_value_rocher">#REF!</definedName>
    <definedName name="plus_value_rocher1">#REF!</definedName>
    <definedName name="Plus_value150">#REF!</definedName>
    <definedName name="Plus_value300">#REF!</definedName>
    <definedName name="Pompes_doseuses">#REF!</definedName>
    <definedName name="Portail_2x1.5">#REF!</definedName>
    <definedName name="Portail_fer_1.95_3.00">#REF!</definedName>
    <definedName name="Porte_0.7x2.1">#REF!</definedName>
    <definedName name="Porte_1.0x1.9_plaquard">#REF!</definedName>
    <definedName name="Porte_1.0x2.1">#REF!</definedName>
    <definedName name="Porte_1.0x2.1_plaquard">#REF!</definedName>
    <definedName name="Porte_1.20x2.20">#REF!</definedName>
    <definedName name="Porte_1.20x2.20_Metal">#REF!</definedName>
    <definedName name="portillon_fer_1.95_1.1">#REF!</definedName>
    <definedName name="poteau" localSheetId="1">#REF!</definedName>
    <definedName name="poteau" localSheetId="0">#REF!</definedName>
    <definedName name="poteau">#REF!</definedName>
    <definedName name="pou">#REF!</definedName>
    <definedName name="pourtour">#REF!</definedName>
    <definedName name="pourtour1">#REF!</definedName>
    <definedName name="PP" localSheetId="1">#REF!</definedName>
    <definedName name="PP" localSheetId="0">#REF!</definedName>
    <definedName name="PP">#REF!</definedName>
    <definedName name="PPEDADJ" localSheetId="1">#REF!</definedName>
    <definedName name="PPEDADJ" localSheetId="2">#REF!</definedName>
    <definedName name="PPEDADJ" localSheetId="0">#REF!</definedName>
    <definedName name="PPEDADJ">#REF!</definedName>
    <definedName name="PPP" localSheetId="1">#REF!</definedName>
    <definedName name="PPP" localSheetId="2">#REF!</definedName>
    <definedName name="PPP" localSheetId="0">#REF!</definedName>
    <definedName name="PPP" localSheetId="3">#REF!</definedName>
    <definedName name="PPP">#REF!</definedName>
    <definedName name="PPPP" localSheetId="3">#REF!</definedName>
    <definedName name="PPPP">#REF!</definedName>
    <definedName name="Prépartion_surface_sablage" localSheetId="3">#REF!</definedName>
    <definedName name="Prépartion_surface_sablage">#REF!</definedName>
    <definedName name="press">#REF!</definedName>
    <definedName name="Pression">#REF!</definedName>
    <definedName name="Pressosat">#REF!</definedName>
    <definedName name="PRINT_area1">#REF!</definedName>
    <definedName name="print_surf">#REF!</definedName>
    <definedName name="Prise">#REF!</definedName>
    <definedName name="Prise_courant">#REF!</definedName>
    <definedName name="Prise_courant_simple">#REF!</definedName>
    <definedName name="Prise_courant_Tetra">#REF!</definedName>
    <definedName name="prise_de_courant">#REF!</definedName>
    <definedName name="Prix_Total__HT">#REF!</definedName>
    <definedName name="Prix_Unitaire___HT">#REF!</definedName>
    <definedName name="produit">#REF!</definedName>
    <definedName name="Prof_100">#REF!</definedName>
    <definedName name="Prof_150">#REF!</definedName>
    <definedName name="Prof_200">#REF!</definedName>
    <definedName name="Prof_300">#REF!</definedName>
    <definedName name="prof_ch_jav">NA()</definedName>
    <definedName name="prof_ch_vanne">#REF!</definedName>
    <definedName name="prof_ch_vanne150">#REF!</definedName>
    <definedName name="prof_ch_vanne300">#REF!</definedName>
    <definedName name="prof_chainage">#REF!</definedName>
    <definedName name="prof_chainage_jav">NA()</definedName>
    <definedName name="prof_chainage_jav_reprise">#REF!</definedName>
    <definedName name="prof_chainage150">#REF!</definedName>
    <definedName name="prof_chainage300">#REF!</definedName>
    <definedName name="prof_javellisation">#REF!</definedName>
    <definedName name="prof_reprise">#REF!</definedName>
    <definedName name="ProfT">#REF!</definedName>
    <definedName name="ProfT2">#REF!</definedName>
    <definedName name="PS" localSheetId="1">#REF!</definedName>
    <definedName name="PS" localSheetId="2">#REF!</definedName>
    <definedName name="PS" localSheetId="0">#REF!</definedName>
    <definedName name="PS">#REF!</definedName>
    <definedName name="psidiali">#REF!</definedName>
    <definedName name="ptizi">#REF!</definedName>
    <definedName name="PU">#REF!</definedName>
    <definedName name="Puit_perdu_2.50">#REF!</definedName>
    <definedName name="PV_brut_de_décoffrage">#REF!</definedName>
    <definedName name="PV_brut_décoffrage">#REF!</definedName>
    <definedName name="PV_produit_acide">#REF!</definedName>
    <definedName name="PV_Terrassement">#REF!</definedName>
    <definedName name="PVC_PN16">NA()</definedName>
    <definedName name="PVC_PN16D">NA()</definedName>
    <definedName name="Q" localSheetId="3">#REF!</definedName>
    <definedName name="Q">#REF!</definedName>
    <definedName name="QQ" localSheetId="1">#REF!</definedName>
    <definedName name="QQ" localSheetId="0">#REF!</definedName>
    <definedName name="QQ" localSheetId="3">#REF!</definedName>
    <definedName name="QQ">#REF!</definedName>
    <definedName name="QQQQQQQQQ" localSheetId="1">#REF!</definedName>
    <definedName name="QQQQQQQQQ" localSheetId="0">#REF!</definedName>
    <definedName name="QQQQQQQQQ">#REF!</definedName>
    <definedName name="QQSQSQS">#REF!</definedName>
    <definedName name="QSADZ">#REF!</definedName>
    <definedName name="qsd">#REF!</definedName>
    <definedName name="qsda">#REF!</definedName>
    <definedName name="QSQQQ">#REF!</definedName>
    <definedName name="Qté">#REF!</definedName>
    <definedName name="Qtité_Tot" localSheetId="1">#REF!</definedName>
    <definedName name="Qtité_Tot" localSheetId="0">#REF!</definedName>
    <definedName name="Qtité_Tot">#REF!</definedName>
    <definedName name="Quantités_Totales__AUTHENTIQUE">#REF!</definedName>
    <definedName name="Quantités_Totales__BOHÉME">#REF!</definedName>
    <definedName name="Quantités_Totales__SOPHISTIQUE">#REF!</definedName>
    <definedName name="Quantités_Totales_bohéme">#REF!</definedName>
    <definedName name="Quantités_Totales_SOPHISTIQUE">#REF!</definedName>
    <definedName name="Quotg1p1">NA()</definedName>
    <definedName name="Quotg2p1">NA()</definedName>
    <definedName name="Quotg2p2">NA()</definedName>
    <definedName name="R_acces">#REF!</definedName>
    <definedName name="R_acces2">#REF!</definedName>
    <definedName name="R_coupole">#REF!</definedName>
    <definedName name="R_coupole150">#REF!</definedName>
    <definedName name="R_coupole300">#REF!</definedName>
    <definedName name="R_ext_lantern">#REF!</definedName>
    <definedName name="R_ext_lantern150">#REF!</definedName>
    <definedName name="R_ext_lantern300">#REF!</definedName>
    <definedName name="R_int_lantern">#REF!</definedName>
    <definedName name="R_int_lantern150">#REF!</definedName>
    <definedName name="R_int_lantern300">#REF!</definedName>
    <definedName name="R_lanterne">#REF!</definedName>
    <definedName name="R_lanterne2">#REF!</definedName>
    <definedName name="R_PEC_40">#REF!</definedName>
    <definedName name="R_PEC_40_Colliet">#REF!</definedName>
    <definedName name="R_PEC_40_Té">#REF!</definedName>
    <definedName name="R_SBAC40">#REF!</definedName>
    <definedName name="R_SR_110">#REF!</definedName>
    <definedName name="R_SR_50">#REF!</definedName>
    <definedName name="R_SR_63">#REF!</definedName>
    <definedName name="R_SR_75">#REF!</definedName>
    <definedName name="R_SR_90">#REF!</definedName>
    <definedName name="rac" localSheetId="1">#REF!</definedName>
    <definedName name="rac" localSheetId="0">#REF!</definedName>
    <definedName name="rac">#REF!</definedName>
    <definedName name="Raccord_bridé_200">#REF!</definedName>
    <definedName name="Raccord_bridé_250">#REF!</definedName>
    <definedName name="Raccord_bridé_300">#REF!</definedName>
    <definedName name="Raccord_bridé_400">#REF!</definedName>
    <definedName name="Racords_brides">#REF!</definedName>
    <definedName name="Rapport">#REF!</definedName>
    <definedName name="ratioadm" localSheetId="1">#REF!</definedName>
    <definedName name="ratioadm" localSheetId="0">#REF!</definedName>
    <definedName name="ratioadm">#REF!</definedName>
    <definedName name="ratioind" localSheetId="1">#REF!</definedName>
    <definedName name="ratioind" localSheetId="0">#REF!</definedName>
    <definedName name="ratioind">#REF!</definedName>
    <definedName name="Ravalement_section_friable">#REF!</definedName>
    <definedName name="Rayon_courbure">#REF!</definedName>
    <definedName name="rdc" localSheetId="1">#REF!</definedName>
    <definedName name="rdc" localSheetId="2">#REF!</definedName>
    <definedName name="rdc" localSheetId="0">#REF!</definedName>
    <definedName name="rdc" localSheetId="3">#REF!</definedName>
    <definedName name="rdc">#REF!</definedName>
    <definedName name="Recap" localSheetId="1">#REF!</definedName>
    <definedName name="Recap" localSheetId="2">#REF!</definedName>
    <definedName name="Recap" localSheetId="0">#REF!</definedName>
    <definedName name="Recap">#REF!</definedName>
    <definedName name="RECAP3">#REF!</definedName>
    <definedName name="recape">#N/A</definedName>
    <definedName name="RECAVRD" localSheetId="1">#REF!</definedName>
    <definedName name="RECAVRD" localSheetId="0">#REF!</definedName>
    <definedName name="RECAVRD" localSheetId="3">#REF!</definedName>
    <definedName name="RECAVRD">#REF!</definedName>
    <definedName name="rechange_électrique" localSheetId="3">#REF!</definedName>
    <definedName name="rechange_électrique">#REF!</definedName>
    <definedName name="Rechange_javillisation">#REF!</definedName>
    <definedName name="rechange_mécanique">#REF!</definedName>
    <definedName name="red" localSheetId="1">#REF!</definedName>
    <definedName name="red" localSheetId="2">#REF!</definedName>
    <definedName name="red" localSheetId="0">#REF!</definedName>
    <definedName name="red" localSheetId="3">#REF!</definedName>
    <definedName name="red">#REF!</definedName>
    <definedName name="réducteur40" localSheetId="3">#REF!</definedName>
    <definedName name="réducteur40">#REF!</definedName>
    <definedName name="réducteur60" localSheetId="3">#REF!</definedName>
    <definedName name="réducteur60">#REF!</definedName>
    <definedName name="Regard_100_100_120" localSheetId="3">#REF!</definedName>
    <definedName name="Regard_100_100_120">#REF!</definedName>
    <definedName name="Regard_300_150_120">#REF!</definedName>
    <definedName name="Regard_60x60">#REF!</definedName>
    <definedName name="Regard_70x70">#REF!</definedName>
    <definedName name="Regard_90_90">#REF!</definedName>
    <definedName name="Regard_vent_vanne">#REF!</definedName>
    <definedName name="Regard_vidange">#REF!</definedName>
    <definedName name="Reimbursement">"Remboursement"</definedName>
    <definedName name="Remblai_compacté">#REF!</definedName>
    <definedName name="Remblais_compactés_20_cm">#REF!</definedName>
    <definedName name="rendadd">#REF!</definedName>
    <definedName name="renddist">#REF!</definedName>
    <definedName name="Réparation_de_la_façade_du_réservoir_et_de_la_chambre_des_vannes">#REF!</definedName>
    <definedName name="Reprise_partielle_enduit">#REF!</definedName>
    <definedName name="rert">#REF!</definedName>
    <definedName name="Résultats">#REF!</definedName>
    <definedName name="ret" localSheetId="1">#REF!</definedName>
    <definedName name="ret" localSheetId="2">#REF!</definedName>
    <definedName name="ret" localSheetId="0">#REF!</definedName>
    <definedName name="ret">#REF!</definedName>
    <definedName name="reve">#N/A</definedName>
    <definedName name="revesol" localSheetId="1">#REF!</definedName>
    <definedName name="revesol" localSheetId="2">#REF!</definedName>
    <definedName name="revesol" localSheetId="0">#REF!</definedName>
    <definedName name="revesol" localSheetId="3">#REF!</definedName>
    <definedName name="revesol">#REF!</definedName>
    <definedName name="revêtem_carreaux">#REF!</definedName>
    <definedName name="revêtement_faince">#REF!</definedName>
    <definedName name="Revêtement_resine">#REF!</definedName>
    <definedName name="REVETEMENTS_MURAUX" localSheetId="1">#REF!</definedName>
    <definedName name="REVETEMENTS_MURAUX" localSheetId="2">#REF!</definedName>
    <definedName name="REVETEMENTS_MURAUX" localSheetId="0">#REF!</definedName>
    <definedName name="REVETEMENTS_MURAUX">#REF!</definedName>
    <definedName name="REZ_DE_CHAUSSEE" localSheetId="1">#REF!</definedName>
    <definedName name="REZ_DE_CHAUSSEE" localSheetId="2">#REF!</definedName>
    <definedName name="REZ_DE_CHAUSSEE" localSheetId="0">#REF!</definedName>
    <definedName name="REZ_DE_CHAUSSEE">#REF!</definedName>
    <definedName name="REZ_DE_JARDIN" localSheetId="1">#REF!</definedName>
    <definedName name="REZ_DE_JARDIN" localSheetId="2">#REF!</definedName>
    <definedName name="REZ_DE_JARDIN" localSheetId="0">#REF!</definedName>
    <definedName name="REZ_DE_JARDIN">#REF!</definedName>
    <definedName name="RF_100">#REF!</definedName>
    <definedName name="RF_150">#REF!</definedName>
    <definedName name="RF_200">#REF!</definedName>
    <definedName name="RF_60">#REF!</definedName>
    <definedName name="RF_80">#REF!</definedName>
    <definedName name="rgtr">#REF!</definedName>
    <definedName name="Rideau_lamé_1.00x1.26">#REF!</definedName>
    <definedName name="Rideau_lamé_2.00x1.25">#REF!</definedName>
    <definedName name="rien">#REF!</definedName>
    <definedName name="Rinçage_stérilisation">#REF!</definedName>
    <definedName name="Rinçage_stérilisation_m3">#REF!</definedName>
    <definedName name="Robinet_arrêt">#REF!</definedName>
    <definedName name="Robinet_arrosage">#REF!</definedName>
    <definedName name="Robinet_puisage">#REF!</definedName>
    <definedName name="rocher">#REF!</definedName>
    <definedName name="Rose_variés">#REF!</definedName>
    <definedName name="RP">NA()</definedName>
    <definedName name="rprod" localSheetId="1">#REF!</definedName>
    <definedName name="rprod" localSheetId="0">#REF!</definedName>
    <definedName name="rprod" localSheetId="3">#REF!</definedName>
    <definedName name="rprod">#REF!</definedName>
    <definedName name="RR" localSheetId="1">#REF!</definedName>
    <definedName name="RR" localSheetId="2">#REF!</definedName>
    <definedName name="RR" localSheetId="0">#REF!</definedName>
    <definedName name="RR" localSheetId="3">#REF!</definedName>
    <definedName name="RR">#REF!</definedName>
    <definedName name="RRR" localSheetId="1">#REF!</definedName>
    <definedName name="RRR" localSheetId="2">#REF!</definedName>
    <definedName name="RRR" localSheetId="0">#REF!</definedName>
    <definedName name="RRR">#REF!</definedName>
    <definedName name="rrrr" localSheetId="1">#REF!</definedName>
    <definedName name="rrrr" localSheetId="0">#REF!</definedName>
    <definedName name="rrrr">#REF!</definedName>
    <definedName name="RRRRRRR">#REF!</definedName>
    <definedName name="RTRTTRR">#REF!</definedName>
    <definedName name="RV">NA()</definedName>
    <definedName name="RV_100">#REF!</definedName>
    <definedName name="RV_100_PN10">#REF!</definedName>
    <definedName name="RV_100_PN16">#REF!</definedName>
    <definedName name="RV_125">#REF!</definedName>
    <definedName name="RV_150">#REF!</definedName>
    <definedName name="RV_150_PN16">#REF!</definedName>
    <definedName name="RV_150_PN25">#REF!</definedName>
    <definedName name="RV_200">#REF!</definedName>
    <definedName name="RV_200_PN16">#REF!</definedName>
    <definedName name="RV_200_PN25">#REF!</definedName>
    <definedName name="RV_250">#REF!</definedName>
    <definedName name="RV_250_PN16">#REF!</definedName>
    <definedName name="RV_250_PN25">#REF!</definedName>
    <definedName name="RV_300">#REF!</definedName>
    <definedName name="RV_40">#REF!</definedName>
    <definedName name="RV_60">#REF!</definedName>
    <definedName name="RV_60_PN16">#REF!</definedName>
    <definedName name="RV_60_PN25">#REF!</definedName>
    <definedName name="RV_80">#REF!</definedName>
    <definedName name="RV_80_PN16">#REF!</definedName>
    <definedName name="RV_80_PN25">#REF!</definedName>
    <definedName name="s" localSheetId="1">#REF!</definedName>
    <definedName name="s" localSheetId="0">#REF!</definedName>
    <definedName name="s">#REF!</definedName>
    <definedName name="S100_">#REF!</definedName>
    <definedName name="S150_">#REF!</definedName>
    <definedName name="S200_">#REF!</definedName>
    <definedName name="S300_">#REF!</definedName>
    <definedName name="SA" localSheetId="1">#REF!</definedName>
    <definedName name="SA" localSheetId="0">#REF!</definedName>
    <definedName name="SA">#REF!</definedName>
    <definedName name="SAEAD" localSheetId="1">#REF!</definedName>
    <definedName name="SAEAD" localSheetId="2">#REF!</definedName>
    <definedName name="SAEAD" localSheetId="0">#REF!</definedName>
    <definedName name="SAEAD" localSheetId="3">#REF!</definedName>
    <definedName name="SAEAD">#REF!</definedName>
    <definedName name="salam" localSheetId="1">#REF!</definedName>
    <definedName name="salam" localSheetId="2">#REF!</definedName>
    <definedName name="salam" localSheetId="0">#REF!</definedName>
    <definedName name="salam">#REF!</definedName>
    <definedName name="salu">#N/A</definedName>
    <definedName name="SAR" localSheetId="1">#REF!</definedName>
    <definedName name="SAR" localSheetId="0">#REF!</definedName>
    <definedName name="SAR" localSheetId="3">#REF!</definedName>
    <definedName name="SAR">#REF!</definedName>
    <definedName name="SB" localSheetId="1">#REF!</definedName>
    <definedName name="SB" localSheetId="0">#REF!</definedName>
    <definedName name="SB">#REF!</definedName>
    <definedName name="SB1E" localSheetId="1">#REF!</definedName>
    <definedName name="SB1E" localSheetId="0">#REF!</definedName>
    <definedName name="SB1E">#REF!</definedName>
    <definedName name="SB1F" localSheetId="1">#REF!</definedName>
    <definedName name="SB1F" localSheetId="0">#REF!</definedName>
    <definedName name="SB1F">#REF!</definedName>
    <definedName name="SB1P" localSheetId="1">#REF!</definedName>
    <definedName name="SB1P" localSheetId="0">#REF!</definedName>
    <definedName name="SB1P">#REF!</definedName>
    <definedName name="SB1R" localSheetId="1">#REF!</definedName>
    <definedName name="SB1R" localSheetId="0">#REF!</definedName>
    <definedName name="SB1R">#REF!</definedName>
    <definedName name="SB2E" localSheetId="1">#REF!</definedName>
    <definedName name="SB2E" localSheetId="0">#REF!</definedName>
    <definedName name="SB2E">#REF!</definedName>
    <definedName name="SB2F" localSheetId="1">#REF!</definedName>
    <definedName name="SB2F" localSheetId="0">#REF!</definedName>
    <definedName name="SB2F">#REF!</definedName>
    <definedName name="SB2P" localSheetId="1">#REF!</definedName>
    <definedName name="SB2P" localSheetId="0">#REF!</definedName>
    <definedName name="SB2P">#REF!</definedName>
    <definedName name="SB2R" localSheetId="1">#REF!</definedName>
    <definedName name="SB2R" localSheetId="0">#REF!</definedName>
    <definedName name="SB2R">#REF!</definedName>
    <definedName name="SB3E" localSheetId="1">#REF!</definedName>
    <definedName name="SB3E" localSheetId="0">#REF!</definedName>
    <definedName name="SB3E">#REF!</definedName>
    <definedName name="SB3F" localSheetId="1">#REF!</definedName>
    <definedName name="SB3F" localSheetId="0">#REF!</definedName>
    <definedName name="SB3F">#REF!</definedName>
    <definedName name="SB3P" localSheetId="1">#REF!</definedName>
    <definedName name="SB3P" localSheetId="0">#REF!</definedName>
    <definedName name="SB3P">#REF!</definedName>
    <definedName name="SB3R" localSheetId="1">#REF!</definedName>
    <definedName name="SB3R" localSheetId="0">#REF!</definedName>
    <definedName name="SB3R">#REF!</definedName>
    <definedName name="SC" localSheetId="1">#REF!</definedName>
    <definedName name="SC" localSheetId="0">#REF!</definedName>
    <definedName name="SC">#REF!</definedName>
    <definedName name="SCbis" localSheetId="1">#REF!</definedName>
    <definedName name="SCbis" localSheetId="2">#REF!</definedName>
    <definedName name="SCbis" localSheetId="0">#REF!</definedName>
    <definedName name="SCbis" localSheetId="3">#REF!</definedName>
    <definedName name="SCbis">#REF!</definedName>
    <definedName name="SD" localSheetId="1">#REF!</definedName>
    <definedName name="SD" localSheetId="2">#REF!</definedName>
    <definedName name="SD" localSheetId="0">#REF!</definedName>
    <definedName name="SD" localSheetId="3">#REF!</definedName>
    <definedName name="SD">#REF!</definedName>
    <definedName name="sde">#REF!</definedName>
    <definedName name="sdf">#REF!</definedName>
    <definedName name="SDFSD">#REF!</definedName>
    <definedName name="SDFSDFSDFSDF">#REF!</definedName>
    <definedName name="sdgfczj">#REF!</definedName>
    <definedName name="sdsgafs">NA()</definedName>
    <definedName name="SE" localSheetId="1">#REF!</definedName>
    <definedName name="SE" localSheetId="2">#REF!</definedName>
    <definedName name="SE" localSheetId="0">#REF!</definedName>
    <definedName name="SE" localSheetId="3">#REF!</definedName>
    <definedName name="SE">#REF!</definedName>
    <definedName name="sec">NA()</definedName>
    <definedName name="SF" localSheetId="1">#REF!</definedName>
    <definedName name="SF" localSheetId="2">#REF!</definedName>
    <definedName name="SF" localSheetId="0">#REF!</definedName>
    <definedName name="SF" localSheetId="3">#REF!</definedName>
    <definedName name="SF">#REF!</definedName>
    <definedName name="SFSDSDSS" localSheetId="3">#REF!</definedName>
    <definedName name="SFSDSDSS">#REF!</definedName>
    <definedName name="SG" localSheetId="1">#REF!</definedName>
    <definedName name="SG" localSheetId="2">#REF!</definedName>
    <definedName name="SG" localSheetId="0">#REF!</definedName>
    <definedName name="SG" localSheetId="3">#REF!</definedName>
    <definedName name="SG">#REF!</definedName>
    <definedName name="SH" localSheetId="1">#REF!</definedName>
    <definedName name="SH" localSheetId="0">#REF!</definedName>
    <definedName name="SH" localSheetId="3">#REF!</definedName>
    <definedName name="SH">#REF!</definedName>
    <definedName name="SHbis" localSheetId="1">#REF!</definedName>
    <definedName name="SHbis" localSheetId="0">#REF!</definedName>
    <definedName name="SHbis" localSheetId="3">#REF!</definedName>
    <definedName name="SHbis">#REF!</definedName>
    <definedName name="shon" localSheetId="3">#REF!</definedName>
    <definedName name="shon">#REF!</definedName>
    <definedName name="SI" localSheetId="1">#REF!</definedName>
    <definedName name="SI" localSheetId="0">#REF!</definedName>
    <definedName name="SI" localSheetId="3">#REF!</definedName>
    <definedName name="SI">#REF!</definedName>
    <definedName name="signalisation_réservoir">#REF!</definedName>
    <definedName name="Silicon_béton">#REF!</definedName>
    <definedName name="SJ" localSheetId="1">#REF!</definedName>
    <definedName name="SJ" localSheetId="0">#REF!</definedName>
    <definedName name="SJ" localSheetId="3">#REF!</definedName>
    <definedName name="SJ">#REF!</definedName>
    <definedName name="SK" localSheetId="1">#REF!</definedName>
    <definedName name="SK" localSheetId="0">#REF!</definedName>
    <definedName name="SK" localSheetId="3">#REF!</definedName>
    <definedName name="SK">#REF!</definedName>
    <definedName name="SL" localSheetId="1">#REF!</definedName>
    <definedName name="SL" localSheetId="0">#REF!</definedName>
    <definedName name="SL" localSheetId="3">#REF!</definedName>
    <definedName name="SL">#REF!</definedName>
    <definedName name="SLbis" localSheetId="1">#REF!</definedName>
    <definedName name="SLbis" localSheetId="0">#REF!</definedName>
    <definedName name="SLbis" localSheetId="3">#REF!</definedName>
    <definedName name="SLbis">#REF!</definedName>
    <definedName name="SM" localSheetId="1">#REF!</definedName>
    <definedName name="SM" localSheetId="0">#REF!</definedName>
    <definedName name="SM" localSheetId="3">#REF!</definedName>
    <definedName name="SM">#REF!</definedName>
    <definedName name="SN" localSheetId="1">#REF!</definedName>
    <definedName name="SN" localSheetId="0">#REF!</definedName>
    <definedName name="SN" localSheetId="3">#REF!</definedName>
    <definedName name="SN">#REF!</definedName>
    <definedName name="SNbis" localSheetId="1">#REF!</definedName>
    <definedName name="SNbis" localSheetId="0">#REF!</definedName>
    <definedName name="SNbis" localSheetId="3">#REF!</definedName>
    <definedName name="SNbis">#REF!</definedName>
    <definedName name="SO" localSheetId="1">#REF!</definedName>
    <definedName name="SO" localSheetId="0">#REF!</definedName>
    <definedName name="SO" localSheetId="3">#REF!</definedName>
    <definedName name="SO">#REF!</definedName>
    <definedName name="sol" localSheetId="1">#REF!</definedName>
    <definedName name="sol" localSheetId="2">#REF!</definedName>
    <definedName name="sol" localSheetId="0">#REF!</definedName>
    <definedName name="sol">#REF!</definedName>
    <definedName name="Solin_d_étanchéité">#REF!</definedName>
    <definedName name="Solins">#REF!</definedName>
    <definedName name="Sonnerie">#REF!</definedName>
    <definedName name="SONO">#REF!</definedName>
    <definedName name="SONOSDB">#REF!</definedName>
    <definedName name="sor">#REF!</definedName>
    <definedName name="sortie">#REF!</definedName>
    <definedName name="SORTIE1">#REF!</definedName>
    <definedName name="souss1" localSheetId="1">#REF!</definedName>
    <definedName name="souss1" localSheetId="2">#REF!</definedName>
    <definedName name="souss1" localSheetId="0">#REF!</definedName>
    <definedName name="souss1" localSheetId="3">#REF!</definedName>
    <definedName name="souss1">#REF!</definedName>
    <definedName name="souss2" localSheetId="1">#REF!</definedName>
    <definedName name="souss2" localSheetId="2">#REF!</definedName>
    <definedName name="souss2" localSheetId="0">#REF!</definedName>
    <definedName name="souss2" localSheetId="3">#REF!</definedName>
    <definedName name="souss2">#REF!</definedName>
    <definedName name="souss3" localSheetId="1">#REF!</definedName>
    <definedName name="souss3" localSheetId="2">#REF!</definedName>
    <definedName name="souss3" localSheetId="0">#REF!</definedName>
    <definedName name="souss3" localSheetId="3">#REF!</definedName>
    <definedName name="souss3">#REF!</definedName>
    <definedName name="souss4" localSheetId="1">#REF!</definedName>
    <definedName name="souss4" localSheetId="2">#REF!</definedName>
    <definedName name="souss4" localSheetId="0">#REF!</definedName>
    <definedName name="souss4" localSheetId="3">#REF!</definedName>
    <definedName name="souss4">#REF!</definedName>
    <definedName name="souss5" localSheetId="1">#REF!</definedName>
    <definedName name="souss5" localSheetId="2">#REF!</definedName>
    <definedName name="souss5" localSheetId="0">#REF!</definedName>
    <definedName name="souss5" localSheetId="3">#REF!</definedName>
    <definedName name="souss5">#REF!</definedName>
    <definedName name="souss6" localSheetId="1">#REF!</definedName>
    <definedName name="souss6" localSheetId="2">#REF!</definedName>
    <definedName name="souss6" localSheetId="0">#REF!</definedName>
    <definedName name="souss6" localSheetId="3">#REF!</definedName>
    <definedName name="souss6">#REF!</definedName>
    <definedName name="SP" localSheetId="1">#REF!</definedName>
    <definedName name="SP" localSheetId="2">#REF!</definedName>
    <definedName name="SP" localSheetId="0">#REF!</definedName>
    <definedName name="SP" localSheetId="3">#REF!</definedName>
    <definedName name="SP">#REF!</definedName>
    <definedName name="SPc" localSheetId="1">#REF!</definedName>
    <definedName name="SPc" localSheetId="2">#REF!</definedName>
    <definedName name="SPc" localSheetId="0">#REF!</definedName>
    <definedName name="SPc" localSheetId="3">#REF!</definedName>
    <definedName name="SPc">#REF!</definedName>
    <definedName name="SPh" localSheetId="1">#REF!</definedName>
    <definedName name="SPh" localSheetId="2">#REF!</definedName>
    <definedName name="SPh" localSheetId="0">#REF!</definedName>
    <definedName name="SPh" localSheetId="3">#REF!</definedName>
    <definedName name="SPh">#REF!</definedName>
    <definedName name="SPv" localSheetId="1">#REF!</definedName>
    <definedName name="SPv" localSheetId="2">#REF!</definedName>
    <definedName name="SPv" localSheetId="0">#REF!</definedName>
    <definedName name="SPv" localSheetId="3">#REF!</definedName>
    <definedName name="SPv">#REF!</definedName>
    <definedName name="SQ" localSheetId="1">#REF!</definedName>
    <definedName name="SQ" localSheetId="0">#REF!</definedName>
    <definedName name="SQ" localSheetId="3">#REF!</definedName>
    <definedName name="SQ">#REF!</definedName>
    <definedName name="sqd" localSheetId="3">#REF!</definedName>
    <definedName name="sqd">#REF!</definedName>
    <definedName name="sqr">#REF!</definedName>
    <definedName name="sqt">#REF!</definedName>
    <definedName name="SR" localSheetId="1">#REF!</definedName>
    <definedName name="SR" localSheetId="0">#REF!</definedName>
    <definedName name="SR" localSheetId="3">#REF!</definedName>
    <definedName name="SR">#REF!</definedName>
    <definedName name="SRbis" localSheetId="1">#REF!</definedName>
    <definedName name="SRbis" localSheetId="0">#REF!</definedName>
    <definedName name="SRbis" localSheetId="3">#REF!</definedName>
    <definedName name="SRbis">#REF!</definedName>
    <definedName name="ss" localSheetId="1">#REF!</definedName>
    <definedName name="ss" localSheetId="2">#REF!</definedName>
    <definedName name="ss" localSheetId="0">#REF!</definedName>
    <definedName name="ss">#REF!</definedName>
    <definedName name="SSS">#REF!</definedName>
    <definedName name="SSSSS">#REF!</definedName>
    <definedName name="SSSSSSSSSSSSSS">#REF!</definedName>
    <definedName name="Stabilisateur_100">#REF!</definedName>
    <definedName name="Stabilisateur_150">#REF!</definedName>
    <definedName name="Stabilisateur_200">#REF!</definedName>
    <definedName name="Stabilisateur_40">#REF!</definedName>
    <definedName name="Stabilisateur_50">#REF!</definedName>
    <definedName name="Stabilisateur_60">#REF!</definedName>
    <definedName name="Stabilisateur_80">#REF!</definedName>
    <definedName name="Stérilisation_réservoir">#REF!</definedName>
    <definedName name="Summary" localSheetId="1">#REF!</definedName>
    <definedName name="Summary" localSheetId="0">#REF!</definedName>
    <definedName name="Summary">#REF!</definedName>
    <definedName name="SURF">#REF!</definedName>
    <definedName name="Surface_Coupole">#REF!</definedName>
    <definedName name="Surface_fond__5">#REF!</definedName>
    <definedName name="Surface_voile_extérieur__5">#REF!</definedName>
    <definedName name="Surface_voile_intérieur__5">#REF!</definedName>
    <definedName name="t">#REF!</definedName>
    <definedName name="T_CUC">#REF!</definedName>
    <definedName name="T_diam">#REF!</definedName>
    <definedName name="T_Génerale">#REF!</definedName>
    <definedName name="T_R">#REF!</definedName>
    <definedName name="T_rocher_dis">#REF!</definedName>
    <definedName name="T1_1" localSheetId="3">#REF!</definedName>
    <definedName name="T1_1">#REF!</definedName>
    <definedName name="T1_10" localSheetId="3">#REF!</definedName>
    <definedName name="T1_10">#REF!</definedName>
    <definedName name="T1_1c" localSheetId="3">#REF!</definedName>
    <definedName name="T1_1c">#REF!</definedName>
    <definedName name="T1_1cc" localSheetId="3">#REF!</definedName>
    <definedName name="T1_1cc">#REF!</definedName>
    <definedName name="T1_2" localSheetId="3">#REF!</definedName>
    <definedName name="T1_2">#REF!</definedName>
    <definedName name="T1_2c" localSheetId="3">#REF!</definedName>
    <definedName name="T1_2c">#REF!</definedName>
    <definedName name="T1_3" localSheetId="3">#REF!</definedName>
    <definedName name="T1_3">#REF!</definedName>
    <definedName name="T1_3c" localSheetId="3">#REF!</definedName>
    <definedName name="T1_3c">#REF!</definedName>
    <definedName name="T1_4" localSheetId="3">#REF!</definedName>
    <definedName name="T1_4">#REF!</definedName>
    <definedName name="T1_4c" localSheetId="3">#REF!</definedName>
    <definedName name="T1_4c">#REF!</definedName>
    <definedName name="T1_5" localSheetId="3">#REF!</definedName>
    <definedName name="T1_5">#REF!</definedName>
    <definedName name="T1_5c" localSheetId="3">#REF!</definedName>
    <definedName name="T1_5c">#REF!</definedName>
    <definedName name="T1_5p" localSheetId="3">#REF!</definedName>
    <definedName name="T1_5p">#REF!</definedName>
    <definedName name="T1_6" localSheetId="3">#REF!</definedName>
    <definedName name="T1_6">#REF!</definedName>
    <definedName name="T1_7" localSheetId="3">#REF!</definedName>
    <definedName name="T1_7">#REF!</definedName>
    <definedName name="T1_8" localSheetId="3">#REF!</definedName>
    <definedName name="T1_8">#REF!</definedName>
    <definedName name="T1_8c" localSheetId="3">#REF!</definedName>
    <definedName name="T1_8c">#REF!</definedName>
    <definedName name="T1_9" localSheetId="3">#REF!</definedName>
    <definedName name="T1_9">#REF!</definedName>
    <definedName name="T1_9c" localSheetId="3">#REF!</definedName>
    <definedName name="T1_9c">#REF!</definedName>
    <definedName name="T2_1" localSheetId="3">#REF!</definedName>
    <definedName name="T2_1">#REF!</definedName>
    <definedName name="T2_10" localSheetId="3">#REF!</definedName>
    <definedName name="T2_10">#REF!</definedName>
    <definedName name="T2_1c" localSheetId="3">#REF!</definedName>
    <definedName name="T2_1c">#REF!</definedName>
    <definedName name="T2_1cc" localSheetId="3">#REF!</definedName>
    <definedName name="T2_1cc">#REF!</definedName>
    <definedName name="T2_2" localSheetId="3">#REF!</definedName>
    <definedName name="T2_2">#REF!</definedName>
    <definedName name="T2_2c" localSheetId="3">#REF!</definedName>
    <definedName name="T2_2c">#REF!</definedName>
    <definedName name="T2_3" localSheetId="3">#REF!</definedName>
    <definedName name="T2_3">#REF!</definedName>
    <definedName name="T2_3c" localSheetId="3">#REF!</definedName>
    <definedName name="T2_3c">#REF!</definedName>
    <definedName name="T2_4" localSheetId="3">#REF!</definedName>
    <definedName name="T2_4">#REF!</definedName>
    <definedName name="T2_4c" localSheetId="3">#REF!</definedName>
    <definedName name="T2_4c">#REF!</definedName>
    <definedName name="T2_5" localSheetId="3">#REF!</definedName>
    <definedName name="T2_5">#REF!</definedName>
    <definedName name="T2_5c" localSheetId="3">#REF!</definedName>
    <definedName name="T2_5c">#REF!</definedName>
    <definedName name="T2_5p" localSheetId="3">#REF!</definedName>
    <definedName name="T2_5p">#REF!</definedName>
    <definedName name="T2_6" localSheetId="3">#REF!</definedName>
    <definedName name="T2_6">#REF!</definedName>
    <definedName name="T2_7" localSheetId="3">#REF!</definedName>
    <definedName name="T2_7">#REF!</definedName>
    <definedName name="T2_8" localSheetId="3">#REF!</definedName>
    <definedName name="T2_8">#REF!</definedName>
    <definedName name="T2_8c" localSheetId="3">#REF!</definedName>
    <definedName name="T2_8c">#REF!</definedName>
    <definedName name="T2_9" localSheetId="3">#REF!</definedName>
    <definedName name="T2_9">#REF!</definedName>
    <definedName name="T2_91" localSheetId="3">#REF!</definedName>
    <definedName name="T2_91">#REF!</definedName>
    <definedName name="T2_9c" localSheetId="3">#REF!</definedName>
    <definedName name="T2_9c">#REF!</definedName>
    <definedName name="T3A" localSheetId="3">#REF!</definedName>
    <definedName name="T3A">#REF!</definedName>
    <definedName name="T3A1" localSheetId="3">#REF!</definedName>
    <definedName name="T3A1">#REF!</definedName>
    <definedName name="T3A2" localSheetId="3">#REF!</definedName>
    <definedName name="T3A2">#REF!</definedName>
    <definedName name="T3A3" localSheetId="3">#REF!</definedName>
    <definedName name="T3A3">#REF!</definedName>
    <definedName name="T3A4" localSheetId="3">#REF!</definedName>
    <definedName name="T3A4">#REF!</definedName>
    <definedName name="T3Ac" localSheetId="3">#REF!</definedName>
    <definedName name="T3Ac">#REF!</definedName>
    <definedName name="T3Ac1" localSheetId="3">#REF!</definedName>
    <definedName name="T3Ac1">#REF!</definedName>
    <definedName name="T3Ac2" localSheetId="3">#REF!</definedName>
    <definedName name="T3Ac2">#REF!</definedName>
    <definedName name="T3Ac3" localSheetId="3">#REF!</definedName>
    <definedName name="T3Ac3">#REF!</definedName>
    <definedName name="T3Ap" localSheetId="3">#REF!</definedName>
    <definedName name="T3Ap">#REF!</definedName>
    <definedName name="T3B" localSheetId="3">#REF!</definedName>
    <definedName name="T3B">#REF!</definedName>
    <definedName name="T3B1" localSheetId="3">#REF!</definedName>
    <definedName name="T3B1">#REF!</definedName>
    <definedName name="T3B2" localSheetId="3">#REF!</definedName>
    <definedName name="T3B2">#REF!</definedName>
    <definedName name="T3Bap" localSheetId="3">#REF!</definedName>
    <definedName name="T3Bap">#REF!</definedName>
    <definedName name="T3C" localSheetId="3">#REF!</definedName>
    <definedName name="T3C">#REF!</definedName>
    <definedName name="T3C1" localSheetId="3">#REF!</definedName>
    <definedName name="T3C1">#REF!</definedName>
    <definedName name="T3Cp" localSheetId="3">#REF!</definedName>
    <definedName name="T3Cp">#REF!</definedName>
    <definedName name="T3Cpc" localSheetId="3">#REF!</definedName>
    <definedName name="T3Cpc">#REF!</definedName>
    <definedName name="T3D" localSheetId="3">#REF!</definedName>
    <definedName name="T3D">#REF!</definedName>
    <definedName name="T3Dc" localSheetId="3">#REF!</definedName>
    <definedName name="T3Dc">#REF!</definedName>
    <definedName name="T3E" localSheetId="3">#REF!</definedName>
    <definedName name="T3E">#REF!</definedName>
    <definedName name="T3F" localSheetId="3">#REF!</definedName>
    <definedName name="T3F">#REF!</definedName>
    <definedName name="T3F1" localSheetId="3">#REF!</definedName>
    <definedName name="T3F1">#REF!</definedName>
    <definedName name="T3Fap" localSheetId="3">#REF!</definedName>
    <definedName name="T3Fap">#REF!</definedName>
    <definedName name="T3Fc" localSheetId="3">#REF!</definedName>
    <definedName name="T3Fc">#REF!</definedName>
    <definedName name="T3Fc1" localSheetId="3">#REF!</definedName>
    <definedName name="T3Fc1">#REF!</definedName>
    <definedName name="T3Fp" localSheetId="3">#REF!</definedName>
    <definedName name="T3Fp">#REF!</definedName>
    <definedName name="T4A" localSheetId="3">#REF!</definedName>
    <definedName name="T4A">#REF!</definedName>
    <definedName name="T4A1" localSheetId="3">#REF!</definedName>
    <definedName name="T4A1">#REF!</definedName>
    <definedName name="T4A2" localSheetId="3">#REF!</definedName>
    <definedName name="T4A2">#REF!</definedName>
    <definedName name="T4A3" localSheetId="3">#REF!</definedName>
    <definedName name="T4A3">#REF!</definedName>
    <definedName name="T4A4" localSheetId="3">#REF!</definedName>
    <definedName name="T4A4">#REF!</definedName>
    <definedName name="T4Ac" localSheetId="3">#REF!</definedName>
    <definedName name="T4Ac">#REF!</definedName>
    <definedName name="T4Ac1" localSheetId="3">#REF!</definedName>
    <definedName name="T4Ac1">#REF!</definedName>
    <definedName name="T4Ac2" localSheetId="3">#REF!</definedName>
    <definedName name="T4Ac2">#REF!</definedName>
    <definedName name="T4Ac3" localSheetId="3">#REF!</definedName>
    <definedName name="T4Ac3">#REF!</definedName>
    <definedName name="T4Ap" localSheetId="3">#REF!</definedName>
    <definedName name="T4Ap">#REF!</definedName>
    <definedName name="T4B" localSheetId="3">#REF!</definedName>
    <definedName name="T4B">#REF!</definedName>
    <definedName name="T4B_" localSheetId="3">#REF!</definedName>
    <definedName name="T4B_">#REF!</definedName>
    <definedName name="T4B1" localSheetId="3">#REF!</definedName>
    <definedName name="T4B1">#REF!</definedName>
    <definedName name="T4B2" localSheetId="3">#REF!</definedName>
    <definedName name="T4B2">#REF!</definedName>
    <definedName name="T4C" localSheetId="3">#REF!</definedName>
    <definedName name="T4C">#REF!</definedName>
    <definedName name="T4Cp" localSheetId="3">#REF!</definedName>
    <definedName name="T4Cp">#REF!</definedName>
    <definedName name="T4Cpc" localSheetId="3">#REF!</definedName>
    <definedName name="T4Cpc">#REF!</definedName>
    <definedName name="T4D" localSheetId="3">#REF!</definedName>
    <definedName name="T4D">#REF!</definedName>
    <definedName name="T4Dc" localSheetId="3">#REF!</definedName>
    <definedName name="T4Dc">#REF!</definedName>
    <definedName name="T4E" localSheetId="3">#REF!</definedName>
    <definedName name="T4E">#REF!</definedName>
    <definedName name="T4F" localSheetId="3">#REF!</definedName>
    <definedName name="T4F">#REF!</definedName>
    <definedName name="T4F_" localSheetId="3">#REF!</definedName>
    <definedName name="T4F_">#REF!</definedName>
    <definedName name="T4F1" localSheetId="1">#REF!</definedName>
    <definedName name="T4F1" localSheetId="2">#REF!</definedName>
    <definedName name="T4F1" localSheetId="0">#REF!</definedName>
    <definedName name="T4F1">#REF!</definedName>
    <definedName name="T4F1_" localSheetId="3">#REF!</definedName>
    <definedName name="T4F1_">#REF!</definedName>
    <definedName name="T4Fc" localSheetId="3">#REF!</definedName>
    <definedName name="T4Fc">#REF!</definedName>
    <definedName name="T4Fc1" localSheetId="3">#REF!</definedName>
    <definedName name="T4Fc1">#REF!</definedName>
    <definedName name="T4Fp" localSheetId="3">#REF!</definedName>
    <definedName name="T4Fp">#REF!</definedName>
    <definedName name="T5_C1" localSheetId="3">#REF!</definedName>
    <definedName name="T5_C1">#REF!</definedName>
    <definedName name="T5A" localSheetId="3">#REF!</definedName>
    <definedName name="T5A">#REF!</definedName>
    <definedName name="T5A1" localSheetId="3">#REF!</definedName>
    <definedName name="T5A1">#REF!</definedName>
    <definedName name="T5A2" localSheetId="3">#REF!</definedName>
    <definedName name="T5A2">#REF!</definedName>
    <definedName name="T5A3" localSheetId="3">#REF!</definedName>
    <definedName name="T5A3">#REF!</definedName>
    <definedName name="T5A4" localSheetId="3">#REF!</definedName>
    <definedName name="T5A4">#REF!</definedName>
    <definedName name="T5Ac" localSheetId="3">#REF!</definedName>
    <definedName name="T5Ac">#REF!</definedName>
    <definedName name="T5Ac1" localSheetId="3">#REF!</definedName>
    <definedName name="T5Ac1">#REF!</definedName>
    <definedName name="T5Ac2" localSheetId="3">#REF!</definedName>
    <definedName name="T5Ac2">#REF!</definedName>
    <definedName name="T5Ac3" localSheetId="3">#REF!</definedName>
    <definedName name="T5Ac3">#REF!</definedName>
    <definedName name="T5Ap" localSheetId="3">#REF!</definedName>
    <definedName name="T5Ap">#REF!</definedName>
    <definedName name="T5B" localSheetId="3">#REF!</definedName>
    <definedName name="T5B">#REF!</definedName>
    <definedName name="T5B_" localSheetId="3">#REF!</definedName>
    <definedName name="T5B_">#REF!</definedName>
    <definedName name="T5B1" localSheetId="3">#REF!</definedName>
    <definedName name="T5B1">#REF!</definedName>
    <definedName name="T5B2" localSheetId="3">#REF!</definedName>
    <definedName name="T5B2">#REF!</definedName>
    <definedName name="T5C" localSheetId="3">#REF!</definedName>
    <definedName name="T5C">#REF!</definedName>
    <definedName name="T5Cp" localSheetId="3">#REF!</definedName>
    <definedName name="T5Cp">#REF!</definedName>
    <definedName name="T5Cpc" localSheetId="3">#REF!</definedName>
    <definedName name="T5Cpc">#REF!</definedName>
    <definedName name="T5D" localSheetId="3">#REF!</definedName>
    <definedName name="T5D">#REF!</definedName>
    <definedName name="T5Dc" localSheetId="3">#REF!</definedName>
    <definedName name="T5Dc">#REF!</definedName>
    <definedName name="T5E" localSheetId="3">#REF!</definedName>
    <definedName name="T5E">#REF!</definedName>
    <definedName name="T5F" localSheetId="3">#REF!</definedName>
    <definedName name="T5F">#REF!</definedName>
    <definedName name="T5F_" localSheetId="3">#REF!</definedName>
    <definedName name="T5F_">#REF!</definedName>
    <definedName name="T5F1" localSheetId="3">#REF!</definedName>
    <definedName name="T5F1">#REF!</definedName>
    <definedName name="T5Fc" localSheetId="3">#REF!</definedName>
    <definedName name="T5Fc">#REF!</definedName>
    <definedName name="T5Fc1" localSheetId="3">#REF!</definedName>
    <definedName name="T5Fc1">#REF!</definedName>
    <definedName name="T5Fp" localSheetId="3">#REF!</definedName>
    <definedName name="T5Fp">#REF!</definedName>
    <definedName name="T6_C1" localSheetId="3">#REF!</definedName>
    <definedName name="T6_C1">#REF!</definedName>
    <definedName name="T6A" localSheetId="3">#REF!</definedName>
    <definedName name="T6A">#REF!</definedName>
    <definedName name="T6A1" localSheetId="3">#REF!</definedName>
    <definedName name="T6A1">#REF!</definedName>
    <definedName name="T6A2" localSheetId="3">#REF!</definedName>
    <definedName name="T6A2">#REF!</definedName>
    <definedName name="T6A3" localSheetId="3">#REF!</definedName>
    <definedName name="T6A3">#REF!</definedName>
    <definedName name="T6A4" localSheetId="3">#REF!</definedName>
    <definedName name="T6A4">#REF!</definedName>
    <definedName name="T6Ac" localSheetId="3">#REF!</definedName>
    <definedName name="T6Ac">#REF!</definedName>
    <definedName name="T6Ac1" localSheetId="3">#REF!</definedName>
    <definedName name="T6Ac1">#REF!</definedName>
    <definedName name="T6Ac2" localSheetId="3">#REF!</definedName>
    <definedName name="T6Ac2">#REF!</definedName>
    <definedName name="T6Ac3" localSheetId="3">#REF!</definedName>
    <definedName name="T6Ac3">#REF!</definedName>
    <definedName name="T6Ap" localSheetId="3">#REF!</definedName>
    <definedName name="T6Ap">#REF!</definedName>
    <definedName name="T6B" localSheetId="3">#REF!</definedName>
    <definedName name="T6B">#REF!</definedName>
    <definedName name="T6B_" localSheetId="3">#REF!</definedName>
    <definedName name="T6B_">#REF!</definedName>
    <definedName name="T6B1" localSheetId="3">#REF!</definedName>
    <definedName name="T6B1">#REF!</definedName>
    <definedName name="T6B2" localSheetId="3">#REF!</definedName>
    <definedName name="T6B2">#REF!</definedName>
    <definedName name="T6C" localSheetId="3">#REF!</definedName>
    <definedName name="T6C">#REF!</definedName>
    <definedName name="T6Cp" localSheetId="3">#REF!</definedName>
    <definedName name="T6Cp">#REF!</definedName>
    <definedName name="T6Cpc" localSheetId="3">#REF!</definedName>
    <definedName name="T6Cpc">#REF!</definedName>
    <definedName name="T6D" localSheetId="3">#REF!</definedName>
    <definedName name="T6D">#REF!</definedName>
    <definedName name="T6Dc" localSheetId="3">#REF!</definedName>
    <definedName name="T6Dc">#REF!</definedName>
    <definedName name="T6E" localSheetId="3">#REF!</definedName>
    <definedName name="T6E">#REF!</definedName>
    <definedName name="T6F" localSheetId="3">#REF!</definedName>
    <definedName name="T6F">#REF!</definedName>
    <definedName name="T6F_" localSheetId="3">#REF!</definedName>
    <definedName name="T6F_">#REF!</definedName>
    <definedName name="T6F1" localSheetId="3">#REF!</definedName>
    <definedName name="T6F1">#REF!</definedName>
    <definedName name="T6Fc" localSheetId="3">#REF!</definedName>
    <definedName name="T6Fc">#REF!</definedName>
    <definedName name="T6Fc1" localSheetId="3">#REF!</definedName>
    <definedName name="T6Fc1">#REF!</definedName>
    <definedName name="T6Fp" localSheetId="3">#REF!</definedName>
    <definedName name="T6Fp">#REF!</definedName>
    <definedName name="T7_C1" localSheetId="3">#REF!</definedName>
    <definedName name="T7_C1">#REF!</definedName>
    <definedName name="T7A" localSheetId="3">#REF!</definedName>
    <definedName name="T7A">#REF!</definedName>
    <definedName name="T7A1" localSheetId="3">#REF!</definedName>
    <definedName name="T7A1">#REF!</definedName>
    <definedName name="T7A2" localSheetId="3">#REF!</definedName>
    <definedName name="T7A2">#REF!</definedName>
    <definedName name="T7A3" localSheetId="3">#REF!</definedName>
    <definedName name="T7A3">#REF!</definedName>
    <definedName name="T7A4" localSheetId="3">#REF!</definedName>
    <definedName name="T7A4">#REF!</definedName>
    <definedName name="T7Ac" localSheetId="3">#REF!</definedName>
    <definedName name="T7Ac">#REF!</definedName>
    <definedName name="T7Ac1" localSheetId="3">#REF!</definedName>
    <definedName name="T7Ac1">#REF!</definedName>
    <definedName name="T7Ac2" localSheetId="3">#REF!</definedName>
    <definedName name="T7Ac2">#REF!</definedName>
    <definedName name="T7Ac3" localSheetId="3">#REF!</definedName>
    <definedName name="T7Ac3">#REF!</definedName>
    <definedName name="T7Ap" localSheetId="3">#REF!</definedName>
    <definedName name="T7Ap">#REF!</definedName>
    <definedName name="T7B" localSheetId="3">#REF!</definedName>
    <definedName name="T7B">#REF!</definedName>
    <definedName name="T7B_" localSheetId="3">#REF!</definedName>
    <definedName name="T7B_">#REF!</definedName>
    <definedName name="T7B1" localSheetId="3">#REF!</definedName>
    <definedName name="T7B1">#REF!</definedName>
    <definedName name="T7B2" localSheetId="3">#REF!</definedName>
    <definedName name="T7B2">#REF!</definedName>
    <definedName name="T7C" localSheetId="3">#REF!</definedName>
    <definedName name="T7C">#REF!</definedName>
    <definedName name="T7Cp" localSheetId="3">#REF!</definedName>
    <definedName name="T7Cp">#REF!</definedName>
    <definedName name="T7Cpc" localSheetId="3">#REF!</definedName>
    <definedName name="T7Cpc">#REF!</definedName>
    <definedName name="T7D" localSheetId="3">#REF!</definedName>
    <definedName name="T7D">#REF!</definedName>
    <definedName name="T7Dc" localSheetId="3">#REF!</definedName>
    <definedName name="T7Dc">#REF!</definedName>
    <definedName name="T7E" localSheetId="3">#REF!</definedName>
    <definedName name="T7E">#REF!</definedName>
    <definedName name="T7F" localSheetId="3">#REF!</definedName>
    <definedName name="T7F">#REF!</definedName>
    <definedName name="T7F_" localSheetId="3">#REF!</definedName>
    <definedName name="T7F_">#REF!</definedName>
    <definedName name="T7F1" localSheetId="3">#REF!</definedName>
    <definedName name="T7F1">#REF!</definedName>
    <definedName name="T7Fc" localSheetId="3">#REF!</definedName>
    <definedName name="T7Fc">#REF!</definedName>
    <definedName name="T7Fc1" localSheetId="3">#REF!</definedName>
    <definedName name="T7Fc1">#REF!</definedName>
    <definedName name="T7Fp" localSheetId="3">#REF!</definedName>
    <definedName name="T7Fp">#REF!</definedName>
    <definedName name="T8_1" localSheetId="3">#REF!</definedName>
    <definedName name="T8_1">#REF!</definedName>
    <definedName name="T8_10" localSheetId="3">#REF!</definedName>
    <definedName name="T8_10">#REF!</definedName>
    <definedName name="T8_1c" localSheetId="3">#REF!</definedName>
    <definedName name="T8_1c">#REF!</definedName>
    <definedName name="T8_1cc" localSheetId="3">#REF!</definedName>
    <definedName name="T8_1cc">#REF!</definedName>
    <definedName name="T8_2" localSheetId="3">#REF!</definedName>
    <definedName name="T8_2">#REF!</definedName>
    <definedName name="T8_2c" localSheetId="3">#REF!</definedName>
    <definedName name="T8_2c">#REF!</definedName>
    <definedName name="T8_3" localSheetId="3">#REF!</definedName>
    <definedName name="T8_3">#REF!</definedName>
    <definedName name="T8_3c" localSheetId="3">#REF!</definedName>
    <definedName name="T8_3c">#REF!</definedName>
    <definedName name="T8_4" localSheetId="3">#REF!</definedName>
    <definedName name="T8_4">#REF!</definedName>
    <definedName name="T8_4c" localSheetId="3">#REF!</definedName>
    <definedName name="T8_4c">#REF!</definedName>
    <definedName name="T8_5" localSheetId="3">#REF!</definedName>
    <definedName name="T8_5">#REF!</definedName>
    <definedName name="T8_5c" localSheetId="3">#REF!</definedName>
    <definedName name="T8_5c">#REF!</definedName>
    <definedName name="T8_5p" localSheetId="3">#REF!</definedName>
    <definedName name="T8_5p">#REF!</definedName>
    <definedName name="T8_6" localSheetId="3">#REF!</definedName>
    <definedName name="T8_6">#REF!</definedName>
    <definedName name="T8_7" localSheetId="3">#REF!</definedName>
    <definedName name="T8_7">#REF!</definedName>
    <definedName name="T8_8" localSheetId="3">#REF!</definedName>
    <definedName name="T8_8">#REF!</definedName>
    <definedName name="T8_8c" localSheetId="3">#REF!</definedName>
    <definedName name="T8_8c">#REF!</definedName>
    <definedName name="T8_9" localSheetId="3">#REF!</definedName>
    <definedName name="T8_9">#REF!</definedName>
    <definedName name="T8_9c" localSheetId="3">#REF!</definedName>
    <definedName name="T8_9c">#REF!</definedName>
    <definedName name="T9_1" localSheetId="3">#REF!</definedName>
    <definedName name="T9_1">#REF!</definedName>
    <definedName name="T9_10" localSheetId="3">#REF!</definedName>
    <definedName name="T9_10">#REF!</definedName>
    <definedName name="T9_1c" localSheetId="3">#REF!</definedName>
    <definedName name="T9_1c">#REF!</definedName>
    <definedName name="T9_1cc" localSheetId="3">#REF!</definedName>
    <definedName name="T9_1cc">#REF!</definedName>
    <definedName name="T9_2" localSheetId="3">#REF!</definedName>
    <definedName name="T9_2">#REF!</definedName>
    <definedName name="T9_2c" localSheetId="3">#REF!</definedName>
    <definedName name="T9_2c">#REF!</definedName>
    <definedName name="T9_3" localSheetId="3">#REF!</definedName>
    <definedName name="T9_3">#REF!</definedName>
    <definedName name="T9_3c" localSheetId="3">#REF!</definedName>
    <definedName name="T9_3c">#REF!</definedName>
    <definedName name="T9_4" localSheetId="3">#REF!</definedName>
    <definedName name="T9_4">#REF!</definedName>
    <definedName name="T9_4c" localSheetId="3">#REF!</definedName>
    <definedName name="T9_4c">#REF!</definedName>
    <definedName name="T9_5" localSheetId="3">#REF!</definedName>
    <definedName name="T9_5">#REF!</definedName>
    <definedName name="T9_5c" localSheetId="3">#REF!</definedName>
    <definedName name="T9_5c">#REF!</definedName>
    <definedName name="T9_5p" localSheetId="3">#REF!</definedName>
    <definedName name="T9_5p">#REF!</definedName>
    <definedName name="T9_6" localSheetId="3">#REF!</definedName>
    <definedName name="T9_6">#REF!</definedName>
    <definedName name="T9_7" localSheetId="3">#REF!</definedName>
    <definedName name="T9_7">#REF!</definedName>
    <definedName name="T9_8" localSheetId="3">#REF!</definedName>
    <definedName name="T9_8">#REF!</definedName>
    <definedName name="T9_8c" localSheetId="3">#REF!</definedName>
    <definedName name="T9_8c">#REF!</definedName>
    <definedName name="T9_9" localSheetId="3">#REF!</definedName>
    <definedName name="T9_9">#REF!</definedName>
    <definedName name="T9_9c" localSheetId="3">#REF!</definedName>
    <definedName name="T9_9c">#REF!</definedName>
    <definedName name="ta" localSheetId="1">#REF!</definedName>
    <definedName name="ta" localSheetId="2">#REF!</definedName>
    <definedName name="ta" localSheetId="0">#REF!</definedName>
    <definedName name="ta">#REF!</definedName>
    <definedName name="Table1">NA()</definedName>
    <definedName name="TableOfContents_1">#REF!</definedName>
    <definedName name="TableOfContents_2">#REF!</definedName>
    <definedName name="Talus_compacté">#REF!</definedName>
    <definedName name="Talus_compacté___autour">#REF!</definedName>
    <definedName name="Talus_compacté_pente_V_H">#REF!</definedName>
    <definedName name="tata" localSheetId="1">#REF!</definedName>
    <definedName name="tata" localSheetId="2">#REF!</definedName>
    <definedName name="tata" localSheetId="0">#REF!</definedName>
    <definedName name="tata">#REF!</definedName>
    <definedName name="TAUX">#REF!</definedName>
    <definedName name="taux_2">#REF!</definedName>
    <definedName name="Taux_du_rocher">#REF!</definedName>
    <definedName name="Taux_intérêt_par_an">#REF!</definedName>
    <definedName name="taux1">#REF!</definedName>
    <definedName name="taux1_10">#REF!</definedName>
    <definedName name="taux1_11">#REF!</definedName>
    <definedName name="taux1_12">#REF!</definedName>
    <definedName name="taux1_7">#REF!</definedName>
    <definedName name="taux1_8">#REF!</definedName>
    <definedName name="taux1_9">#REF!</definedName>
    <definedName name="taux2">#REF!</definedName>
    <definedName name="taux3">#REF!</definedName>
    <definedName name="tayeb" localSheetId="1">#REF!</definedName>
    <definedName name="tayeb" localSheetId="0">#REF!</definedName>
    <definedName name="tayeb">#REF!</definedName>
    <definedName name="TB4_C1" localSheetId="3">#REF!</definedName>
    <definedName name="TB4_C1">#REF!</definedName>
    <definedName name="TE_BB_TB_100" localSheetId="3">#REF!</definedName>
    <definedName name="TE_BB_TB_100">#REF!</definedName>
    <definedName name="TE_BB_TB_150" localSheetId="3">#REF!</definedName>
    <definedName name="TE_BB_TB_150">#REF!</definedName>
    <definedName name="TE_BB_TB_150_PN16" localSheetId="3">#REF!</definedName>
    <definedName name="TE_BB_TB_150_PN16">#REF!</definedName>
    <definedName name="TE_BB_TB_150_PN25">#REF!</definedName>
    <definedName name="TE_BB_TB_200">#REF!</definedName>
    <definedName name="TE_BB_TB_200_PN16">#REF!</definedName>
    <definedName name="TE_BB_TB_200_PN25">#REF!</definedName>
    <definedName name="TE_BB_TB_60">#REF!</definedName>
    <definedName name="TE_BB_TB_75">#REF!</definedName>
    <definedName name="TE_BB_TB_80">#REF!</definedName>
    <definedName name="TE_BB_TB_90">#REF!</definedName>
    <definedName name="TE_BE_TB_110">#REF!</definedName>
    <definedName name="TE_BE_TB_125">#REF!</definedName>
    <definedName name="TE_BE_TB_140">#REF!</definedName>
    <definedName name="TE_BE_TB_160">#REF!</definedName>
    <definedName name="TE_BE_TB_75">#REF!</definedName>
    <definedName name="TE_BE_TB_90">#REF!</definedName>
    <definedName name="TE_BE_TE_110">#REF!</definedName>
    <definedName name="TE_BE_TE_125">#REF!</definedName>
    <definedName name="TE_BE_TE_140">#REF!</definedName>
    <definedName name="TE_BE_TE_160">#REF!</definedName>
    <definedName name="TE_BE_TE_200">#REF!</definedName>
    <definedName name="TE_BE_TE_63">#REF!</definedName>
    <definedName name="TE_BE_TE_75">#REF!</definedName>
    <definedName name="TE_BE_TE_90">#REF!</definedName>
    <definedName name="Té_bridé_100">#REF!</definedName>
    <definedName name="Té_bridé_125">#REF!</definedName>
    <definedName name="Té_bridé_150">#REF!</definedName>
    <definedName name="Té_bridé_200">#REF!</definedName>
    <definedName name="Té_bridé_250">#REF!</definedName>
    <definedName name="Té_bridé_300">#REF!</definedName>
    <definedName name="Té_bridé_40">#REF!</definedName>
    <definedName name="Té_bridé_60">#REF!</definedName>
    <definedName name="Té_bridé_80">#REF!</definedName>
    <definedName name="Té_SR_110">#REF!</definedName>
    <definedName name="Té_SR_50">#REF!</definedName>
    <definedName name="Té_SR_63">#REF!</definedName>
    <definedName name="Té_SR_75">#REF!</definedName>
    <definedName name="Té_SR_90">#REF!</definedName>
    <definedName name="Technoprom__SAV_007_97_TECHNOPROM_DEVIS_REPARATION_Liste">#REF!</definedName>
    <definedName name="terr">#REF!</definedName>
    <definedName name="Terrassement">#REF!</definedName>
    <definedName name="Terrassement_prof">#REF!</definedName>
    <definedName name="Terrassements">#REF!</definedName>
    <definedName name="TES_BB_TB">#REF!</definedName>
    <definedName name="TES_BE_TB">#REF!</definedName>
    <definedName name="téta0">#REF!</definedName>
    <definedName name="Tête_portail">#REF!</definedName>
    <definedName name="Texc">#REF!</definedName>
    <definedName name="tg">#REF!</definedName>
    <definedName name="titre">#REF!</definedName>
    <definedName name="tl">#REF!</definedName>
    <definedName name="TOTAHT" localSheetId="1">#REF!</definedName>
    <definedName name="TOTAHT" localSheetId="2">#REF!</definedName>
    <definedName name="TOTAHT" localSheetId="0">#REF!</definedName>
    <definedName name="TOTAHT">#REF!</definedName>
    <definedName name="TOTAL" localSheetId="1">#REF!</definedName>
    <definedName name="TOTAL" localSheetId="0">#REF!</definedName>
    <definedName name="TOTAL">#REF!</definedName>
    <definedName name="Total_A1">#REF!</definedName>
    <definedName name="Total_A2">#REF!</definedName>
    <definedName name="TOTALHT" localSheetId="1">#REF!</definedName>
    <definedName name="TOTALHT" localSheetId="0">#REF!</definedName>
    <definedName name="TOTALHT">#REF!</definedName>
    <definedName name="tr">#REF!</definedName>
    <definedName name="Transformateur_100">#REF!</definedName>
    <definedName name="Transformateur_150">#REF!</definedName>
    <definedName name="Transformateur_50">#REF!</definedName>
    <definedName name="Traversé_oued">#REF!</definedName>
    <definedName name="Traversé_piste">#REF!</definedName>
    <definedName name="trocher">#REF!</definedName>
    <definedName name="Trocher2">#REF!</definedName>
    <definedName name="Trocher3">#REF!</definedName>
    <definedName name="tt" localSheetId="3">#REF!</definedName>
    <definedName name="tt">#REF!</definedName>
    <definedName name="TTTTEE" localSheetId="3">#REF!</definedName>
    <definedName name="TTTTEE">#REF!</definedName>
    <definedName name="TTTTTTTT" localSheetId="1">#REF!</definedName>
    <definedName name="TTTTTTTT" localSheetId="2">#REF!</definedName>
    <definedName name="TTTTTTTT" localSheetId="0">#REF!</definedName>
    <definedName name="TTTTTTTT">#REF!</definedName>
    <definedName name="Tuyautrie_javillisation">#REF!</definedName>
    <definedName name="Txcentre">#REF!</definedName>
    <definedName name="txdouar">#REF!</definedName>
    <definedName name="Txredress">#REF!</definedName>
    <definedName name="typ" localSheetId="1">#REF!</definedName>
    <definedName name="typ" localSheetId="0">#REF!</definedName>
    <definedName name="typ">#REF!</definedName>
    <definedName name="TYTYTYT">#REF!</definedName>
    <definedName name="U" localSheetId="1">#REF!</definedName>
    <definedName name="U" localSheetId="0">#REF!</definedName>
    <definedName name="U">#REF!</definedName>
    <definedName name="ù">#N/A</definedName>
    <definedName name="uhg">#N/A</definedName>
    <definedName name="UJKKJKJ" localSheetId="3">#REF!</definedName>
    <definedName name="UJKKJKJ">#REF!</definedName>
    <definedName name="Unité" localSheetId="3">#REF!</definedName>
    <definedName name="Unité">#REF!</definedName>
    <definedName name="UOIOI" localSheetId="3">#REF!</definedName>
    <definedName name="UOIOI">#REF!</definedName>
    <definedName name="UOOUI">#REF!</definedName>
    <definedName name="uri">#REF!</definedName>
    <definedName name="uu">#REF!</definedName>
    <definedName name="UYUYRERTSD">#REF!</definedName>
    <definedName name="V" localSheetId="1">#REF!</definedName>
    <definedName name="V" localSheetId="2">#REF!</definedName>
    <definedName name="V" localSheetId="0">#REF!</definedName>
    <definedName name="V" localSheetId="3">#REF!</definedName>
    <definedName name="V">#REF!</definedName>
    <definedName name="vas" localSheetId="3">#REF!</definedName>
    <definedName name="vas">#REF!</definedName>
    <definedName name="vasque" localSheetId="3">#REF!</definedName>
    <definedName name="vasque">#REF!</definedName>
    <definedName name="VBVBBV" localSheetId="1">#REF!</definedName>
    <definedName name="VBVBBV" localSheetId="2">#REF!</definedName>
    <definedName name="VBVBBV" localSheetId="0">#REF!</definedName>
    <definedName name="VBVBBV">#REF!</definedName>
    <definedName name="VCX">#N/A</definedName>
    <definedName name="vent">NA()</definedName>
    <definedName name="Ventilateur">#REF!</definedName>
    <definedName name="ventouse25">#REF!</definedName>
    <definedName name="ventouse40">#REF!</definedName>
    <definedName name="ventouse60">#REF!</definedName>
    <definedName name="ventouseT40">#REF!</definedName>
    <definedName name="ventouseT60">#REF!</definedName>
    <definedName name="VentSF">NA()</definedName>
    <definedName name="verre_double">#REF!</definedName>
    <definedName name="vid">NA()</definedName>
    <definedName name="Vidange">NA()</definedName>
    <definedName name="Vide_d_air">#REF!</definedName>
    <definedName name="VIlalss">#REF!</definedName>
    <definedName name="vite">NA()</definedName>
    <definedName name="VS" localSheetId="1">#REF!</definedName>
    <definedName name="VS" localSheetId="0">#REF!</definedName>
    <definedName name="VS" localSheetId="3">#REF!</definedName>
    <definedName name="VS">#REF!</definedName>
    <definedName name="VVBBBV" localSheetId="1">#REF!</definedName>
    <definedName name="VVBBBV" localSheetId="0">#REF!</definedName>
    <definedName name="VVBBBV">#REF!</definedName>
    <definedName name="vvvvvvvvv" localSheetId="1">#REF!</definedName>
    <definedName name="vvvvvvvvv" localSheetId="0">#REF!</definedName>
    <definedName name="vvvvvvvvv">#REF!</definedName>
    <definedName name="W">#REF!</definedName>
    <definedName name="w.c">#REF!</definedName>
    <definedName name="wc">#REF!</definedName>
    <definedName name="WC_gré_0.70x0.60">#REF!</definedName>
    <definedName name="wcv">#REF!</definedName>
    <definedName name="WIN">#REF!</definedName>
    <definedName name="ww" localSheetId="1">#REF!</definedName>
    <definedName name="ww" localSheetId="0">#REF!</definedName>
    <definedName name="ww">#REF!</definedName>
    <definedName name="www">#REF!</definedName>
    <definedName name="WWWX">#REF!</definedName>
    <definedName name="WXWW">#REF!</definedName>
    <definedName name="WXWWW">#REF!</definedName>
    <definedName name="WXWWWX">#REF!</definedName>
    <definedName name="WXWWX">#REF!</definedName>
    <definedName name="WXWWXW">#REF!</definedName>
    <definedName name="WXWXWW">#REF!</definedName>
    <definedName name="WXWXWX">#REF!</definedName>
    <definedName name="x" localSheetId="1">#REF!</definedName>
    <definedName name="x" localSheetId="0">#REF!</definedName>
    <definedName name="x">#REF!</definedName>
    <definedName name="xcv">#REF!</definedName>
    <definedName name="XWWXW">#REF!</definedName>
    <definedName name="XWXWWXW">#REF!</definedName>
    <definedName name="XWXWXW">#REF!</definedName>
    <definedName name="XWXWXWXW">#REF!</definedName>
    <definedName name="xx" localSheetId="1">#REF!</definedName>
    <definedName name="xx" localSheetId="0">#REF!</definedName>
    <definedName name="xx">#REF!</definedName>
    <definedName name="XXXXXXXXXXXX" localSheetId="1">#REF!</definedName>
    <definedName name="XXXXXXXXXXXX" localSheetId="2">#REF!</definedName>
    <definedName name="XXXXXXXXXXXX" localSheetId="0">#REF!</definedName>
    <definedName name="XXXXXXXXXXXX">#REF!</definedName>
    <definedName name="xyz">#REF!</definedName>
    <definedName name="y" localSheetId="1">#REF!</definedName>
    <definedName name="y" localSheetId="0">#REF!</definedName>
    <definedName name="y">#REF!</definedName>
    <definedName name="Yens">#REF!</definedName>
    <definedName name="YTYTYTYT">#REF!</definedName>
    <definedName name="yu">#REF!</definedName>
    <definedName name="YY" localSheetId="1">#REF!</definedName>
    <definedName name="YY" localSheetId="0">#REF!</definedName>
    <definedName name="YY">#REF!</definedName>
    <definedName name="yyyyy">#REF!</definedName>
    <definedName name="yyyyyyyyyyyy">#REF!</definedName>
    <definedName name="Z" localSheetId="1">#REF!</definedName>
    <definedName name="Z" localSheetId="0">#REF!</definedName>
    <definedName name="Z">#REF!</definedName>
    <definedName name="z1d">#REF!</definedName>
    <definedName name="Z2D">#REF!</definedName>
    <definedName name="Z3D">#REF!</definedName>
    <definedName name="Z4D">#REF!</definedName>
    <definedName name="Z5D">#REF!</definedName>
    <definedName name="zaz">#REF!</definedName>
    <definedName name="ZHANI" localSheetId="1">#REF!</definedName>
    <definedName name="ZHANI" localSheetId="0">#REF!</definedName>
    <definedName name="ZHANI">#REF!</definedName>
    <definedName name="zone">#REF!</definedName>
    <definedName name="_xlnm.Print_Area" localSheetId="1">'APP SAN'!$A$1:$M$23</definedName>
    <definedName name="_xlnm.Print_Area" localSheetId="2">CVC!$A$1:$M$67</definedName>
    <definedName name="_xlnm.Print_Area" localSheetId="0">PL!$A$1:$M$108</definedName>
    <definedName name="_xlnm.Print_Area" localSheetId="3">RECAP!$A$1:$C$9</definedName>
    <definedName name="Zone_impres_MI" localSheetId="1">#REF!</definedName>
    <definedName name="Zone_impres_MI" localSheetId="2">#REF!</definedName>
    <definedName name="Zone_impres_MI" localSheetId="0">#REF!</definedName>
    <definedName name="Zone_impres_MI" localSheetId="3">#REF!</definedName>
    <definedName name="Zone_impres_MI">#REF!</definedName>
    <definedName name="ZONE_IMPRES_MI_2">#REF!</definedName>
    <definedName name="ZONE_IMPRES_MI_3">#REF!</definedName>
    <definedName name="ZONE_IMPRES_MI_5">#REF!</definedName>
    <definedName name="zz" localSheetId="1">#REF!</definedName>
    <definedName name="zz" localSheetId="0">#REF!</definedName>
    <definedName name="zz">#REF!</definedName>
    <definedName name="zzazqggqg" localSheetId="1">#REF!</definedName>
    <definedName name="zzazqggqg" localSheetId="2">#REF!</definedName>
    <definedName name="zzazqggqg" localSheetId="0">#REF!</definedName>
    <definedName name="zzazqggqg" localSheetId="3">#REF!</definedName>
    <definedName name="zzazqggqg">#REF!</definedName>
    <definedName name="zzz" localSheetId="1">#REF!</definedName>
    <definedName name="zzz" localSheetId="2">#REF!</definedName>
    <definedName name="zzz" localSheetId="0">#REF!</definedName>
    <definedName name="zzz">#REF!</definedName>
    <definedName name="zzzzzzz" localSheetId="1">#REF!</definedName>
    <definedName name="zzzzzzz" localSheetId="2">#REF!</definedName>
    <definedName name="zzzzzzz" localSheetId="0">#REF!</definedName>
    <definedName name="zzzzzzz">#REF!</definedName>
    <definedName name="zzzzzzzzzzzz" localSheetId="1">#REF!</definedName>
    <definedName name="zzzzzzzzzzzz" localSheetId="2">#REF!</definedName>
    <definedName name="zzzzzzzzzzzz" localSheetId="0">#REF!</definedName>
    <definedName name="zzzzzzzzzzzz" localSheetId="3">#REF!</definedName>
    <definedName name="zzzzzzzzzzzz">#REF!</definedName>
    <definedName name="zzzzzzzzzzzzzzzz" localSheetId="1">#REF!</definedName>
    <definedName name="zzzzzzzzzzzzzzzz" localSheetId="2">#REF!</definedName>
    <definedName name="zzzzzzzzzzzzzzzz" localSheetId="0">#REF!</definedName>
    <definedName name="zzzzzzzzzzzzzzz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  <c r="K65" i="3"/>
  <c r="M65" i="3" s="1"/>
  <c r="J65" i="3"/>
  <c r="J64" i="3"/>
  <c r="K64" i="3" s="1"/>
  <c r="M64" i="3" s="1"/>
  <c r="J63" i="3"/>
  <c r="K63" i="3" s="1"/>
  <c r="M63" i="3" s="1"/>
  <c r="J62" i="3"/>
  <c r="K62" i="3" s="1"/>
  <c r="M62" i="3" s="1"/>
  <c r="K61" i="3"/>
  <c r="M61" i="3" s="1"/>
  <c r="J61" i="3"/>
  <c r="J60" i="3"/>
  <c r="K60" i="3" s="1"/>
  <c r="M60" i="3" s="1"/>
  <c r="J58" i="3"/>
  <c r="K58" i="3" s="1"/>
  <c r="M58" i="3" s="1"/>
  <c r="J57" i="3"/>
  <c r="K57" i="3" s="1"/>
  <c r="M57" i="3" s="1"/>
  <c r="K56" i="3"/>
  <c r="M56" i="3" s="1"/>
  <c r="J56" i="3"/>
  <c r="J55" i="3"/>
  <c r="K55" i="3" s="1"/>
  <c r="M55" i="3" s="1"/>
  <c r="J53" i="3"/>
  <c r="K53" i="3" s="1"/>
  <c r="M53" i="3" s="1"/>
  <c r="J52" i="3"/>
  <c r="K52" i="3" s="1"/>
  <c r="M52" i="3" s="1"/>
  <c r="K50" i="3"/>
  <c r="M50" i="3" s="1"/>
  <c r="J50" i="3"/>
  <c r="J49" i="3"/>
  <c r="K49" i="3" s="1"/>
  <c r="M49" i="3" s="1"/>
  <c r="J47" i="3"/>
  <c r="K47" i="3" s="1"/>
  <c r="M47" i="3" s="1"/>
  <c r="K43" i="3"/>
  <c r="M43" i="3" s="1"/>
  <c r="J43" i="3"/>
  <c r="J41" i="3"/>
  <c r="K41" i="3" s="1"/>
  <c r="M41" i="3" s="1"/>
  <c r="J40" i="3"/>
  <c r="K40" i="3" s="1"/>
  <c r="M40" i="3" s="1"/>
  <c r="J39" i="3"/>
  <c r="K39" i="3" s="1"/>
  <c r="M39" i="3" s="1"/>
  <c r="K38" i="3"/>
  <c r="M38" i="3" s="1"/>
  <c r="J38" i="3"/>
  <c r="J37" i="3"/>
  <c r="K37" i="3" s="1"/>
  <c r="M37" i="3" s="1"/>
  <c r="J35" i="3"/>
  <c r="K35" i="3" s="1"/>
  <c r="M35" i="3" s="1"/>
  <c r="J33" i="3"/>
  <c r="K33" i="3" s="1"/>
  <c r="M33" i="3" s="1"/>
  <c r="J28" i="3"/>
  <c r="K28" i="3" s="1"/>
  <c r="M28" i="3" s="1"/>
  <c r="J26" i="3"/>
  <c r="K26" i="3" s="1"/>
  <c r="M26" i="3" s="1"/>
  <c r="J24" i="3"/>
  <c r="K24" i="3" s="1"/>
  <c r="M24" i="3" s="1"/>
  <c r="I22" i="3"/>
  <c r="J20" i="3"/>
  <c r="K20" i="3" s="1"/>
  <c r="M20" i="3" s="1"/>
  <c r="J19" i="3"/>
  <c r="K19" i="3" s="1"/>
  <c r="M19" i="3" s="1"/>
  <c r="J18" i="3"/>
  <c r="K18" i="3" s="1"/>
  <c r="M18" i="3" s="1"/>
  <c r="K17" i="3"/>
  <c r="M17" i="3" s="1"/>
  <c r="J17" i="3"/>
  <c r="J16" i="3"/>
  <c r="K16" i="3" s="1"/>
  <c r="M16" i="3" s="1"/>
  <c r="J15" i="3"/>
  <c r="K15" i="3" s="1"/>
  <c r="M15" i="3" s="1"/>
  <c r="J14" i="3"/>
  <c r="K14" i="3" s="1"/>
  <c r="M14" i="3" s="1"/>
  <c r="F13" i="3"/>
  <c r="F22" i="3" s="1"/>
  <c r="J22" i="3" s="1"/>
  <c r="K22" i="3" s="1"/>
  <c r="M22" i="3" s="1"/>
  <c r="J11" i="3"/>
  <c r="K11" i="3" s="1"/>
  <c r="M11" i="3" s="1"/>
  <c r="J10" i="3"/>
  <c r="K10" i="3" s="1"/>
  <c r="M10" i="3" s="1"/>
  <c r="K9" i="3"/>
  <c r="M9" i="3" s="1"/>
  <c r="J9" i="3"/>
  <c r="J8" i="3"/>
  <c r="K8" i="3" s="1"/>
  <c r="M8" i="3" s="1"/>
  <c r="J7" i="3"/>
  <c r="K7" i="3" s="1"/>
  <c r="M7" i="3" s="1"/>
  <c r="J22" i="2"/>
  <c r="K22" i="2" s="1"/>
  <c r="M22" i="2" s="1"/>
  <c r="J21" i="2"/>
  <c r="K21" i="2" s="1"/>
  <c r="M21" i="2" s="1"/>
  <c r="J20" i="2"/>
  <c r="K20" i="2" s="1"/>
  <c r="M20" i="2" s="1"/>
  <c r="M19" i="2"/>
  <c r="M18" i="2"/>
  <c r="K16" i="2"/>
  <c r="M16" i="2" s="1"/>
  <c r="J16" i="2"/>
  <c r="J15" i="2"/>
  <c r="K15" i="2" s="1"/>
  <c r="M15" i="2" s="1"/>
  <c r="M14" i="2"/>
  <c r="J13" i="2"/>
  <c r="K13" i="2" s="1"/>
  <c r="M13" i="2" s="1"/>
  <c r="J11" i="2"/>
  <c r="K11" i="2" s="1"/>
  <c r="M11" i="2" s="1"/>
  <c r="J10" i="2"/>
  <c r="K10" i="2" s="1"/>
  <c r="M10" i="2" s="1"/>
  <c r="J9" i="2"/>
  <c r="K9" i="2" s="1"/>
  <c r="M9" i="2" s="1"/>
  <c r="J7" i="2"/>
  <c r="K7" i="2" s="1"/>
  <c r="M7" i="2" s="1"/>
  <c r="J6" i="2"/>
  <c r="K6" i="2" s="1"/>
  <c r="M6" i="2" s="1"/>
  <c r="J5" i="2"/>
  <c r="K5" i="2" s="1"/>
  <c r="M5" i="2" s="1"/>
  <c r="J106" i="1"/>
  <c r="K106" i="1" s="1"/>
  <c r="M106" i="1" s="1"/>
  <c r="J105" i="1"/>
  <c r="K105" i="1" s="1"/>
  <c r="M105" i="1" s="1"/>
  <c r="J104" i="1"/>
  <c r="J103" i="1"/>
  <c r="K103" i="1" s="1"/>
  <c r="M103" i="1" s="1"/>
  <c r="J102" i="1"/>
  <c r="K102" i="1" s="1"/>
  <c r="M102" i="1" s="1"/>
  <c r="K101" i="1"/>
  <c r="M101" i="1" s="1"/>
  <c r="J101" i="1"/>
  <c r="M100" i="1"/>
  <c r="K99" i="1"/>
  <c r="M99" i="1" s="1"/>
  <c r="J99" i="1"/>
  <c r="M98" i="1"/>
  <c r="J97" i="1"/>
  <c r="K97" i="1" s="1"/>
  <c r="M97" i="1" s="1"/>
  <c r="K93" i="1"/>
  <c r="M93" i="1" s="1"/>
  <c r="J93" i="1"/>
  <c r="J92" i="1"/>
  <c r="K92" i="1" s="1"/>
  <c r="M92" i="1" s="1"/>
  <c r="J91" i="1"/>
  <c r="K91" i="1" s="1"/>
  <c r="M91" i="1" s="1"/>
  <c r="J90" i="1"/>
  <c r="K90" i="1" s="1"/>
  <c r="M90" i="1" s="1"/>
  <c r="K89" i="1"/>
  <c r="M89" i="1" s="1"/>
  <c r="J89" i="1"/>
  <c r="J88" i="1"/>
  <c r="K88" i="1" s="1"/>
  <c r="M88" i="1" s="1"/>
  <c r="J87" i="1"/>
  <c r="K87" i="1" s="1"/>
  <c r="M87" i="1" s="1"/>
  <c r="J86" i="1"/>
  <c r="K86" i="1" s="1"/>
  <c r="M86" i="1" s="1"/>
  <c r="K85" i="1"/>
  <c r="M85" i="1" s="1"/>
  <c r="J85" i="1"/>
  <c r="J84" i="1"/>
  <c r="K84" i="1" s="1"/>
  <c r="M84" i="1" s="1"/>
  <c r="J83" i="1"/>
  <c r="K83" i="1" s="1"/>
  <c r="M83" i="1" s="1"/>
  <c r="J82" i="1"/>
  <c r="K82" i="1" s="1"/>
  <c r="M82" i="1" s="1"/>
  <c r="K81" i="1"/>
  <c r="M81" i="1" s="1"/>
  <c r="J81" i="1"/>
  <c r="K78" i="1"/>
  <c r="M78" i="1" s="1"/>
  <c r="M79" i="1" s="1"/>
  <c r="J78" i="1"/>
  <c r="J74" i="1"/>
  <c r="K74" i="1" s="1"/>
  <c r="M74" i="1" s="1"/>
  <c r="J73" i="1"/>
  <c r="K73" i="1" s="1"/>
  <c r="M73" i="1" s="1"/>
  <c r="J72" i="1"/>
  <c r="K72" i="1" s="1"/>
  <c r="M72" i="1" s="1"/>
  <c r="J71" i="1"/>
  <c r="K71" i="1" s="1"/>
  <c r="M71" i="1" s="1"/>
  <c r="M70" i="1"/>
  <c r="J68" i="1"/>
  <c r="K68" i="1" s="1"/>
  <c r="M68" i="1" s="1"/>
  <c r="K67" i="1"/>
  <c r="M67" i="1" s="1"/>
  <c r="J67" i="1"/>
  <c r="M66" i="1"/>
  <c r="K65" i="1"/>
  <c r="M65" i="1" s="1"/>
  <c r="J65" i="1"/>
  <c r="J63" i="1"/>
  <c r="K63" i="1" s="1"/>
  <c r="J62" i="1"/>
  <c r="K62" i="1" s="1"/>
  <c r="J61" i="1"/>
  <c r="K61" i="1" s="1"/>
  <c r="M61" i="1" s="1"/>
  <c r="J59" i="1"/>
  <c r="K59" i="1" s="1"/>
  <c r="M59" i="1" s="1"/>
  <c r="J58" i="1"/>
  <c r="K58" i="1" s="1"/>
  <c r="M58" i="1" s="1"/>
  <c r="J57" i="1"/>
  <c r="K57" i="1" s="1"/>
  <c r="M57" i="1" s="1"/>
  <c r="K53" i="1"/>
  <c r="M53" i="1" s="1"/>
  <c r="J53" i="1"/>
  <c r="J52" i="1"/>
  <c r="K52" i="1" s="1"/>
  <c r="M52" i="1" s="1"/>
  <c r="J51" i="1"/>
  <c r="K51" i="1" s="1"/>
  <c r="M51" i="1" s="1"/>
  <c r="J50" i="1"/>
  <c r="K50" i="1" s="1"/>
  <c r="M50" i="1" s="1"/>
  <c r="F50" i="1"/>
  <c r="I49" i="1"/>
  <c r="F49" i="1"/>
  <c r="J49" i="1" s="1"/>
  <c r="K49" i="1" s="1"/>
  <c r="M49" i="1" s="1"/>
  <c r="J48" i="1"/>
  <c r="K48" i="1" s="1"/>
  <c r="M48" i="1" s="1"/>
  <c r="J47" i="1"/>
  <c r="K47" i="1" s="1"/>
  <c r="M47" i="1" s="1"/>
  <c r="K46" i="1"/>
  <c r="M46" i="1" s="1"/>
  <c r="J46" i="1"/>
  <c r="J45" i="1"/>
  <c r="K45" i="1" s="1"/>
  <c r="M45" i="1" s="1"/>
  <c r="J44" i="1"/>
  <c r="K44" i="1" s="1"/>
  <c r="M44" i="1" s="1"/>
  <c r="J43" i="1"/>
  <c r="K43" i="1" s="1"/>
  <c r="M43" i="1" s="1"/>
  <c r="K42" i="1"/>
  <c r="M42" i="1" s="1"/>
  <c r="J42" i="1"/>
  <c r="J41" i="1"/>
  <c r="K41" i="1" s="1"/>
  <c r="M41" i="1" s="1"/>
  <c r="J40" i="1"/>
  <c r="K40" i="1" s="1"/>
  <c r="M40" i="1" s="1"/>
  <c r="J36" i="1"/>
  <c r="K36" i="1" s="1"/>
  <c r="M36" i="1" s="1"/>
  <c r="J35" i="1"/>
  <c r="K35" i="1" s="1"/>
  <c r="M35" i="1" s="1"/>
  <c r="K34" i="1"/>
  <c r="M34" i="1" s="1"/>
  <c r="J34" i="1"/>
  <c r="J33" i="1"/>
  <c r="K33" i="1" s="1"/>
  <c r="M33" i="1" s="1"/>
  <c r="I31" i="1"/>
  <c r="J31" i="1" s="1"/>
  <c r="K31" i="1" s="1"/>
  <c r="M31" i="1" s="1"/>
  <c r="F31" i="1"/>
  <c r="J30" i="1"/>
  <c r="K30" i="1" s="1"/>
  <c r="M30" i="1" s="1"/>
  <c r="J29" i="1"/>
  <c r="K29" i="1" s="1"/>
  <c r="M29" i="1" s="1"/>
  <c r="J27" i="1"/>
  <c r="K27" i="1" s="1"/>
  <c r="M27" i="1" s="1"/>
  <c r="K26" i="1"/>
  <c r="M26" i="1" s="1"/>
  <c r="J26" i="1"/>
  <c r="J25" i="1"/>
  <c r="K25" i="1" s="1"/>
  <c r="M25" i="1" s="1"/>
  <c r="J24" i="1"/>
  <c r="K24" i="1" s="1"/>
  <c r="M24" i="1" s="1"/>
  <c r="J23" i="1"/>
  <c r="K23" i="1" s="1"/>
  <c r="M23" i="1" s="1"/>
  <c r="K22" i="1"/>
  <c r="M22" i="1" s="1"/>
  <c r="J22" i="1"/>
  <c r="J19" i="1"/>
  <c r="K19" i="1" s="1"/>
  <c r="M19" i="1" s="1"/>
  <c r="J18" i="1"/>
  <c r="K18" i="1" s="1"/>
  <c r="M18" i="1" s="1"/>
  <c r="J14" i="1"/>
  <c r="K14" i="1" s="1"/>
  <c r="M14" i="1" s="1"/>
  <c r="J13" i="1"/>
  <c r="K13" i="1" s="1"/>
  <c r="M13" i="1" s="1"/>
  <c r="K12" i="1"/>
  <c r="M12" i="1" s="1"/>
  <c r="J12" i="1"/>
  <c r="J11" i="1"/>
  <c r="K11" i="1" s="1"/>
  <c r="M11" i="1" s="1"/>
  <c r="J10" i="1"/>
  <c r="K10" i="1" s="1"/>
  <c r="M10" i="1" s="1"/>
  <c r="J8" i="1"/>
  <c r="K8" i="1" s="1"/>
  <c r="M8" i="1" s="1"/>
  <c r="K7" i="1"/>
  <c r="M7" i="1" s="1"/>
  <c r="J7" i="1"/>
  <c r="J6" i="1"/>
  <c r="K6" i="1" s="1"/>
  <c r="M6" i="1" s="1"/>
  <c r="C8" i="4" l="1"/>
  <c r="C9" i="4" s="1"/>
  <c r="M66" i="3"/>
  <c r="M44" i="3"/>
  <c r="J13" i="3"/>
  <c r="K13" i="3" s="1"/>
  <c r="M13" i="3" s="1"/>
  <c r="M29" i="3" s="1"/>
  <c r="M23" i="2"/>
  <c r="M37" i="1"/>
  <c r="M15" i="1"/>
  <c r="M107" i="1"/>
  <c r="M54" i="1"/>
  <c r="M94" i="1"/>
  <c r="M67" i="3" l="1"/>
  <c r="M108" i="1"/>
</calcChain>
</file>

<file path=xl/sharedStrings.xml><?xml version="1.0" encoding="utf-8"?>
<sst xmlns="http://schemas.openxmlformats.org/spreadsheetml/2006/main" count="569" uniqueCount="372">
  <si>
    <t xml:space="preserve">N° Prix </t>
  </si>
  <si>
    <t xml:space="preserve">Désignation des ouvrages </t>
  </si>
  <si>
    <t>Unité</t>
  </si>
  <si>
    <t xml:space="preserve">SS2-BAT-C
</t>
  </si>
  <si>
    <t xml:space="preserve">SS1-BAT-C
</t>
  </si>
  <si>
    <t xml:space="preserve">NIVEAUX-BAT-C
</t>
  </si>
  <si>
    <t xml:space="preserve">SS2-BAT-D
</t>
  </si>
  <si>
    <t xml:space="preserve">SS1-BAT-D
</t>
  </si>
  <si>
    <t xml:space="preserve">NIVEAUX-BAT-D
</t>
  </si>
  <si>
    <t xml:space="preserve">QTE 
BRUTE </t>
  </si>
  <si>
    <t>Quantité
Totale</t>
  </si>
  <si>
    <t xml:space="preserve">Prix Unitaire 
en Dh -HT </t>
  </si>
  <si>
    <t>Montant Total 
en DH-HT
( Sanitaire choix archi)</t>
  </si>
  <si>
    <t xml:space="preserve">B-C
</t>
  </si>
  <si>
    <t>LOT N°3 : FLUIDES</t>
  </si>
  <si>
    <t>3.1</t>
  </si>
  <si>
    <t xml:space="preserve">PLOMBERIE SANITAIRE - PROTECTION INCENDIE </t>
  </si>
  <si>
    <t>3.1.1</t>
  </si>
  <si>
    <t>BRANCHEMENT ET COMPTAGE</t>
  </si>
  <si>
    <t>3.1.1.1</t>
  </si>
  <si>
    <t>Equipement de branchement compteur général DN75
L'unité</t>
  </si>
  <si>
    <t>U</t>
  </si>
  <si>
    <t>3.1.1.2</t>
  </si>
  <si>
    <t>Equipement de branchement compteur général DN65 
L'unité</t>
  </si>
  <si>
    <t>3.1.1.3</t>
  </si>
  <si>
    <t>Surpresseur EP 4 m3/h Etage 5,6 &amp; 7
L'unité d'ensemble</t>
  </si>
  <si>
    <t>3.1.1.4</t>
  </si>
  <si>
    <t>Equipement niche à N compteurs</t>
  </si>
  <si>
    <t>3.1.1.4.1</t>
  </si>
  <si>
    <t xml:space="preserve">Nourrice 12 compteurs 
L'unité </t>
  </si>
  <si>
    <t>3.1.1.4.2</t>
  </si>
  <si>
    <t xml:space="preserve">Nourrice 13 compteurs 
L'unité </t>
  </si>
  <si>
    <t>3.1.1.4.3</t>
  </si>
  <si>
    <t xml:space="preserve">Nourrice 14 compteurs 
L'unité </t>
  </si>
  <si>
    <t>3.1.1.4.4</t>
  </si>
  <si>
    <t xml:space="preserve">Nourrice 15 compteurs 
L'unité </t>
  </si>
  <si>
    <t>3.1.1.4.5</t>
  </si>
  <si>
    <t xml:space="preserve">Nourrice 16 compteurs 
L'unité </t>
  </si>
  <si>
    <t>TOTAL  BRANCHEMENT ET COMPTAGE</t>
  </si>
  <si>
    <t>3.1.2</t>
  </si>
  <si>
    <t>RESEAUX DE DISTRIBUTION EF/ECS</t>
  </si>
  <si>
    <t>3.1.2.1</t>
  </si>
  <si>
    <t>RESEAU EXTERIEUR</t>
  </si>
  <si>
    <t>3.1.2.1.1</t>
  </si>
  <si>
    <t xml:space="preserve">PVC PN16 DN75
Le mètre linéaire </t>
  </si>
  <si>
    <t>ML</t>
  </si>
  <si>
    <t>3.1.2.1.2</t>
  </si>
  <si>
    <t xml:space="preserve">PVC PN16 DN63
Le mètre linéaire </t>
  </si>
  <si>
    <t>3.1.2.2</t>
  </si>
  <si>
    <t>RESEAU INTERIEUR</t>
  </si>
  <si>
    <t>3.1.2.2.1</t>
  </si>
  <si>
    <t>Tube en PPR</t>
  </si>
  <si>
    <t>3.1.2.2.1.1</t>
  </si>
  <si>
    <t>PPR diamètre Ø20
Le mètre linéaire</t>
  </si>
  <si>
    <t>3.1.2.2.1.2</t>
  </si>
  <si>
    <t>PPR diamètre Ø25
Le mètre linéaire</t>
  </si>
  <si>
    <t>3.1.2.2.1.3</t>
  </si>
  <si>
    <t>PPR diamètre Ø32
Le mètre linéaire</t>
  </si>
  <si>
    <t>3.1.2.2.1.4</t>
  </si>
  <si>
    <t>PPR diamètre Ø40
Le mètre linéaire</t>
  </si>
  <si>
    <t>3.1.2.2.1.5</t>
  </si>
  <si>
    <t>PPR diamètre Ø63
Le mètre linéaire</t>
  </si>
  <si>
    <t>3.1.2.2.1.6</t>
  </si>
  <si>
    <t>PPR diamètre Ø75
Le mètre linéaire</t>
  </si>
  <si>
    <t>3.1.2.2.2</t>
  </si>
  <si>
    <t xml:space="preserve">Tube en PER </t>
  </si>
  <si>
    <t>3.1.2.2.2.1</t>
  </si>
  <si>
    <t>PER Ø13/16
Le mètre linéaire</t>
  </si>
  <si>
    <t>3.1.2.2.2.2</t>
  </si>
  <si>
    <t>PER Ø16/20
Le mètre linéaire</t>
  </si>
  <si>
    <t>3.1.2.2.3</t>
  </si>
  <si>
    <t>Coffret de distribution EF/ECS
L'unité</t>
  </si>
  <si>
    <t>3.1.2.2.4</t>
  </si>
  <si>
    <t>Vanne d'arrêt</t>
  </si>
  <si>
    <t>3.1.2.2.4.1</t>
  </si>
  <si>
    <t>Ø32
L'unité</t>
  </si>
  <si>
    <t>3.1.2.2.4.2</t>
  </si>
  <si>
    <t>Ø40
L'unité</t>
  </si>
  <si>
    <t>3.1.2.2.5</t>
  </si>
  <si>
    <t xml:space="preserve">Anti-bélier
L'unité </t>
  </si>
  <si>
    <t>3.1.2.2.6</t>
  </si>
  <si>
    <t xml:space="preserve">Robinet de puisage
L'unité </t>
  </si>
  <si>
    <t>TOTAL RESEAUX DE DISTRIBUTION EF/ECS</t>
  </si>
  <si>
    <t>3.1.3</t>
  </si>
  <si>
    <t>EVACUATION EV/EU/EP</t>
  </si>
  <si>
    <t>3.1.3.1.1</t>
  </si>
  <si>
    <t xml:space="preserve">Tube en PVC </t>
  </si>
  <si>
    <t>3.1.3.1.1.1</t>
  </si>
  <si>
    <t xml:space="preserve">Ø40
Le mètre linéaire </t>
  </si>
  <si>
    <t>3.1.3.1.1.2</t>
  </si>
  <si>
    <t xml:space="preserve">Ø50
Le mètre linéaire </t>
  </si>
  <si>
    <t>3.1.3.1.1.3</t>
  </si>
  <si>
    <t xml:space="preserve">Ø75
Le mètre linéaire </t>
  </si>
  <si>
    <t>3.1.3.1.1.4</t>
  </si>
  <si>
    <t xml:space="preserve">Ø100 et Ø110
Le mètre linéaire </t>
  </si>
  <si>
    <t>3.1.3.1.1.5</t>
  </si>
  <si>
    <t xml:space="preserve">Ø125
Le mètre linéaire </t>
  </si>
  <si>
    <t>3.1.3.1.1.6</t>
  </si>
  <si>
    <t xml:space="preserve">Ø160
Le mètre linéaire </t>
  </si>
  <si>
    <t>3.1.3.1.1.7</t>
  </si>
  <si>
    <t xml:space="preserve">Ø200
Le mètre linéaire </t>
  </si>
  <si>
    <t>3.1.3.1.1.8</t>
  </si>
  <si>
    <t xml:space="preserve">Ø250
Le mètre linéaire </t>
  </si>
  <si>
    <t>3.1.3.1.2</t>
  </si>
  <si>
    <t>Gargouille d'eau pluviale en plomb
L'unité</t>
  </si>
  <si>
    <t>3.1.3.1.3</t>
  </si>
  <si>
    <t>Siphon de sol en inox, Localisation : Terrasses et balcons
L'unité</t>
  </si>
  <si>
    <t>3.1.3.1.4</t>
  </si>
  <si>
    <t>Siphon de sol en fonte
L'unité</t>
  </si>
  <si>
    <t>3.1.3.1.5</t>
  </si>
  <si>
    <t>Fosse hydrocarbure TAILLE 6
L'unité</t>
  </si>
  <si>
    <t>3.1.3.1.6</t>
  </si>
  <si>
    <t>Fosse hydrocarbure TAILLE 10
L'unité</t>
  </si>
  <si>
    <t>3.1.3.1.7</t>
  </si>
  <si>
    <t>Station de relevage
L'unité</t>
  </si>
  <si>
    <t>TOTAL  EVACUATION</t>
  </si>
  <si>
    <t>3.1.4</t>
  </si>
  <si>
    <t>POSE : APPAREILS SANITAIRES</t>
  </si>
  <si>
    <t>3.1.4.1</t>
  </si>
  <si>
    <t>POSE : SALLE DE BAIN SUITE PARENTALE</t>
  </si>
  <si>
    <t>3.1.4.1.1</t>
  </si>
  <si>
    <t>LAVABO VASQUE
L'unité</t>
  </si>
  <si>
    <t>3.1.4.1.2</t>
  </si>
  <si>
    <t>W-C SUSPENDU 
L'unité</t>
  </si>
  <si>
    <t>3.1.4.1.3</t>
  </si>
  <si>
    <t>EQUIPEMENT DE DOUCHE
L'unité</t>
  </si>
  <si>
    <t>3.1.4.2</t>
  </si>
  <si>
    <t>POSE : SALLE DE BAIN 2</t>
  </si>
  <si>
    <t>3.1.4.2.1</t>
  </si>
  <si>
    <t>3.1.4.2.2</t>
  </si>
  <si>
    <t>3.1.4.2.3</t>
  </si>
  <si>
    <t>3.1.4.3</t>
  </si>
  <si>
    <t>POSE : SALLE DE BAIN INVITES</t>
  </si>
  <si>
    <t>3.1.4.3.1</t>
  </si>
  <si>
    <t>3.1.4.3.2</t>
  </si>
  <si>
    <t>3.1.4.3.3</t>
  </si>
  <si>
    <t>PLAN VASQUE EN CORIAN
L'unité</t>
  </si>
  <si>
    <t>3.1.4.3.4</t>
  </si>
  <si>
    <t>3.1.4.4</t>
  </si>
  <si>
    <t>POSE : SALLE DE BAIN CHAMBRE DE SERVICE</t>
  </si>
  <si>
    <t>3.1.4.4.1</t>
  </si>
  <si>
    <t>W-C A L'ANGLAISE 
L'unité</t>
  </si>
  <si>
    <t>3.1.4.4.2</t>
  </si>
  <si>
    <t>LAVE MAINS
L'unité</t>
  </si>
  <si>
    <t>3.1.4.4.3</t>
  </si>
  <si>
    <t>3.1.4.5</t>
  </si>
  <si>
    <t>POSE : BIDET
L'unité</t>
  </si>
  <si>
    <t>3.1.4.6</t>
  </si>
  <si>
    <t>POSE : BAIGNOIRE
L'unité</t>
  </si>
  <si>
    <t>TOTAL  SANITAIRES</t>
  </si>
  <si>
    <t>3.1.5</t>
  </si>
  <si>
    <t>PRODUCTION ECS</t>
  </si>
  <si>
    <t>3.1.5.1</t>
  </si>
  <si>
    <t>Chauffe eau électrique à accumulation</t>
  </si>
  <si>
    <t>3.1.5.1.1</t>
  </si>
  <si>
    <t>150 litres
L'unité</t>
  </si>
  <si>
    <t>TOTAL PRODUCTION ECS</t>
  </si>
  <si>
    <t>3.1.6</t>
  </si>
  <si>
    <t xml:space="preserve"> PROTECTION CONTRE L'INCENDIE </t>
  </si>
  <si>
    <t>3.1.6.1</t>
  </si>
  <si>
    <t>Equipement compteur eau incendie DN80                                     
L'unité</t>
  </si>
  <si>
    <t>3.1.6.2</t>
  </si>
  <si>
    <t>Equipement bache à eau et local technique
L'ensemble</t>
  </si>
  <si>
    <t>3.1.6.3</t>
  </si>
  <si>
    <t>Station de surpression eau incendie RIA 35m3h
L'ensemble</t>
  </si>
  <si>
    <t>3.1.6.4</t>
  </si>
  <si>
    <t>Réseau d'incendie en PVC Pression DN75
Le mètre linéaire</t>
  </si>
  <si>
    <t>3.1.6.5</t>
  </si>
  <si>
    <t>Réseau d'incendie en T.F.G RIA diamétre 40/49
Le mètre linéaire</t>
  </si>
  <si>
    <t>3.1.6.6</t>
  </si>
  <si>
    <t>Réseau d'incendie en T.F.G CS diamétre 66/76
Le mètre linéaire</t>
  </si>
  <si>
    <t>3.1.6.7</t>
  </si>
  <si>
    <t>Poste robinet d'incendie armé DN25
L'unité</t>
  </si>
  <si>
    <t>3.1.6.8</t>
  </si>
  <si>
    <t>Extincteur à CO2 de 5 Kg
L'unité</t>
  </si>
  <si>
    <t>3.1.6.9</t>
  </si>
  <si>
    <t>Extincteur à eau pulvérisée de 6 L
L'unité</t>
  </si>
  <si>
    <t>3.1.6.10</t>
  </si>
  <si>
    <t>Prise colonne séche Exterieure DN65
L'unité</t>
  </si>
  <si>
    <t>3.1.6.11</t>
  </si>
  <si>
    <t>Prise colonne séche Interieure DN40
L'unité</t>
  </si>
  <si>
    <t>3.1.6.12</t>
  </si>
  <si>
    <t>Bac à sable
L'unité</t>
  </si>
  <si>
    <t>3.1.6.13</t>
  </si>
  <si>
    <t xml:space="preserve">Robinet de vidange
L'unité </t>
  </si>
  <si>
    <t>TOTAL HT PROTECTION INCENDIE</t>
  </si>
  <si>
    <t>APS</t>
  </si>
  <si>
    <t>3.1.7</t>
  </si>
  <si>
    <t>EQUIPEMENTS PISCINE</t>
  </si>
  <si>
    <t>3.1.7.1</t>
  </si>
  <si>
    <t>KIT DE FILTRATION</t>
  </si>
  <si>
    <t>3.1.7.1.1</t>
  </si>
  <si>
    <r>
      <t>9 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
L'unité</t>
    </r>
  </si>
  <si>
    <t>3.1.7.2</t>
  </si>
  <si>
    <t>Canalisation PVC PN16</t>
  </si>
  <si>
    <t>3.1.7.2.1</t>
  </si>
  <si>
    <t xml:space="preserve">Tout diamètre
Le mètre linéaire </t>
  </si>
  <si>
    <t>3.1.7.3</t>
  </si>
  <si>
    <t>PIECES A SCELLER</t>
  </si>
  <si>
    <t>3.1.7.3.1</t>
  </si>
  <si>
    <t>Bouche de Refoulement 
L'unité</t>
  </si>
  <si>
    <t>3.1.7.3.2</t>
  </si>
  <si>
    <t>Skimmers
L'unité</t>
  </si>
  <si>
    <t>3.1.7.3.3</t>
  </si>
  <si>
    <t>Bonde de Fond 500x500 mm
L'unité</t>
  </si>
  <si>
    <t>3.1.7.3.4</t>
  </si>
  <si>
    <t>Prise balai
L'unité</t>
  </si>
  <si>
    <t>3.1.7.3.5</t>
  </si>
  <si>
    <t>Projecteur étanche 
L'unité</t>
  </si>
  <si>
    <t>3.1.7.4</t>
  </si>
  <si>
    <t>Armoire électrique
L'unité</t>
  </si>
  <si>
    <t xml:space="preserve">TOTAL PISCINE </t>
  </si>
  <si>
    <t>TOTAL  PLOMBERIE SANITAIRE - PROTECTION INCENDIE  HORS TAXES</t>
  </si>
  <si>
    <t>3.1.8</t>
  </si>
  <si>
    <t>FOURNITURES DES APPAREILS SANITAIRES</t>
  </si>
  <si>
    <t>3.1.8.1</t>
  </si>
  <si>
    <t>FOURBITURE : SALLE DE BAIN SUITE PARENTALE</t>
  </si>
  <si>
    <t>3.1.8.1.1</t>
  </si>
  <si>
    <t>3.1.8.1.2</t>
  </si>
  <si>
    <t>3.1.8.1.3</t>
  </si>
  <si>
    <t>3.1.8.2</t>
  </si>
  <si>
    <t>FOURBITURE : SALLE DE BAIN 2</t>
  </si>
  <si>
    <t>3.1.8.2.1</t>
  </si>
  <si>
    <t>3.1.8.2.2</t>
  </si>
  <si>
    <t>3.1.8.2.3</t>
  </si>
  <si>
    <t>3.1.8.3</t>
  </si>
  <si>
    <t>FOURBITURE : SALLE DE BAIN INVITES</t>
  </si>
  <si>
    <t>3.1.8.3.1</t>
  </si>
  <si>
    <t>3.1.8.3.2</t>
  </si>
  <si>
    <t>3.1.8.3.3</t>
  </si>
  <si>
    <t>3.1.8.3.4</t>
  </si>
  <si>
    <t>3.1.8.4</t>
  </si>
  <si>
    <t>FOURBITURE : SALLE DE BAIN CHAMBRE DE SERVICE</t>
  </si>
  <si>
    <t>3.1.8.4.1</t>
  </si>
  <si>
    <t>3.1.8.4.2</t>
  </si>
  <si>
    <t>3.1.8.4.3</t>
  </si>
  <si>
    <t>3.1.8.5</t>
  </si>
  <si>
    <t>BIDET
L'unité</t>
  </si>
  <si>
    <t>3.1.8.6</t>
  </si>
  <si>
    <t>BAIGNOIRE
L'unité</t>
  </si>
  <si>
    <t>TOTAL  FOURNITURE DES APPAREILS SANITAIRES  HORS TAXES</t>
  </si>
  <si>
    <t xml:space="preserve">Prix Unitaire  (Daikin)
en Dh -HT </t>
  </si>
  <si>
    <t>Montant Total (Daikin)
en DH-HT</t>
  </si>
  <si>
    <t>3.2</t>
  </si>
  <si>
    <t>CLIMATISATION - VENTILATION - DESENFUMAGE</t>
  </si>
  <si>
    <t>3.2.1</t>
  </si>
  <si>
    <t>CLIMATISATION</t>
  </si>
  <si>
    <t>3.2.1.1</t>
  </si>
  <si>
    <t>SYSTÈME VRF</t>
  </si>
  <si>
    <t>3.2.1.1.1</t>
  </si>
  <si>
    <t>Unité Extérieure</t>
  </si>
  <si>
    <t>3.2.1.1.1.1</t>
  </si>
  <si>
    <t xml:space="preserve">12 kW
L'unité </t>
  </si>
  <si>
    <t>3.2.1.1.1.2</t>
  </si>
  <si>
    <t xml:space="preserve">14 kW
L'unité </t>
  </si>
  <si>
    <t>3.2.1.1.1.3</t>
  </si>
  <si>
    <t xml:space="preserve">15,5 kW
L'unité </t>
  </si>
  <si>
    <t>3.2.1.1.1.4</t>
  </si>
  <si>
    <t xml:space="preserve">22.4 kW
L'unité </t>
  </si>
  <si>
    <t>3.2.1.1.1.5</t>
  </si>
  <si>
    <t xml:space="preserve">28kW
L'unité </t>
  </si>
  <si>
    <t>3.2.1.1.2</t>
  </si>
  <si>
    <t>Unité Intérieure</t>
  </si>
  <si>
    <t>3.2.1.1.2.1</t>
  </si>
  <si>
    <t xml:space="preserve">Gainable 2,8 kW
L'unité </t>
  </si>
  <si>
    <t>3.2.1.1.2.2</t>
  </si>
  <si>
    <t xml:space="preserve">Gainable 3,6 kW
L'unité </t>
  </si>
  <si>
    <t>3.2.1.1.2.3</t>
  </si>
  <si>
    <t xml:space="preserve">Gainable 4,5 kW
L'unité </t>
  </si>
  <si>
    <t>3.2.1.1.2.4</t>
  </si>
  <si>
    <t xml:space="preserve">Gainable 5,6 kW
L'unité </t>
  </si>
  <si>
    <t>3.2.1.1.2.5</t>
  </si>
  <si>
    <t xml:space="preserve">Gainable 7,1 kW
L'unité </t>
  </si>
  <si>
    <t>3.2.1.1.2.6</t>
  </si>
  <si>
    <t xml:space="preserve">Gainable 11,2 kW
L'unité </t>
  </si>
  <si>
    <t>3.2.1.1.2.7</t>
  </si>
  <si>
    <t xml:space="preserve">Gainable 14 kW
L'unité </t>
  </si>
  <si>
    <t>3.2.1.2</t>
  </si>
  <si>
    <t>Liaisons frigorifiques
Le mètre linéaire</t>
  </si>
  <si>
    <t>3.2.1.3</t>
  </si>
  <si>
    <t>EVACUATION CONDENSAT EN PVC</t>
  </si>
  <si>
    <t>3.2.1.3.1</t>
  </si>
  <si>
    <t>Diamètre 32
Le mètre linéaire</t>
  </si>
  <si>
    <t>3.2.1.4</t>
  </si>
  <si>
    <t>GAINE</t>
  </si>
  <si>
    <t>3.2.1.4.1</t>
  </si>
  <si>
    <t>Gaine en Pré-isolée
Le mètre carré</t>
  </si>
  <si>
    <t>m²</t>
  </si>
  <si>
    <t>3.2.1.4.2</t>
  </si>
  <si>
    <t>GAINE CYLINDRIQUE EN TOLE D'ACIER GALVANISE CALORIFUGE</t>
  </si>
  <si>
    <t>3.2.1.4.2.1</t>
  </si>
  <si>
    <t xml:space="preserve">Ø 200  mm
 Le mètre linéaire </t>
  </si>
  <si>
    <t>3.2.1.4.3</t>
  </si>
  <si>
    <t>GAINE EN FLEXIBLE CALORIFUGE</t>
  </si>
  <si>
    <t>3.2.1.4.3.1</t>
  </si>
  <si>
    <t>TOTAL  CLIMATISATION</t>
  </si>
  <si>
    <t>3.2.2</t>
  </si>
  <si>
    <t>VENTILATION</t>
  </si>
  <si>
    <t>3.2.2.1</t>
  </si>
  <si>
    <t>VENTILATEURS</t>
  </si>
  <si>
    <t>3.2.2.1.1</t>
  </si>
  <si>
    <t xml:space="preserve">Ventilateur de VMC </t>
  </si>
  <si>
    <t>3.2.2.1.1.1</t>
  </si>
  <si>
    <t>≤ 500 m3/h 
L'unité</t>
  </si>
  <si>
    <t>3.2.2.2</t>
  </si>
  <si>
    <t>GAINES</t>
  </si>
  <si>
    <t>3.2.2.2.1</t>
  </si>
  <si>
    <t>Gaine en tôle rectangulaire simple peau 
Le mètre carré</t>
  </si>
  <si>
    <t>3.2.2.2.2</t>
  </si>
  <si>
    <t xml:space="preserve">Gaine circulaire en tôle d'acier galvanisée </t>
  </si>
  <si>
    <t>3.2.2.2.2.1</t>
  </si>
  <si>
    <t xml:space="preserve">Ø  100 mm
 Le mètre linéaire </t>
  </si>
  <si>
    <t>3.2.2.2.2.2</t>
  </si>
  <si>
    <t xml:space="preserve">Ø 125  mm
 Le mètre linéaire </t>
  </si>
  <si>
    <t>3.2.2.2.2.3</t>
  </si>
  <si>
    <t xml:space="preserve">Ø 160  mm
 Le mètre linéaire </t>
  </si>
  <si>
    <t>3.2.2.2.2.4</t>
  </si>
  <si>
    <t>3.2.2.2.2.5</t>
  </si>
  <si>
    <t xml:space="preserve">Ø 250  mm
 Le mètre linéaire </t>
  </si>
  <si>
    <t>3.2.2.3</t>
  </si>
  <si>
    <t>GRILLES ET DIFFUSEURS DE VENTILATION</t>
  </si>
  <si>
    <t>3.2.2.3.1</t>
  </si>
  <si>
    <t>Bouche d'extraction VMC 
L'unité</t>
  </si>
  <si>
    <t>TOTAL  VENTILATION</t>
  </si>
  <si>
    <t>3.2.3</t>
  </si>
  <si>
    <t>DESENFUMAGE</t>
  </si>
  <si>
    <t>3.2.3.1</t>
  </si>
  <si>
    <t xml:space="preserve">Exutoire de fumée </t>
  </si>
  <si>
    <t>3.2.3.1.1</t>
  </si>
  <si>
    <t>S.UTILE = 1,0 m²
L'unité</t>
  </si>
  <si>
    <t>3.2.3.2</t>
  </si>
  <si>
    <t>Volet à portillon</t>
  </si>
  <si>
    <t>3.2.3.2.1</t>
  </si>
  <si>
    <t>500x400
L'unité</t>
  </si>
  <si>
    <t>3.2.3.2.2</t>
  </si>
  <si>
    <t>700x600
L'unité</t>
  </si>
  <si>
    <t>3.2.3.3</t>
  </si>
  <si>
    <t>Volet à Tunnel</t>
  </si>
  <si>
    <t>3.2.3.3.1</t>
  </si>
  <si>
    <t>3.2.3.4</t>
  </si>
  <si>
    <t>Cartouche pare-flamme
L'unité</t>
  </si>
  <si>
    <t>3.2.3.5</t>
  </si>
  <si>
    <t>Grille</t>
  </si>
  <si>
    <t>3.2.3.5.1</t>
  </si>
  <si>
    <t>GRILLE EXT DSF 0,12m²
L'unité</t>
  </si>
  <si>
    <t>3.2.3.5.2</t>
  </si>
  <si>
    <t>GRILLE EXT DSF 0,11m²
L'unité</t>
  </si>
  <si>
    <t>3.2.3.5.3</t>
  </si>
  <si>
    <t>VB    S.UTILE =0,24 m²
L'unité</t>
  </si>
  <si>
    <t>3.2.3.5.4</t>
  </si>
  <si>
    <t>VB  S.UTILE =0,31m²
L'unité</t>
  </si>
  <si>
    <t>3.2.3.6</t>
  </si>
  <si>
    <t>3.2.3.6.1</t>
  </si>
  <si>
    <t xml:space="preserve"> Ventilateur axial EXT    38 880  m³/h
L'unité</t>
  </si>
  <si>
    <t>3.2.3.6.2</t>
  </si>
  <si>
    <t xml:space="preserve"> Ventilateur axial EXT     29 520  m³/h
L'unité</t>
  </si>
  <si>
    <t>3.2.3.6.3</t>
  </si>
  <si>
    <t xml:space="preserve"> Ventilateur axial EXT     40 320   m³/h
L'unité</t>
  </si>
  <si>
    <t>3.2.3.6.4</t>
  </si>
  <si>
    <t xml:space="preserve"> Ventilateur axial  AN     25 920   m³/h
L'unité</t>
  </si>
  <si>
    <t>3.2.3.6.5</t>
  </si>
  <si>
    <t xml:space="preserve"> Ventilateur axial  AN    17 550  m³/h
L'unité</t>
  </si>
  <si>
    <t>3.2.3.7</t>
  </si>
  <si>
    <t xml:space="preserve">Gaine COUPE FEU 2H DESENFUMAGE
 Le mètre carré </t>
  </si>
  <si>
    <t>TOTAL  DESENFUMAGE</t>
  </si>
  <si>
    <t xml:space="preserve">TOTAL  CLIMATISATION - VENTILATION - DESENFUMAGE HORS TAXES </t>
  </si>
  <si>
    <t>Montant Total 
en DH-HT</t>
  </si>
  <si>
    <t xml:space="preserve">LOT N°3 : FLUIDES </t>
  </si>
  <si>
    <t>FOURNITURE DES APPAREILS SANITAIRES</t>
  </si>
  <si>
    <t>TOTAL HORS TAXES</t>
  </si>
  <si>
    <t>TVA 20%</t>
  </si>
  <si>
    <t>TOTAL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</si>
</sst>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\ _D_H_-;\-* #,##0\ _D_H_-;_-* &quot;-&quot;??\ _D_H_-;_-@_-"/>
    <numFmt numFmtId="165" formatCode="_-* #,##0.00\ _F_-;\-* #,##0.00\ _F_-;_-* &quot;-&quot;??\ _F_-;_-@_-"/>
    <numFmt numFmtId="166" formatCode="_-* #,##0.00\ _€_-;\-* #,##0.00\ _€_-;_-* &quot;-&quot;??\ _€_-;_-@_-"/>
    <numFmt numFmtId="167" formatCode="_-* #,##0\ _F_-;\-* #,##0\ _F_-;_-* &quot;-&quot;??\ _F_-;_-@_-"/>
  </numFmts>
  <fonts count="30">
    <font>
      <sz val="10"/>
      <color theme="1"/>
      <name val="Calibri-Ligh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0"/>
      <name val="Arial"/>
      <family val="2"/>
    </font>
    <font>
      <i/>
      <sz val="11"/>
      <name val="Times New Roman"/>
      <family val="1"/>
    </font>
    <font>
      <b/>
      <i/>
      <sz val="12"/>
      <color rgb="FF0000FF"/>
      <name val="Times New Roman"/>
      <family val="1"/>
    </font>
    <font>
      <sz val="11"/>
      <name val="Times New Roman"/>
      <family val="1"/>
    </font>
    <font>
      <b/>
      <i/>
      <sz val="12"/>
      <color rgb="FF00B050"/>
      <name val="Times New Roman"/>
      <family val="1"/>
    </font>
    <font>
      <b/>
      <i/>
      <sz val="11"/>
      <color rgb="FF7030A0"/>
      <name val="Times New Roman"/>
      <family val="1"/>
    </font>
    <font>
      <i/>
      <sz val="11"/>
      <color rgb="FF7030A0"/>
      <name val="Times New Roman"/>
      <family val="1"/>
    </font>
    <font>
      <sz val="11"/>
      <color rgb="FF7030A0"/>
      <name val="Times New Roman"/>
      <family val="1"/>
    </font>
    <font>
      <sz val="10"/>
      <name val="Geneva"/>
      <family val="2"/>
    </font>
    <font>
      <sz val="10"/>
      <color theme="1"/>
      <name val="Calibri-Light"/>
      <family val="2"/>
    </font>
    <font>
      <b/>
      <sz val="12"/>
      <color theme="1"/>
      <name val="Times New Roman"/>
      <family val="1"/>
    </font>
    <font>
      <vertAlign val="superscript"/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4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b/>
      <i/>
      <sz val="11"/>
      <name val="Times New Roman"/>
      <family val="1"/>
    </font>
    <font>
      <sz val="12"/>
      <color theme="1"/>
      <name val="Calibri-Light"/>
      <family val="2"/>
    </font>
    <font>
      <b/>
      <i/>
      <sz val="16"/>
      <color rgb="FF0000FF"/>
      <name val="Times New Roman"/>
      <family val="1"/>
    </font>
    <font>
      <b/>
      <sz val="16"/>
      <name val="Times New Roman"/>
      <family val="1"/>
    </font>
    <font>
      <sz val="16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sz val="12"/>
      <color rgb="FFFFFF00"/>
      <name val="Calibri-Ligh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12" fillId="0" borderId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13" fillId="0" borderId="0"/>
    <xf numFmtId="0" fontId="12" fillId="0" borderId="0"/>
  </cellStyleXfs>
  <cellXfs count="155">
    <xf numFmtId="0" fontId="0" fillId="0" borderId="0" xfId="0"/>
    <xf numFmtId="164" fontId="3" fillId="0" borderId="1" xfId="1" applyNumberFormat="1" applyFont="1" applyFill="1" applyBorder="1" applyAlignment="1" applyProtection="1">
      <alignment horizontal="center" vertical="center" wrapText="1"/>
    </xf>
    <xf numFmtId="164" fontId="3" fillId="0" borderId="2" xfId="1" applyNumberFormat="1" applyFont="1" applyFill="1" applyBorder="1" applyAlignment="1" applyProtection="1">
      <alignment horizontal="center" vertical="center" wrapText="1"/>
    </xf>
    <xf numFmtId="164" fontId="3" fillId="0" borderId="2" xfId="1" applyNumberFormat="1" applyFont="1" applyFill="1" applyBorder="1" applyAlignment="1" applyProtection="1">
      <alignment horizontal="center" wrapText="1"/>
    </xf>
    <xf numFmtId="0" fontId="3" fillId="0" borderId="3" xfId="2" applyFont="1" applyBorder="1" applyAlignment="1">
      <alignment horizontal="center" vertical="center" wrapText="1"/>
    </xf>
    <xf numFmtId="4" fontId="3" fillId="0" borderId="2" xfId="3" applyNumberFormat="1" applyFont="1" applyFill="1" applyBorder="1" applyAlignment="1" applyProtection="1">
      <alignment horizontal="center" vertical="center" wrapText="1"/>
    </xf>
    <xf numFmtId="165" fontId="3" fillId="0" borderId="4" xfId="3" applyFont="1" applyFill="1" applyBorder="1" applyAlignment="1" applyProtection="1">
      <alignment horizontal="center" vertical="center" wrapText="1"/>
    </xf>
    <xf numFmtId="0" fontId="5" fillId="0" borderId="0" xfId="4" applyFont="1" applyAlignment="1">
      <alignment horizontal="center" vertical="center"/>
    </xf>
    <xf numFmtId="164" fontId="3" fillId="0" borderId="5" xfId="1" applyNumberFormat="1" applyFont="1" applyFill="1" applyBorder="1" applyAlignment="1" applyProtection="1">
      <alignment horizontal="center" vertical="center" wrapText="1"/>
    </xf>
    <xf numFmtId="164" fontId="3" fillId="0" borderId="6" xfId="1" applyNumberFormat="1" applyFont="1" applyFill="1" applyBorder="1" applyAlignment="1" applyProtection="1">
      <alignment horizontal="center" vertical="center" wrapText="1"/>
    </xf>
    <xf numFmtId="164" fontId="3" fillId="0" borderId="6" xfId="1" applyNumberFormat="1" applyFont="1" applyFill="1" applyBorder="1" applyAlignment="1" applyProtection="1">
      <alignment horizontal="center" wrapText="1"/>
    </xf>
    <xf numFmtId="0" fontId="3" fillId="0" borderId="7" xfId="2" applyFont="1" applyBorder="1" applyAlignment="1">
      <alignment horizontal="center" vertical="center" wrapText="1"/>
    </xf>
    <xf numFmtId="4" fontId="3" fillId="0" borderId="6" xfId="3" applyNumberFormat="1" applyFont="1" applyFill="1" applyBorder="1" applyAlignment="1" applyProtection="1">
      <alignment horizontal="center" vertical="center" wrapText="1"/>
    </xf>
    <xf numFmtId="165" fontId="3" fillId="0" borderId="8" xfId="3" applyFont="1" applyFill="1" applyBorder="1" applyAlignment="1" applyProtection="1">
      <alignment horizontal="center" vertical="center" wrapText="1"/>
    </xf>
    <xf numFmtId="0" fontId="6" fillId="0" borderId="9" xfId="4" applyFont="1" applyBorder="1" applyAlignment="1" applyProtection="1">
      <alignment horizontal="center" vertical="center" wrapText="1"/>
      <protection locked="0"/>
    </xf>
    <xf numFmtId="0" fontId="6" fillId="0" borderId="10" xfId="4" applyFont="1" applyBorder="1" applyAlignment="1" applyProtection="1">
      <alignment horizontal="left" vertical="center" wrapText="1"/>
      <protection locked="0"/>
    </xf>
    <xf numFmtId="0" fontId="3" fillId="0" borderId="10" xfId="4" applyFont="1" applyBorder="1" applyAlignment="1">
      <alignment vertical="center" wrapText="1"/>
    </xf>
    <xf numFmtId="0" fontId="3" fillId="0" borderId="10" xfId="4" applyFont="1" applyBorder="1" applyAlignment="1">
      <alignment horizontal="center" vertical="center" wrapText="1"/>
    </xf>
    <xf numFmtId="0" fontId="7" fillId="0" borderId="10" xfId="4" applyFont="1" applyBorder="1" applyAlignment="1">
      <alignment horizontal="center" vertical="center" wrapText="1"/>
    </xf>
    <xf numFmtId="0" fontId="3" fillId="0" borderId="11" xfId="4" applyFont="1" applyBorder="1" applyAlignment="1">
      <alignment vertical="center" wrapText="1"/>
    </xf>
    <xf numFmtId="0" fontId="7" fillId="0" borderId="0" xfId="4" applyFont="1" applyAlignment="1">
      <alignment vertical="center"/>
    </xf>
    <xf numFmtId="0" fontId="8" fillId="0" borderId="9" xfId="4" applyFont="1" applyBorder="1" applyAlignment="1" applyProtection="1">
      <alignment horizontal="center" vertical="center" wrapText="1"/>
      <protection locked="0"/>
    </xf>
    <xf numFmtId="0" fontId="8" fillId="0" borderId="10" xfId="4" applyFont="1" applyBorder="1" applyAlignment="1" applyProtection="1">
      <alignment horizontal="left" vertical="center" wrapText="1"/>
      <protection locked="0"/>
    </xf>
    <xf numFmtId="0" fontId="3" fillId="0" borderId="12" xfId="4" applyFont="1" applyBorder="1" applyAlignment="1">
      <alignment vertical="center" wrapText="1"/>
    </xf>
    <xf numFmtId="0" fontId="3" fillId="0" borderId="12" xfId="4" applyFont="1" applyBorder="1" applyAlignment="1">
      <alignment horizontal="center" vertical="center" wrapText="1"/>
    </xf>
    <xf numFmtId="0" fontId="7" fillId="0" borderId="12" xfId="4" applyFont="1" applyBorder="1" applyAlignment="1">
      <alignment horizontal="center" vertical="center" wrapText="1"/>
    </xf>
    <xf numFmtId="0" fontId="3" fillId="0" borderId="13" xfId="4" applyFont="1" applyBorder="1" applyAlignment="1">
      <alignment vertical="center" wrapText="1"/>
    </xf>
    <xf numFmtId="0" fontId="3" fillId="0" borderId="14" xfId="5" applyFont="1" applyBorder="1" applyAlignment="1">
      <alignment horizontal="center" vertical="center" wrapText="1"/>
    </xf>
    <xf numFmtId="0" fontId="3" fillId="0" borderId="12" xfId="5" applyFont="1" applyBorder="1" applyAlignment="1">
      <alignment vertical="center" wrapText="1"/>
    </xf>
    <xf numFmtId="0" fontId="7" fillId="0" borderId="12" xfId="5" applyFont="1" applyBorder="1" applyAlignment="1">
      <alignment horizontal="center" vertical="center"/>
    </xf>
    <xf numFmtId="164" fontId="3" fillId="0" borderId="12" xfId="4" applyNumberFormat="1" applyFont="1" applyBorder="1" applyAlignment="1">
      <alignment horizontal="center" vertical="center" wrapText="1"/>
    </xf>
    <xf numFmtId="164" fontId="7" fillId="0" borderId="12" xfId="4" applyNumberFormat="1" applyFont="1" applyBorder="1" applyAlignment="1">
      <alignment horizontal="center" vertical="center" wrapText="1"/>
    </xf>
    <xf numFmtId="4" fontId="7" fillId="0" borderId="12" xfId="4" applyNumberFormat="1" applyFont="1" applyBorder="1" applyAlignment="1">
      <alignment horizontal="center" vertical="center" wrapText="1"/>
    </xf>
    <xf numFmtId="166" fontId="7" fillId="0" borderId="13" xfId="4" applyNumberFormat="1" applyFont="1" applyBorder="1" applyAlignment="1">
      <alignment horizontal="center" vertical="center"/>
    </xf>
    <xf numFmtId="49" fontId="7" fillId="0" borderId="14" xfId="4" applyNumberFormat="1" applyFont="1" applyBorder="1" applyAlignment="1">
      <alignment horizontal="center" vertical="center"/>
    </xf>
    <xf numFmtId="0" fontId="7" fillId="0" borderId="12" xfId="4" applyFont="1" applyBorder="1" applyAlignment="1">
      <alignment horizontal="left" vertical="center" wrapText="1"/>
    </xf>
    <xf numFmtId="0" fontId="7" fillId="0" borderId="12" xfId="4" applyFont="1" applyBorder="1" applyAlignment="1">
      <alignment horizontal="center" vertical="center"/>
    </xf>
    <xf numFmtId="4" fontId="7" fillId="0" borderId="12" xfId="3" applyNumberFormat="1" applyFont="1" applyFill="1" applyBorder="1" applyAlignment="1">
      <alignment horizontal="center" vertical="center"/>
    </xf>
    <xf numFmtId="0" fontId="7" fillId="0" borderId="12" xfId="5" applyFont="1" applyBorder="1" applyAlignment="1">
      <alignment vertical="center" wrapText="1"/>
    </xf>
    <xf numFmtId="167" fontId="7" fillId="0" borderId="12" xfId="6" applyNumberFormat="1" applyFont="1" applyFill="1" applyBorder="1" applyAlignment="1">
      <alignment horizontal="center" vertical="center"/>
    </xf>
    <xf numFmtId="0" fontId="7" fillId="0" borderId="14" xfId="4" applyFont="1" applyBorder="1" applyAlignment="1">
      <alignment horizontal="center" vertical="center"/>
    </xf>
    <xf numFmtId="0" fontId="7" fillId="0" borderId="12" xfId="4" applyFont="1" applyBorder="1" applyAlignment="1">
      <alignment vertical="center" wrapText="1"/>
    </xf>
    <xf numFmtId="0" fontId="9" fillId="0" borderId="14" xfId="5" applyFont="1" applyBorder="1" applyAlignment="1">
      <alignment vertical="center"/>
    </xf>
    <xf numFmtId="0" fontId="9" fillId="0" borderId="12" xfId="5" applyFont="1" applyBorder="1" applyAlignment="1">
      <alignment horizontal="right" vertical="center"/>
    </xf>
    <xf numFmtId="0" fontId="9" fillId="0" borderId="12" xfId="5" applyFont="1" applyBorder="1" applyAlignment="1">
      <alignment vertical="center"/>
    </xf>
    <xf numFmtId="0" fontId="10" fillId="0" borderId="12" xfId="5" applyFont="1" applyBorder="1" applyAlignment="1">
      <alignment vertical="center"/>
    </xf>
    <xf numFmtId="0" fontId="9" fillId="0" borderId="12" xfId="5" applyFont="1" applyBorder="1" applyAlignment="1">
      <alignment horizontal="center" vertical="center"/>
    </xf>
    <xf numFmtId="166" fontId="9" fillId="0" borderId="13" xfId="4" applyNumberFormat="1" applyFont="1" applyBorder="1" applyAlignment="1">
      <alignment horizontal="center" vertical="center"/>
    </xf>
    <xf numFmtId="0" fontId="11" fillId="0" borderId="0" xfId="4" applyFont="1" applyAlignment="1">
      <alignment vertical="center"/>
    </xf>
    <xf numFmtId="0" fontId="7" fillId="0" borderId="14" xfId="5" applyFont="1" applyBorder="1" applyAlignment="1">
      <alignment horizontal="center" vertical="center"/>
    </xf>
    <xf numFmtId="0" fontId="7" fillId="0" borderId="12" xfId="7" applyFont="1" applyBorder="1" applyAlignment="1">
      <alignment horizontal="center" vertical="center" wrapText="1"/>
    </xf>
    <xf numFmtId="165" fontId="7" fillId="0" borderId="12" xfId="6" applyFont="1" applyFill="1" applyBorder="1" applyAlignment="1">
      <alignment horizontal="center" vertical="center"/>
    </xf>
    <xf numFmtId="0" fontId="7" fillId="0" borderId="14" xfId="8" applyFont="1" applyBorder="1" applyAlignment="1">
      <alignment horizontal="center" vertical="center"/>
    </xf>
    <xf numFmtId="0" fontId="7" fillId="0" borderId="12" xfId="8" applyFont="1" applyBorder="1" applyAlignment="1">
      <alignment vertical="center" wrapText="1"/>
    </xf>
    <xf numFmtId="164" fontId="7" fillId="0" borderId="12" xfId="4" applyNumberFormat="1" applyFont="1" applyBorder="1" applyAlignment="1">
      <alignment vertical="center" wrapText="1"/>
    </xf>
    <xf numFmtId="0" fontId="3" fillId="0" borderId="14" xfId="8" applyFont="1" applyBorder="1" applyAlignment="1">
      <alignment horizontal="center" vertical="center"/>
    </xf>
    <xf numFmtId="0" fontId="7" fillId="0" borderId="12" xfId="8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4" fontId="7" fillId="0" borderId="0" xfId="4" applyNumberFormat="1" applyFont="1" applyAlignment="1">
      <alignment horizontal="center" vertical="center" wrapText="1"/>
    </xf>
    <xf numFmtId="0" fontId="3" fillId="0" borderId="14" xfId="5" applyFont="1" applyBorder="1" applyAlignment="1">
      <alignment horizontal="center" vertical="center"/>
    </xf>
    <xf numFmtId="0" fontId="7" fillId="0" borderId="14" xfId="5" applyFont="1" applyBorder="1" applyAlignment="1">
      <alignment horizontal="center" vertical="center" wrapText="1"/>
    </xf>
    <xf numFmtId="0" fontId="3" fillId="0" borderId="12" xfId="5" applyFont="1" applyBorder="1" applyAlignment="1">
      <alignment horizontal="left" vertical="center"/>
    </xf>
    <xf numFmtId="164" fontId="3" fillId="0" borderId="12" xfId="4" applyNumberFormat="1" applyFont="1" applyBorder="1" applyAlignment="1">
      <alignment vertical="center" wrapText="1"/>
    </xf>
    <xf numFmtId="0" fontId="7" fillId="0" borderId="12" xfId="2" applyFont="1" applyBorder="1" applyAlignment="1">
      <alignment vertical="center" wrapText="1"/>
    </xf>
    <xf numFmtId="167" fontId="7" fillId="0" borderId="12" xfId="9" applyNumberFormat="1" applyFont="1" applyFill="1" applyBorder="1" applyAlignment="1">
      <alignment horizontal="center" vertical="center"/>
    </xf>
    <xf numFmtId="0" fontId="3" fillId="0" borderId="14" xfId="10" applyFont="1" applyBorder="1" applyAlignment="1">
      <alignment horizontal="center" vertical="center"/>
    </xf>
    <xf numFmtId="0" fontId="3" fillId="0" borderId="12" xfId="11" applyFont="1" applyBorder="1" applyAlignment="1">
      <alignment horizontal="left" vertical="center" wrapText="1"/>
    </xf>
    <xf numFmtId="0" fontId="7" fillId="0" borderId="12" xfId="10" applyFont="1" applyBorder="1" applyAlignment="1">
      <alignment horizontal="center" vertical="center"/>
    </xf>
    <xf numFmtId="0" fontId="16" fillId="0" borderId="14" xfId="10" applyFont="1" applyBorder="1" applyAlignment="1">
      <alignment horizontal="center" vertical="center"/>
    </xf>
    <xf numFmtId="0" fontId="17" fillId="0" borderId="12" xfId="10" applyFont="1" applyBorder="1" applyAlignment="1">
      <alignment vertical="center"/>
    </xf>
    <xf numFmtId="0" fontId="17" fillId="0" borderId="15" xfId="10" applyFont="1" applyBorder="1" applyAlignment="1">
      <alignment vertical="center"/>
    </xf>
    <xf numFmtId="0" fontId="9" fillId="0" borderId="15" xfId="5" applyFont="1" applyBorder="1" applyAlignment="1">
      <alignment vertical="center"/>
    </xf>
    <xf numFmtId="0" fontId="10" fillId="0" borderId="15" xfId="5" applyFont="1" applyBorder="1" applyAlignment="1">
      <alignment vertical="center"/>
    </xf>
    <xf numFmtId="0" fontId="9" fillId="0" borderId="15" xfId="5" applyFont="1" applyBorder="1" applyAlignment="1">
      <alignment horizontal="center" vertical="center"/>
    </xf>
    <xf numFmtId="166" fontId="9" fillId="0" borderId="16" xfId="4" applyNumberFormat="1" applyFont="1" applyBorder="1" applyAlignment="1">
      <alignment horizontal="center" vertical="center"/>
    </xf>
    <xf numFmtId="0" fontId="18" fillId="0" borderId="17" xfId="5" applyFont="1" applyBorder="1" applyAlignment="1">
      <alignment horizontal="center" vertical="center"/>
    </xf>
    <xf numFmtId="0" fontId="18" fillId="0" borderId="18" xfId="5" applyFont="1" applyBorder="1" applyAlignment="1">
      <alignment horizontal="center" vertical="center"/>
    </xf>
    <xf numFmtId="0" fontId="18" fillId="0" borderId="19" xfId="5" applyFont="1" applyBorder="1" applyAlignment="1">
      <alignment horizontal="center" vertical="center"/>
    </xf>
    <xf numFmtId="166" fontId="18" fillId="0" borderId="20" xfId="5" applyNumberFormat="1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166" fontId="20" fillId="0" borderId="21" xfId="5" applyNumberFormat="1" applyFont="1" applyBorder="1" applyAlignment="1">
      <alignment horizontal="center" vertical="center"/>
    </xf>
    <xf numFmtId="4" fontId="7" fillId="0" borderId="0" xfId="4" applyNumberFormat="1" applyFont="1" applyAlignment="1">
      <alignment horizontal="center" vertical="center"/>
    </xf>
    <xf numFmtId="1" fontId="7" fillId="0" borderId="0" xfId="3" applyNumberFormat="1" applyFont="1" applyFill="1" applyBorder="1" applyAlignment="1">
      <alignment horizontal="center" vertical="center"/>
    </xf>
    <xf numFmtId="164" fontId="3" fillId="0" borderId="1" xfId="12" applyNumberFormat="1" applyFont="1" applyFill="1" applyBorder="1" applyAlignment="1" applyProtection="1">
      <alignment horizontal="center" vertical="center" wrapText="1"/>
    </xf>
    <xf numFmtId="164" fontId="3" fillId="0" borderId="2" xfId="12" applyNumberFormat="1" applyFont="1" applyFill="1" applyBorder="1" applyAlignment="1" applyProtection="1">
      <alignment horizontal="center" vertical="center" wrapText="1"/>
    </xf>
    <xf numFmtId="164" fontId="3" fillId="0" borderId="2" xfId="12" applyNumberFormat="1" applyFont="1" applyFill="1" applyBorder="1" applyAlignment="1" applyProtection="1">
      <alignment horizontal="center" wrapText="1"/>
    </xf>
    <xf numFmtId="0" fontId="3" fillId="0" borderId="3" xfId="13" applyFont="1" applyBorder="1" applyAlignment="1">
      <alignment horizontal="center" vertical="center" wrapText="1"/>
    </xf>
    <xf numFmtId="164" fontId="3" fillId="0" borderId="5" xfId="12" applyNumberFormat="1" applyFont="1" applyFill="1" applyBorder="1" applyAlignment="1" applyProtection="1">
      <alignment horizontal="center" vertical="center" wrapText="1"/>
    </xf>
    <xf numFmtId="164" fontId="3" fillId="0" borderId="6" xfId="12" applyNumberFormat="1" applyFont="1" applyFill="1" applyBorder="1" applyAlignment="1" applyProtection="1">
      <alignment horizontal="center" vertical="center" wrapText="1"/>
    </xf>
    <xf numFmtId="164" fontId="3" fillId="0" borderId="6" xfId="12" applyNumberFormat="1" applyFont="1" applyFill="1" applyBorder="1" applyAlignment="1" applyProtection="1">
      <alignment horizontal="center" wrapText="1"/>
    </xf>
    <xf numFmtId="0" fontId="3" fillId="0" borderId="7" xfId="13" applyFont="1" applyBorder="1" applyAlignment="1">
      <alignment horizontal="center" vertical="center" wrapText="1"/>
    </xf>
    <xf numFmtId="164" fontId="3" fillId="2" borderId="2" xfId="12" applyNumberFormat="1" applyFont="1" applyFill="1" applyBorder="1" applyAlignment="1" applyProtection="1">
      <alignment horizontal="center" wrapText="1"/>
    </xf>
    <xf numFmtId="0" fontId="5" fillId="0" borderId="0" xfId="4" applyFont="1"/>
    <xf numFmtId="164" fontId="3" fillId="0" borderId="22" xfId="12" applyNumberFormat="1" applyFont="1" applyFill="1" applyBorder="1" applyAlignment="1" applyProtection="1">
      <alignment horizontal="center" vertical="center" wrapText="1"/>
    </xf>
    <xf numFmtId="164" fontId="3" fillId="0" borderId="15" xfId="12" applyNumberFormat="1" applyFont="1" applyFill="1" applyBorder="1" applyAlignment="1" applyProtection="1">
      <alignment horizontal="center" vertical="center" wrapText="1"/>
    </xf>
    <xf numFmtId="164" fontId="3" fillId="2" borderId="15" xfId="12" applyNumberFormat="1" applyFont="1" applyFill="1" applyBorder="1" applyAlignment="1" applyProtection="1">
      <alignment horizontal="center" wrapText="1"/>
    </xf>
    <xf numFmtId="164" fontId="3" fillId="0" borderId="15" xfId="12" applyNumberFormat="1" applyFont="1" applyFill="1" applyBorder="1" applyAlignment="1" applyProtection="1">
      <alignment horizontal="center" wrapText="1"/>
    </xf>
    <xf numFmtId="0" fontId="3" fillId="0" borderId="23" xfId="13" applyFont="1" applyBorder="1" applyAlignment="1">
      <alignment horizontal="center" vertical="center" wrapText="1"/>
    </xf>
    <xf numFmtId="4" fontId="3" fillId="0" borderId="15" xfId="3" applyNumberFormat="1" applyFont="1" applyFill="1" applyBorder="1" applyAlignment="1" applyProtection="1">
      <alignment horizontal="center" vertical="center" wrapText="1"/>
    </xf>
    <xf numFmtId="0" fontId="8" fillId="0" borderId="1" xfId="4" applyFont="1" applyBorder="1" applyAlignment="1" applyProtection="1">
      <alignment horizontal="center" vertical="center" wrapText="1"/>
      <protection locked="0"/>
    </xf>
    <xf numFmtId="0" fontId="8" fillId="0" borderId="2" xfId="4" applyFont="1" applyBorder="1" applyAlignment="1" applyProtection="1">
      <alignment horizontal="left" vertical="center" wrapText="1"/>
      <protection locked="0"/>
    </xf>
    <xf numFmtId="0" fontId="3" fillId="0" borderId="2" xfId="13" applyFont="1" applyBorder="1" applyAlignment="1">
      <alignment vertical="center" wrapText="1"/>
    </xf>
    <xf numFmtId="164" fontId="3" fillId="0" borderId="2" xfId="3" applyNumberFormat="1" applyFont="1" applyFill="1" applyBorder="1" applyAlignment="1" applyProtection="1">
      <alignment vertical="center" wrapText="1"/>
    </xf>
    <xf numFmtId="164" fontId="7" fillId="0" borderId="2" xfId="3" applyNumberFormat="1" applyFont="1" applyFill="1" applyBorder="1" applyAlignment="1" applyProtection="1">
      <alignment vertical="center" wrapText="1"/>
    </xf>
    <xf numFmtId="4" fontId="7" fillId="0" borderId="2" xfId="3" applyNumberFormat="1" applyFont="1" applyFill="1" applyBorder="1" applyAlignment="1">
      <alignment horizontal="center" vertical="center"/>
    </xf>
    <xf numFmtId="166" fontId="7" fillId="0" borderId="4" xfId="4" applyNumberFormat="1" applyFont="1" applyBorder="1" applyAlignment="1">
      <alignment horizontal="center" vertical="center"/>
    </xf>
    <xf numFmtId="0" fontId="7" fillId="0" borderId="0" xfId="4" applyFont="1"/>
    <xf numFmtId="0" fontId="3" fillId="0" borderId="14" xfId="4" applyFont="1" applyBorder="1" applyAlignment="1">
      <alignment horizontal="center" vertical="center"/>
    </xf>
    <xf numFmtId="0" fontId="3" fillId="0" borderId="12" xfId="13" applyFont="1" applyBorder="1" applyAlignment="1">
      <alignment vertical="center"/>
    </xf>
    <xf numFmtId="164" fontId="3" fillId="0" borderId="12" xfId="3" applyNumberFormat="1" applyFont="1" applyFill="1" applyBorder="1" applyAlignment="1" applyProtection="1">
      <alignment vertical="center" wrapText="1"/>
    </xf>
    <xf numFmtId="164" fontId="7" fillId="0" borderId="12" xfId="3" applyNumberFormat="1" applyFont="1" applyFill="1" applyBorder="1" applyAlignment="1" applyProtection="1">
      <alignment vertical="center" wrapText="1"/>
    </xf>
    <xf numFmtId="0" fontId="7" fillId="0" borderId="12" xfId="13" applyFont="1" applyBorder="1" applyAlignment="1">
      <alignment vertical="center" wrapText="1"/>
    </xf>
    <xf numFmtId="0" fontId="7" fillId="0" borderId="12" xfId="13" applyFont="1" applyBorder="1" applyAlignment="1">
      <alignment horizontal="center" vertical="center"/>
    </xf>
    <xf numFmtId="4" fontId="7" fillId="0" borderId="12" xfId="4" applyNumberFormat="1" applyFont="1" applyBorder="1" applyAlignment="1">
      <alignment horizontal="center" vertical="center"/>
    </xf>
    <xf numFmtId="164" fontId="7" fillId="2" borderId="12" xfId="4" applyNumberFormat="1" applyFont="1" applyFill="1" applyBorder="1" applyAlignment="1">
      <alignment vertical="center" wrapText="1"/>
    </xf>
    <xf numFmtId="0" fontId="7" fillId="0" borderId="12" xfId="5" applyFont="1" applyBorder="1" applyAlignment="1">
      <alignment horizontal="left" vertical="center" wrapText="1"/>
    </xf>
    <xf numFmtId="164" fontId="7" fillId="0" borderId="12" xfId="5" applyNumberFormat="1" applyFont="1" applyBorder="1" applyAlignment="1">
      <alignment horizontal="center" vertical="center"/>
    </xf>
    <xf numFmtId="0" fontId="7" fillId="0" borderId="12" xfId="4" applyFont="1" applyBorder="1" applyAlignment="1">
      <alignment wrapText="1"/>
    </xf>
    <xf numFmtId="0" fontId="21" fillId="0" borderId="14" xfId="5" applyFont="1" applyBorder="1" applyAlignment="1">
      <alignment vertical="center"/>
    </xf>
    <xf numFmtId="0" fontId="21" fillId="0" borderId="12" xfId="5" applyFont="1" applyBorder="1" applyAlignment="1">
      <alignment vertical="center"/>
    </xf>
    <xf numFmtId="0" fontId="7" fillId="0" borderId="12" xfId="13" applyFont="1" applyBorder="1" applyAlignment="1">
      <alignment wrapText="1"/>
    </xf>
    <xf numFmtId="164" fontId="7" fillId="2" borderId="12" xfId="3" applyNumberFormat="1" applyFont="1" applyFill="1" applyBorder="1" applyAlignment="1" applyProtection="1">
      <alignment vertical="center" wrapText="1"/>
    </xf>
    <xf numFmtId="4" fontId="16" fillId="0" borderId="12" xfId="3" applyNumberFormat="1" applyFont="1" applyFill="1" applyBorder="1" applyAlignment="1">
      <alignment horizontal="center" vertical="center"/>
    </xf>
    <xf numFmtId="0" fontId="16" fillId="0" borderId="12" xfId="14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9" fillId="0" borderId="6" xfId="5" applyFont="1" applyBorder="1" applyAlignment="1">
      <alignment horizontal="right" vertical="center"/>
    </xf>
    <xf numFmtId="0" fontId="21" fillId="0" borderId="6" xfId="5" applyFont="1" applyBorder="1" applyAlignment="1">
      <alignment vertical="center"/>
    </xf>
    <xf numFmtId="166" fontId="9" fillId="0" borderId="8" xfId="4" applyNumberFormat="1" applyFont="1" applyBorder="1" applyAlignment="1">
      <alignment horizontal="center" vertical="center"/>
    </xf>
    <xf numFmtId="0" fontId="18" fillId="0" borderId="24" xfId="4" applyFont="1" applyBorder="1" applyAlignment="1">
      <alignment horizontal="center" vertical="center"/>
    </xf>
    <xf numFmtId="0" fontId="18" fillId="0" borderId="25" xfId="4" applyFont="1" applyBorder="1" applyAlignment="1">
      <alignment horizontal="center" vertical="center"/>
    </xf>
    <xf numFmtId="165" fontId="18" fillId="0" borderId="26" xfId="3" applyFont="1" applyFill="1" applyBorder="1" applyAlignment="1">
      <alignment vertical="center"/>
    </xf>
    <xf numFmtId="0" fontId="3" fillId="0" borderId="0" xfId="4" applyFont="1"/>
    <xf numFmtId="166" fontId="7" fillId="0" borderId="0" xfId="4" applyNumberFormat="1" applyFont="1"/>
    <xf numFmtId="0" fontId="17" fillId="0" borderId="1" xfId="4" applyFont="1" applyBorder="1" applyAlignment="1" applyProtection="1">
      <alignment horizontal="center" vertical="center" wrapText="1"/>
      <protection locked="0"/>
    </xf>
    <xf numFmtId="0" fontId="17" fillId="0" borderId="2" xfId="4" applyFont="1" applyBorder="1" applyAlignment="1" applyProtection="1">
      <alignment horizontal="center" vertical="center" wrapText="1"/>
      <protection locked="0"/>
    </xf>
    <xf numFmtId="4" fontId="17" fillId="0" borderId="4" xfId="4" applyNumberFormat="1" applyFont="1" applyBorder="1" applyAlignment="1" applyProtection="1">
      <alignment horizontal="center" vertical="center" wrapText="1"/>
      <protection locked="0"/>
    </xf>
    <xf numFmtId="0" fontId="22" fillId="0" borderId="0" xfId="15" applyFont="1" applyAlignment="1">
      <alignment vertical="center"/>
    </xf>
    <xf numFmtId="0" fontId="17" fillId="0" borderId="22" xfId="4" applyFont="1" applyBorder="1" applyAlignment="1" applyProtection="1">
      <alignment horizontal="center" vertical="center" wrapText="1"/>
      <protection locked="0"/>
    </xf>
    <xf numFmtId="0" fontId="17" fillId="0" borderId="15" xfId="4" applyFont="1" applyBorder="1" applyAlignment="1" applyProtection="1">
      <alignment horizontal="center" vertical="center" wrapText="1"/>
      <protection locked="0"/>
    </xf>
    <xf numFmtId="4" fontId="17" fillId="0" borderId="16" xfId="4" applyNumberFormat="1" applyFont="1" applyBorder="1" applyAlignment="1" applyProtection="1">
      <alignment horizontal="center" vertical="center" wrapText="1"/>
      <protection locked="0"/>
    </xf>
    <xf numFmtId="0" fontId="23" fillId="0" borderId="1" xfId="4" applyFont="1" applyBorder="1" applyAlignment="1" applyProtection="1">
      <alignment horizontal="center" vertical="center" wrapText="1"/>
      <protection locked="0"/>
    </xf>
    <xf numFmtId="0" fontId="23" fillId="0" borderId="2" xfId="4" applyFont="1" applyBorder="1" applyAlignment="1" applyProtection="1">
      <alignment horizontal="left" vertical="center" wrapText="1"/>
      <protection locked="0"/>
    </xf>
    <xf numFmtId="4" fontId="24" fillId="0" borderId="4" xfId="4" applyNumberFormat="1" applyFont="1" applyBorder="1" applyAlignment="1" applyProtection="1">
      <alignment horizontal="center" vertical="center" wrapText="1"/>
      <protection locked="0"/>
    </xf>
    <xf numFmtId="0" fontId="25" fillId="0" borderId="0" xfId="15" applyFont="1" applyAlignment="1">
      <alignment vertical="center"/>
    </xf>
    <xf numFmtId="0" fontId="26" fillId="0" borderId="14" xfId="4" applyFont="1" applyBorder="1" applyAlignment="1" applyProtection="1">
      <alignment horizontal="center" vertical="center" wrapText="1"/>
      <protection locked="0"/>
    </xf>
    <xf numFmtId="0" fontId="26" fillId="0" borderId="12" xfId="4" applyFont="1" applyBorder="1" applyAlignment="1" applyProtection="1">
      <alignment horizontal="left" vertical="center" wrapText="1"/>
      <protection locked="0"/>
    </xf>
    <xf numFmtId="4" fontId="26" fillId="0" borderId="13" xfId="4" applyNumberFormat="1" applyFont="1" applyBorder="1" applyAlignment="1" applyProtection="1">
      <alignment horizontal="center" vertical="center" wrapText="1"/>
      <protection locked="0"/>
    </xf>
    <xf numFmtId="0" fontId="27" fillId="0" borderId="0" xfId="15" applyFont="1" applyAlignment="1">
      <alignment vertical="center"/>
    </xf>
    <xf numFmtId="0" fontId="23" fillId="0" borderId="27" xfId="15" applyFont="1" applyBorder="1" applyAlignment="1">
      <alignment horizontal="center" vertical="center"/>
    </xf>
    <xf numFmtId="0" fontId="23" fillId="0" borderId="28" xfId="15" applyFont="1" applyBorder="1" applyAlignment="1">
      <alignment horizontal="center" vertical="center"/>
    </xf>
    <xf numFmtId="4" fontId="23" fillId="0" borderId="20" xfId="15" applyNumberFormat="1" applyFont="1" applyBorder="1" applyAlignment="1">
      <alignment vertical="center"/>
    </xf>
    <xf numFmtId="0" fontId="28" fillId="0" borderId="0" xfId="15" applyFont="1" applyAlignment="1">
      <alignment vertical="center"/>
    </xf>
    <xf numFmtId="0" fontId="16" fillId="0" borderId="0" xfId="16" applyFont="1" applyAlignment="1">
      <alignment vertical="center"/>
    </xf>
    <xf numFmtId="4" fontId="16" fillId="0" borderId="0" xfId="16" applyNumberFormat="1" applyFont="1" applyAlignment="1">
      <alignment vertical="center"/>
    </xf>
    <xf numFmtId="4" fontId="29" fillId="0" borderId="0" xfId="15" applyNumberFormat="1" applyFont="1" applyAlignment="1">
      <alignment vertical="center"/>
    </xf>
  </cellXfs>
  <cellStyles count="17">
    <cellStyle name="Milliers 10 2 4" xfId="9" xr:uid="{7184F53C-2FBF-4A78-9A1F-C6308F2AF32A}"/>
    <cellStyle name="Milliers 19 2" xfId="3" xr:uid="{2849F3B6-F0E8-4FE4-8A3A-36ED5616DE84}"/>
    <cellStyle name="Milliers 2 6" xfId="6" xr:uid="{417723FA-3692-4494-B19C-E1CDFD2ED15D}"/>
    <cellStyle name="Milliers 8 8" xfId="1" xr:uid="{B0F239C9-D659-4FB4-BFAF-B94ED0F22C61}"/>
    <cellStyle name="Milliers 8 8 2" xfId="12" xr:uid="{C84F72AF-C0AA-4332-930D-C5DD7C198F17}"/>
    <cellStyle name="Normal" xfId="0" builtinId="0"/>
    <cellStyle name="Normal 10 2 2 3 2" xfId="4" xr:uid="{9D8D7470-F1C3-4F7D-8179-AE9824EF51EE}"/>
    <cellStyle name="Normal 10 2 2 3 3" xfId="16" xr:uid="{BC03A405-93C0-403C-A26B-6B30E1A56DA6}"/>
    <cellStyle name="Normal 2" xfId="7" xr:uid="{883C5DC6-E7D5-4598-A22F-1DB074BF5ACB}"/>
    <cellStyle name="Normal 2 2 10 2" xfId="14" xr:uid="{066C8CCD-D605-49E5-BFEC-914B74D7E3B7}"/>
    <cellStyle name="Normal 3 10 10 2 2" xfId="10" xr:uid="{2AF58EAF-CD14-48AD-AF6A-FC00E6CEE3A8}"/>
    <cellStyle name="Normal 3 15 2" xfId="8" xr:uid="{BAB3245D-9B89-4419-A778-DEE46279BC91}"/>
    <cellStyle name="Normal 3 2" xfId="5" xr:uid="{745DF1DF-1470-45C8-A81C-75C4179BF676}"/>
    <cellStyle name="Normal 5 17" xfId="2" xr:uid="{96479140-5451-4A77-A3A4-8AFD6C625D57}"/>
    <cellStyle name="Normal 5 17 2" xfId="13" xr:uid="{D8945F9B-9D27-4930-8539-45559814C960}"/>
    <cellStyle name="Normal 52 2" xfId="11" xr:uid="{94928A4B-54DC-4725-8046-D73CBAA8AA92}"/>
    <cellStyle name="Normal 54 2" xfId="15" xr:uid="{0F928C96-1756-4DAD-9701-A5D7EF6624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odev\AppData\Local\Temp\Rar$DIa900.45779.rartemp\DOA365-OMT-SOHAUS.IMM.CD-DCE-L3.FLU-ESTIMATION-18-02-2025.xlsx" TargetMode="External"/><Relationship Id="rId1" Type="http://schemas.openxmlformats.org/officeDocument/2006/relationships/externalLinkPath" Target="/Users/amodev/AppData/Local/Temp/Rar$DIa900.45779.rartemp/DOA365-OMT-SOHAUS.IMM.CD-DCE-L3.FLU-ESTIMATION-18-0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"/>
      <sheetName val="APP SAN"/>
      <sheetName val="CVC"/>
      <sheetName val="RECAP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2383-A1A8-46A2-8C14-E8EC35437D31}">
  <dimension ref="A1:O442"/>
  <sheetViews>
    <sheetView view="pageBreakPreview" topLeftCell="A85" zoomScale="85" zoomScaleNormal="85" zoomScaleSheetLayoutView="85" workbookViewId="0">
      <selection activeCell="K12" sqref="K12"/>
    </sheetView>
  </sheetViews>
  <sheetFormatPr baseColWidth="10" defaultRowHeight="13.8" outlineLevelCol="3"/>
  <cols>
    <col min="1" max="1" width="17.109375" style="20" customWidth="1"/>
    <col min="2" max="2" width="82.6640625" style="20" customWidth="1"/>
    <col min="3" max="3" width="11.6640625" style="20" customWidth="1"/>
    <col min="4" max="9" width="11.6640625" style="20" customWidth="1" outlineLevel="1"/>
    <col min="10" max="10" width="13" style="82" customWidth="1" outlineLevel="3"/>
    <col min="11" max="11" width="13.5546875" style="82" customWidth="1"/>
    <col min="12" max="12" width="22.44140625" style="81" customWidth="1"/>
    <col min="13" max="13" width="28.5546875" style="20" customWidth="1"/>
    <col min="14" max="14" width="23.88671875" style="20" customWidth="1"/>
    <col min="15" max="15" width="17" style="20" customWidth="1"/>
    <col min="16" max="261" width="11.5546875" style="20"/>
    <col min="262" max="262" width="17.109375" style="20" customWidth="1"/>
    <col min="263" max="263" width="72.109375" style="20" customWidth="1"/>
    <col min="264" max="264" width="18" style="20" customWidth="1"/>
    <col min="265" max="265" width="18.109375" style="20" customWidth="1"/>
    <col min="266" max="267" width="25" style="20" customWidth="1"/>
    <col min="268" max="268" width="13.109375" style="20" bestFit="1" customWidth="1"/>
    <col min="269" max="269" width="15.5546875" style="20" bestFit="1" customWidth="1"/>
    <col min="270" max="517" width="11.5546875" style="20"/>
    <col min="518" max="518" width="17.109375" style="20" customWidth="1"/>
    <col min="519" max="519" width="72.109375" style="20" customWidth="1"/>
    <col min="520" max="520" width="18" style="20" customWidth="1"/>
    <col min="521" max="521" width="18.109375" style="20" customWidth="1"/>
    <col min="522" max="523" width="25" style="20" customWidth="1"/>
    <col min="524" max="524" width="13.109375" style="20" bestFit="1" customWidth="1"/>
    <col min="525" max="525" width="15.5546875" style="20" bestFit="1" customWidth="1"/>
    <col min="526" max="773" width="11.5546875" style="20"/>
    <col min="774" max="774" width="17.109375" style="20" customWidth="1"/>
    <col min="775" max="775" width="72.109375" style="20" customWidth="1"/>
    <col min="776" max="776" width="18" style="20" customWidth="1"/>
    <col min="777" max="777" width="18.109375" style="20" customWidth="1"/>
    <col min="778" max="779" width="25" style="20" customWidth="1"/>
    <col min="780" max="780" width="13.109375" style="20" bestFit="1" customWidth="1"/>
    <col min="781" max="781" width="15.5546875" style="20" bestFit="1" customWidth="1"/>
    <col min="782" max="1029" width="11.5546875" style="20"/>
    <col min="1030" max="1030" width="17.109375" style="20" customWidth="1"/>
    <col min="1031" max="1031" width="72.109375" style="20" customWidth="1"/>
    <col min="1032" max="1032" width="18" style="20" customWidth="1"/>
    <col min="1033" max="1033" width="18.109375" style="20" customWidth="1"/>
    <col min="1034" max="1035" width="25" style="20" customWidth="1"/>
    <col min="1036" max="1036" width="13.109375" style="20" bestFit="1" customWidth="1"/>
    <col min="1037" max="1037" width="15.5546875" style="20" bestFit="1" customWidth="1"/>
    <col min="1038" max="1285" width="11.5546875" style="20"/>
    <col min="1286" max="1286" width="17.109375" style="20" customWidth="1"/>
    <col min="1287" max="1287" width="72.109375" style="20" customWidth="1"/>
    <col min="1288" max="1288" width="18" style="20" customWidth="1"/>
    <col min="1289" max="1289" width="18.109375" style="20" customWidth="1"/>
    <col min="1290" max="1291" width="25" style="20" customWidth="1"/>
    <col min="1292" max="1292" width="13.109375" style="20" bestFit="1" customWidth="1"/>
    <col min="1293" max="1293" width="15.5546875" style="20" bestFit="1" customWidth="1"/>
    <col min="1294" max="1541" width="11.5546875" style="20"/>
    <col min="1542" max="1542" width="17.109375" style="20" customWidth="1"/>
    <col min="1543" max="1543" width="72.109375" style="20" customWidth="1"/>
    <col min="1544" max="1544" width="18" style="20" customWidth="1"/>
    <col min="1545" max="1545" width="18.109375" style="20" customWidth="1"/>
    <col min="1546" max="1547" width="25" style="20" customWidth="1"/>
    <col min="1548" max="1548" width="13.109375" style="20" bestFit="1" customWidth="1"/>
    <col min="1549" max="1549" width="15.5546875" style="20" bestFit="1" customWidth="1"/>
    <col min="1550" max="1797" width="11.5546875" style="20"/>
    <col min="1798" max="1798" width="17.109375" style="20" customWidth="1"/>
    <col min="1799" max="1799" width="72.109375" style="20" customWidth="1"/>
    <col min="1800" max="1800" width="18" style="20" customWidth="1"/>
    <col min="1801" max="1801" width="18.109375" style="20" customWidth="1"/>
    <col min="1802" max="1803" width="25" style="20" customWidth="1"/>
    <col min="1804" max="1804" width="13.109375" style="20" bestFit="1" customWidth="1"/>
    <col min="1805" max="1805" width="15.5546875" style="20" bestFit="1" customWidth="1"/>
    <col min="1806" max="2053" width="11.5546875" style="20"/>
    <col min="2054" max="2054" width="17.109375" style="20" customWidth="1"/>
    <col min="2055" max="2055" width="72.109375" style="20" customWidth="1"/>
    <col min="2056" max="2056" width="18" style="20" customWidth="1"/>
    <col min="2057" max="2057" width="18.109375" style="20" customWidth="1"/>
    <col min="2058" max="2059" width="25" style="20" customWidth="1"/>
    <col min="2060" max="2060" width="13.109375" style="20" bestFit="1" customWidth="1"/>
    <col min="2061" max="2061" width="15.5546875" style="20" bestFit="1" customWidth="1"/>
    <col min="2062" max="2309" width="11.5546875" style="20"/>
    <col min="2310" max="2310" width="17.109375" style="20" customWidth="1"/>
    <col min="2311" max="2311" width="72.109375" style="20" customWidth="1"/>
    <col min="2312" max="2312" width="18" style="20" customWidth="1"/>
    <col min="2313" max="2313" width="18.109375" style="20" customWidth="1"/>
    <col min="2314" max="2315" width="25" style="20" customWidth="1"/>
    <col min="2316" max="2316" width="13.109375" style="20" bestFit="1" customWidth="1"/>
    <col min="2317" max="2317" width="15.5546875" style="20" bestFit="1" customWidth="1"/>
    <col min="2318" max="2565" width="11.5546875" style="20"/>
    <col min="2566" max="2566" width="17.109375" style="20" customWidth="1"/>
    <col min="2567" max="2567" width="72.109375" style="20" customWidth="1"/>
    <col min="2568" max="2568" width="18" style="20" customWidth="1"/>
    <col min="2569" max="2569" width="18.109375" style="20" customWidth="1"/>
    <col min="2570" max="2571" width="25" style="20" customWidth="1"/>
    <col min="2572" max="2572" width="13.109375" style="20" bestFit="1" customWidth="1"/>
    <col min="2573" max="2573" width="15.5546875" style="20" bestFit="1" customWidth="1"/>
    <col min="2574" max="2821" width="11.5546875" style="20"/>
    <col min="2822" max="2822" width="17.109375" style="20" customWidth="1"/>
    <col min="2823" max="2823" width="72.109375" style="20" customWidth="1"/>
    <col min="2824" max="2824" width="18" style="20" customWidth="1"/>
    <col min="2825" max="2825" width="18.109375" style="20" customWidth="1"/>
    <col min="2826" max="2827" width="25" style="20" customWidth="1"/>
    <col min="2828" max="2828" width="13.109375" style="20" bestFit="1" customWidth="1"/>
    <col min="2829" max="2829" width="15.5546875" style="20" bestFit="1" customWidth="1"/>
    <col min="2830" max="3077" width="11.5546875" style="20"/>
    <col min="3078" max="3078" width="17.109375" style="20" customWidth="1"/>
    <col min="3079" max="3079" width="72.109375" style="20" customWidth="1"/>
    <col min="3080" max="3080" width="18" style="20" customWidth="1"/>
    <col min="3081" max="3081" width="18.109375" style="20" customWidth="1"/>
    <col min="3082" max="3083" width="25" style="20" customWidth="1"/>
    <col min="3084" max="3084" width="13.109375" style="20" bestFit="1" customWidth="1"/>
    <col min="3085" max="3085" width="15.5546875" style="20" bestFit="1" customWidth="1"/>
    <col min="3086" max="3333" width="11.5546875" style="20"/>
    <col min="3334" max="3334" width="17.109375" style="20" customWidth="1"/>
    <col min="3335" max="3335" width="72.109375" style="20" customWidth="1"/>
    <col min="3336" max="3336" width="18" style="20" customWidth="1"/>
    <col min="3337" max="3337" width="18.109375" style="20" customWidth="1"/>
    <col min="3338" max="3339" width="25" style="20" customWidth="1"/>
    <col min="3340" max="3340" width="13.109375" style="20" bestFit="1" customWidth="1"/>
    <col min="3341" max="3341" width="15.5546875" style="20" bestFit="1" customWidth="1"/>
    <col min="3342" max="3589" width="11.5546875" style="20"/>
    <col min="3590" max="3590" width="17.109375" style="20" customWidth="1"/>
    <col min="3591" max="3591" width="72.109375" style="20" customWidth="1"/>
    <col min="3592" max="3592" width="18" style="20" customWidth="1"/>
    <col min="3593" max="3593" width="18.109375" style="20" customWidth="1"/>
    <col min="3594" max="3595" width="25" style="20" customWidth="1"/>
    <col min="3596" max="3596" width="13.109375" style="20" bestFit="1" customWidth="1"/>
    <col min="3597" max="3597" width="15.5546875" style="20" bestFit="1" customWidth="1"/>
    <col min="3598" max="3845" width="11.5546875" style="20"/>
    <col min="3846" max="3846" width="17.109375" style="20" customWidth="1"/>
    <col min="3847" max="3847" width="72.109375" style="20" customWidth="1"/>
    <col min="3848" max="3848" width="18" style="20" customWidth="1"/>
    <col min="3849" max="3849" width="18.109375" style="20" customWidth="1"/>
    <col min="3850" max="3851" width="25" style="20" customWidth="1"/>
    <col min="3852" max="3852" width="13.109375" style="20" bestFit="1" customWidth="1"/>
    <col min="3853" max="3853" width="15.5546875" style="20" bestFit="1" customWidth="1"/>
    <col min="3854" max="4101" width="11.5546875" style="20"/>
    <col min="4102" max="4102" width="17.109375" style="20" customWidth="1"/>
    <col min="4103" max="4103" width="72.109375" style="20" customWidth="1"/>
    <col min="4104" max="4104" width="18" style="20" customWidth="1"/>
    <col min="4105" max="4105" width="18.109375" style="20" customWidth="1"/>
    <col min="4106" max="4107" width="25" style="20" customWidth="1"/>
    <col min="4108" max="4108" width="13.109375" style="20" bestFit="1" customWidth="1"/>
    <col min="4109" max="4109" width="15.5546875" style="20" bestFit="1" customWidth="1"/>
    <col min="4110" max="4357" width="11.5546875" style="20"/>
    <col min="4358" max="4358" width="17.109375" style="20" customWidth="1"/>
    <col min="4359" max="4359" width="72.109375" style="20" customWidth="1"/>
    <col min="4360" max="4360" width="18" style="20" customWidth="1"/>
    <col min="4361" max="4361" width="18.109375" style="20" customWidth="1"/>
    <col min="4362" max="4363" width="25" style="20" customWidth="1"/>
    <col min="4364" max="4364" width="13.109375" style="20" bestFit="1" customWidth="1"/>
    <col min="4365" max="4365" width="15.5546875" style="20" bestFit="1" customWidth="1"/>
    <col min="4366" max="4613" width="11.5546875" style="20"/>
    <col min="4614" max="4614" width="17.109375" style="20" customWidth="1"/>
    <col min="4615" max="4615" width="72.109375" style="20" customWidth="1"/>
    <col min="4616" max="4616" width="18" style="20" customWidth="1"/>
    <col min="4617" max="4617" width="18.109375" style="20" customWidth="1"/>
    <col min="4618" max="4619" width="25" style="20" customWidth="1"/>
    <col min="4620" max="4620" width="13.109375" style="20" bestFit="1" customWidth="1"/>
    <col min="4621" max="4621" width="15.5546875" style="20" bestFit="1" customWidth="1"/>
    <col min="4622" max="4869" width="11.5546875" style="20"/>
    <col min="4870" max="4870" width="17.109375" style="20" customWidth="1"/>
    <col min="4871" max="4871" width="72.109375" style="20" customWidth="1"/>
    <col min="4872" max="4872" width="18" style="20" customWidth="1"/>
    <col min="4873" max="4873" width="18.109375" style="20" customWidth="1"/>
    <col min="4874" max="4875" width="25" style="20" customWidth="1"/>
    <col min="4876" max="4876" width="13.109375" style="20" bestFit="1" customWidth="1"/>
    <col min="4877" max="4877" width="15.5546875" style="20" bestFit="1" customWidth="1"/>
    <col min="4878" max="5125" width="11.5546875" style="20"/>
    <col min="5126" max="5126" width="17.109375" style="20" customWidth="1"/>
    <col min="5127" max="5127" width="72.109375" style="20" customWidth="1"/>
    <col min="5128" max="5128" width="18" style="20" customWidth="1"/>
    <col min="5129" max="5129" width="18.109375" style="20" customWidth="1"/>
    <col min="5130" max="5131" width="25" style="20" customWidth="1"/>
    <col min="5132" max="5132" width="13.109375" style="20" bestFit="1" customWidth="1"/>
    <col min="5133" max="5133" width="15.5546875" style="20" bestFit="1" customWidth="1"/>
    <col min="5134" max="5381" width="11.5546875" style="20"/>
    <col min="5382" max="5382" width="17.109375" style="20" customWidth="1"/>
    <col min="5383" max="5383" width="72.109375" style="20" customWidth="1"/>
    <col min="5384" max="5384" width="18" style="20" customWidth="1"/>
    <col min="5385" max="5385" width="18.109375" style="20" customWidth="1"/>
    <col min="5386" max="5387" width="25" style="20" customWidth="1"/>
    <col min="5388" max="5388" width="13.109375" style="20" bestFit="1" customWidth="1"/>
    <col min="5389" max="5389" width="15.5546875" style="20" bestFit="1" customWidth="1"/>
    <col min="5390" max="5637" width="11.5546875" style="20"/>
    <col min="5638" max="5638" width="17.109375" style="20" customWidth="1"/>
    <col min="5639" max="5639" width="72.109375" style="20" customWidth="1"/>
    <col min="5640" max="5640" width="18" style="20" customWidth="1"/>
    <col min="5641" max="5641" width="18.109375" style="20" customWidth="1"/>
    <col min="5642" max="5643" width="25" style="20" customWidth="1"/>
    <col min="5644" max="5644" width="13.109375" style="20" bestFit="1" customWidth="1"/>
    <col min="5645" max="5645" width="15.5546875" style="20" bestFit="1" customWidth="1"/>
    <col min="5646" max="5893" width="11.5546875" style="20"/>
    <col min="5894" max="5894" width="17.109375" style="20" customWidth="1"/>
    <col min="5895" max="5895" width="72.109375" style="20" customWidth="1"/>
    <col min="5896" max="5896" width="18" style="20" customWidth="1"/>
    <col min="5897" max="5897" width="18.109375" style="20" customWidth="1"/>
    <col min="5898" max="5899" width="25" style="20" customWidth="1"/>
    <col min="5900" max="5900" width="13.109375" style="20" bestFit="1" customWidth="1"/>
    <col min="5901" max="5901" width="15.5546875" style="20" bestFit="1" customWidth="1"/>
    <col min="5902" max="6149" width="11.5546875" style="20"/>
    <col min="6150" max="6150" width="17.109375" style="20" customWidth="1"/>
    <col min="6151" max="6151" width="72.109375" style="20" customWidth="1"/>
    <col min="6152" max="6152" width="18" style="20" customWidth="1"/>
    <col min="6153" max="6153" width="18.109375" style="20" customWidth="1"/>
    <col min="6154" max="6155" width="25" style="20" customWidth="1"/>
    <col min="6156" max="6156" width="13.109375" style="20" bestFit="1" customWidth="1"/>
    <col min="6157" max="6157" width="15.5546875" style="20" bestFit="1" customWidth="1"/>
    <col min="6158" max="6405" width="11.5546875" style="20"/>
    <col min="6406" max="6406" width="17.109375" style="20" customWidth="1"/>
    <col min="6407" max="6407" width="72.109375" style="20" customWidth="1"/>
    <col min="6408" max="6408" width="18" style="20" customWidth="1"/>
    <col min="6409" max="6409" width="18.109375" style="20" customWidth="1"/>
    <col min="6410" max="6411" width="25" style="20" customWidth="1"/>
    <col min="6412" max="6412" width="13.109375" style="20" bestFit="1" customWidth="1"/>
    <col min="6413" max="6413" width="15.5546875" style="20" bestFit="1" customWidth="1"/>
    <col min="6414" max="6661" width="11.5546875" style="20"/>
    <col min="6662" max="6662" width="17.109375" style="20" customWidth="1"/>
    <col min="6663" max="6663" width="72.109375" style="20" customWidth="1"/>
    <col min="6664" max="6664" width="18" style="20" customWidth="1"/>
    <col min="6665" max="6665" width="18.109375" style="20" customWidth="1"/>
    <col min="6666" max="6667" width="25" style="20" customWidth="1"/>
    <col min="6668" max="6668" width="13.109375" style="20" bestFit="1" customWidth="1"/>
    <col min="6669" max="6669" width="15.5546875" style="20" bestFit="1" customWidth="1"/>
    <col min="6670" max="6917" width="11.5546875" style="20"/>
    <col min="6918" max="6918" width="17.109375" style="20" customWidth="1"/>
    <col min="6919" max="6919" width="72.109375" style="20" customWidth="1"/>
    <col min="6920" max="6920" width="18" style="20" customWidth="1"/>
    <col min="6921" max="6921" width="18.109375" style="20" customWidth="1"/>
    <col min="6922" max="6923" width="25" style="20" customWidth="1"/>
    <col min="6924" max="6924" width="13.109375" style="20" bestFit="1" customWidth="1"/>
    <col min="6925" max="6925" width="15.5546875" style="20" bestFit="1" customWidth="1"/>
    <col min="6926" max="7173" width="11.5546875" style="20"/>
    <col min="7174" max="7174" width="17.109375" style="20" customWidth="1"/>
    <col min="7175" max="7175" width="72.109375" style="20" customWidth="1"/>
    <col min="7176" max="7176" width="18" style="20" customWidth="1"/>
    <col min="7177" max="7177" width="18.109375" style="20" customWidth="1"/>
    <col min="7178" max="7179" width="25" style="20" customWidth="1"/>
    <col min="7180" max="7180" width="13.109375" style="20" bestFit="1" customWidth="1"/>
    <col min="7181" max="7181" width="15.5546875" style="20" bestFit="1" customWidth="1"/>
    <col min="7182" max="7429" width="11.5546875" style="20"/>
    <col min="7430" max="7430" width="17.109375" style="20" customWidth="1"/>
    <col min="7431" max="7431" width="72.109375" style="20" customWidth="1"/>
    <col min="7432" max="7432" width="18" style="20" customWidth="1"/>
    <col min="7433" max="7433" width="18.109375" style="20" customWidth="1"/>
    <col min="7434" max="7435" width="25" style="20" customWidth="1"/>
    <col min="7436" max="7436" width="13.109375" style="20" bestFit="1" customWidth="1"/>
    <col min="7437" max="7437" width="15.5546875" style="20" bestFit="1" customWidth="1"/>
    <col min="7438" max="7685" width="11.5546875" style="20"/>
    <col min="7686" max="7686" width="17.109375" style="20" customWidth="1"/>
    <col min="7687" max="7687" width="72.109375" style="20" customWidth="1"/>
    <col min="7688" max="7688" width="18" style="20" customWidth="1"/>
    <col min="7689" max="7689" width="18.109375" style="20" customWidth="1"/>
    <col min="7690" max="7691" width="25" style="20" customWidth="1"/>
    <col min="7692" max="7692" width="13.109375" style="20" bestFit="1" customWidth="1"/>
    <col min="7693" max="7693" width="15.5546875" style="20" bestFit="1" customWidth="1"/>
    <col min="7694" max="7941" width="11.5546875" style="20"/>
    <col min="7942" max="7942" width="17.109375" style="20" customWidth="1"/>
    <col min="7943" max="7943" width="72.109375" style="20" customWidth="1"/>
    <col min="7944" max="7944" width="18" style="20" customWidth="1"/>
    <col min="7945" max="7945" width="18.109375" style="20" customWidth="1"/>
    <col min="7946" max="7947" width="25" style="20" customWidth="1"/>
    <col min="7948" max="7948" width="13.109375" style="20" bestFit="1" customWidth="1"/>
    <col min="7949" max="7949" width="15.5546875" style="20" bestFit="1" customWidth="1"/>
    <col min="7950" max="8197" width="11.5546875" style="20"/>
    <col min="8198" max="8198" width="17.109375" style="20" customWidth="1"/>
    <col min="8199" max="8199" width="72.109375" style="20" customWidth="1"/>
    <col min="8200" max="8200" width="18" style="20" customWidth="1"/>
    <col min="8201" max="8201" width="18.109375" style="20" customWidth="1"/>
    <col min="8202" max="8203" width="25" style="20" customWidth="1"/>
    <col min="8204" max="8204" width="13.109375" style="20" bestFit="1" customWidth="1"/>
    <col min="8205" max="8205" width="15.5546875" style="20" bestFit="1" customWidth="1"/>
    <col min="8206" max="8453" width="11.5546875" style="20"/>
    <col min="8454" max="8454" width="17.109375" style="20" customWidth="1"/>
    <col min="8455" max="8455" width="72.109375" style="20" customWidth="1"/>
    <col min="8456" max="8456" width="18" style="20" customWidth="1"/>
    <col min="8457" max="8457" width="18.109375" style="20" customWidth="1"/>
    <col min="8458" max="8459" width="25" style="20" customWidth="1"/>
    <col min="8460" max="8460" width="13.109375" style="20" bestFit="1" customWidth="1"/>
    <col min="8461" max="8461" width="15.5546875" style="20" bestFit="1" customWidth="1"/>
    <col min="8462" max="8709" width="11.5546875" style="20"/>
    <col min="8710" max="8710" width="17.109375" style="20" customWidth="1"/>
    <col min="8711" max="8711" width="72.109375" style="20" customWidth="1"/>
    <col min="8712" max="8712" width="18" style="20" customWidth="1"/>
    <col min="8713" max="8713" width="18.109375" style="20" customWidth="1"/>
    <col min="8714" max="8715" width="25" style="20" customWidth="1"/>
    <col min="8716" max="8716" width="13.109375" style="20" bestFit="1" customWidth="1"/>
    <col min="8717" max="8717" width="15.5546875" style="20" bestFit="1" customWidth="1"/>
    <col min="8718" max="8965" width="11.5546875" style="20"/>
    <col min="8966" max="8966" width="17.109375" style="20" customWidth="1"/>
    <col min="8967" max="8967" width="72.109375" style="20" customWidth="1"/>
    <col min="8968" max="8968" width="18" style="20" customWidth="1"/>
    <col min="8969" max="8969" width="18.109375" style="20" customWidth="1"/>
    <col min="8970" max="8971" width="25" style="20" customWidth="1"/>
    <col min="8972" max="8972" width="13.109375" style="20" bestFit="1" customWidth="1"/>
    <col min="8973" max="8973" width="15.5546875" style="20" bestFit="1" customWidth="1"/>
    <col min="8974" max="9221" width="11.5546875" style="20"/>
    <col min="9222" max="9222" width="17.109375" style="20" customWidth="1"/>
    <col min="9223" max="9223" width="72.109375" style="20" customWidth="1"/>
    <col min="9224" max="9224" width="18" style="20" customWidth="1"/>
    <col min="9225" max="9225" width="18.109375" style="20" customWidth="1"/>
    <col min="9226" max="9227" width="25" style="20" customWidth="1"/>
    <col min="9228" max="9228" width="13.109375" style="20" bestFit="1" customWidth="1"/>
    <col min="9229" max="9229" width="15.5546875" style="20" bestFit="1" customWidth="1"/>
    <col min="9230" max="9477" width="11.5546875" style="20"/>
    <col min="9478" max="9478" width="17.109375" style="20" customWidth="1"/>
    <col min="9479" max="9479" width="72.109375" style="20" customWidth="1"/>
    <col min="9480" max="9480" width="18" style="20" customWidth="1"/>
    <col min="9481" max="9481" width="18.109375" style="20" customWidth="1"/>
    <col min="9482" max="9483" width="25" style="20" customWidth="1"/>
    <col min="9484" max="9484" width="13.109375" style="20" bestFit="1" customWidth="1"/>
    <col min="9485" max="9485" width="15.5546875" style="20" bestFit="1" customWidth="1"/>
    <col min="9486" max="9733" width="11.5546875" style="20"/>
    <col min="9734" max="9734" width="17.109375" style="20" customWidth="1"/>
    <col min="9735" max="9735" width="72.109375" style="20" customWidth="1"/>
    <col min="9736" max="9736" width="18" style="20" customWidth="1"/>
    <col min="9737" max="9737" width="18.109375" style="20" customWidth="1"/>
    <col min="9738" max="9739" width="25" style="20" customWidth="1"/>
    <col min="9740" max="9740" width="13.109375" style="20" bestFit="1" customWidth="1"/>
    <col min="9741" max="9741" width="15.5546875" style="20" bestFit="1" customWidth="1"/>
    <col min="9742" max="9989" width="11.5546875" style="20"/>
    <col min="9990" max="9990" width="17.109375" style="20" customWidth="1"/>
    <col min="9991" max="9991" width="72.109375" style="20" customWidth="1"/>
    <col min="9992" max="9992" width="18" style="20" customWidth="1"/>
    <col min="9993" max="9993" width="18.109375" style="20" customWidth="1"/>
    <col min="9994" max="9995" width="25" style="20" customWidth="1"/>
    <col min="9996" max="9996" width="13.109375" style="20" bestFit="1" customWidth="1"/>
    <col min="9997" max="9997" width="15.5546875" style="20" bestFit="1" customWidth="1"/>
    <col min="9998" max="10245" width="11.5546875" style="20"/>
    <col min="10246" max="10246" width="17.109375" style="20" customWidth="1"/>
    <col min="10247" max="10247" width="72.109375" style="20" customWidth="1"/>
    <col min="10248" max="10248" width="18" style="20" customWidth="1"/>
    <col min="10249" max="10249" width="18.109375" style="20" customWidth="1"/>
    <col min="10250" max="10251" width="25" style="20" customWidth="1"/>
    <col min="10252" max="10252" width="13.109375" style="20" bestFit="1" customWidth="1"/>
    <col min="10253" max="10253" width="15.5546875" style="20" bestFit="1" customWidth="1"/>
    <col min="10254" max="10501" width="11.5546875" style="20"/>
    <col min="10502" max="10502" width="17.109375" style="20" customWidth="1"/>
    <col min="10503" max="10503" width="72.109375" style="20" customWidth="1"/>
    <col min="10504" max="10504" width="18" style="20" customWidth="1"/>
    <col min="10505" max="10505" width="18.109375" style="20" customWidth="1"/>
    <col min="10506" max="10507" width="25" style="20" customWidth="1"/>
    <col min="10508" max="10508" width="13.109375" style="20" bestFit="1" customWidth="1"/>
    <col min="10509" max="10509" width="15.5546875" style="20" bestFit="1" customWidth="1"/>
    <col min="10510" max="10757" width="11.5546875" style="20"/>
    <col min="10758" max="10758" width="17.109375" style="20" customWidth="1"/>
    <col min="10759" max="10759" width="72.109375" style="20" customWidth="1"/>
    <col min="10760" max="10760" width="18" style="20" customWidth="1"/>
    <col min="10761" max="10761" width="18.109375" style="20" customWidth="1"/>
    <col min="10762" max="10763" width="25" style="20" customWidth="1"/>
    <col min="10764" max="10764" width="13.109375" style="20" bestFit="1" customWidth="1"/>
    <col min="10765" max="10765" width="15.5546875" style="20" bestFit="1" customWidth="1"/>
    <col min="10766" max="11013" width="11.5546875" style="20"/>
    <col min="11014" max="11014" width="17.109375" style="20" customWidth="1"/>
    <col min="11015" max="11015" width="72.109375" style="20" customWidth="1"/>
    <col min="11016" max="11016" width="18" style="20" customWidth="1"/>
    <col min="11017" max="11017" width="18.109375" style="20" customWidth="1"/>
    <col min="11018" max="11019" width="25" style="20" customWidth="1"/>
    <col min="11020" max="11020" width="13.109375" style="20" bestFit="1" customWidth="1"/>
    <col min="11021" max="11021" width="15.5546875" style="20" bestFit="1" customWidth="1"/>
    <col min="11022" max="11269" width="11.5546875" style="20"/>
    <col min="11270" max="11270" width="17.109375" style="20" customWidth="1"/>
    <col min="11271" max="11271" width="72.109375" style="20" customWidth="1"/>
    <col min="11272" max="11272" width="18" style="20" customWidth="1"/>
    <col min="11273" max="11273" width="18.109375" style="20" customWidth="1"/>
    <col min="11274" max="11275" width="25" style="20" customWidth="1"/>
    <col min="11276" max="11276" width="13.109375" style="20" bestFit="1" customWidth="1"/>
    <col min="11277" max="11277" width="15.5546875" style="20" bestFit="1" customWidth="1"/>
    <col min="11278" max="11525" width="11.5546875" style="20"/>
    <col min="11526" max="11526" width="17.109375" style="20" customWidth="1"/>
    <col min="11527" max="11527" width="72.109375" style="20" customWidth="1"/>
    <col min="11528" max="11528" width="18" style="20" customWidth="1"/>
    <col min="11529" max="11529" width="18.109375" style="20" customWidth="1"/>
    <col min="11530" max="11531" width="25" style="20" customWidth="1"/>
    <col min="11532" max="11532" width="13.109375" style="20" bestFit="1" customWidth="1"/>
    <col min="11533" max="11533" width="15.5546875" style="20" bestFit="1" customWidth="1"/>
    <col min="11534" max="11781" width="11.5546875" style="20"/>
    <col min="11782" max="11782" width="17.109375" style="20" customWidth="1"/>
    <col min="11783" max="11783" width="72.109375" style="20" customWidth="1"/>
    <col min="11784" max="11784" width="18" style="20" customWidth="1"/>
    <col min="11785" max="11785" width="18.109375" style="20" customWidth="1"/>
    <col min="11786" max="11787" width="25" style="20" customWidth="1"/>
    <col min="11788" max="11788" width="13.109375" style="20" bestFit="1" customWidth="1"/>
    <col min="11789" max="11789" width="15.5546875" style="20" bestFit="1" customWidth="1"/>
    <col min="11790" max="12037" width="11.5546875" style="20"/>
    <col min="12038" max="12038" width="17.109375" style="20" customWidth="1"/>
    <col min="12039" max="12039" width="72.109375" style="20" customWidth="1"/>
    <col min="12040" max="12040" width="18" style="20" customWidth="1"/>
    <col min="12041" max="12041" width="18.109375" style="20" customWidth="1"/>
    <col min="12042" max="12043" width="25" style="20" customWidth="1"/>
    <col min="12044" max="12044" width="13.109375" style="20" bestFit="1" customWidth="1"/>
    <col min="12045" max="12045" width="15.5546875" style="20" bestFit="1" customWidth="1"/>
    <col min="12046" max="12293" width="11.5546875" style="20"/>
    <col min="12294" max="12294" width="17.109375" style="20" customWidth="1"/>
    <col min="12295" max="12295" width="72.109375" style="20" customWidth="1"/>
    <col min="12296" max="12296" width="18" style="20" customWidth="1"/>
    <col min="12297" max="12297" width="18.109375" style="20" customWidth="1"/>
    <col min="12298" max="12299" width="25" style="20" customWidth="1"/>
    <col min="12300" max="12300" width="13.109375" style="20" bestFit="1" customWidth="1"/>
    <col min="12301" max="12301" width="15.5546875" style="20" bestFit="1" customWidth="1"/>
    <col min="12302" max="12549" width="11.5546875" style="20"/>
    <col min="12550" max="12550" width="17.109375" style="20" customWidth="1"/>
    <col min="12551" max="12551" width="72.109375" style="20" customWidth="1"/>
    <col min="12552" max="12552" width="18" style="20" customWidth="1"/>
    <col min="12553" max="12553" width="18.109375" style="20" customWidth="1"/>
    <col min="12554" max="12555" width="25" style="20" customWidth="1"/>
    <col min="12556" max="12556" width="13.109375" style="20" bestFit="1" customWidth="1"/>
    <col min="12557" max="12557" width="15.5546875" style="20" bestFit="1" customWidth="1"/>
    <col min="12558" max="12805" width="11.5546875" style="20"/>
    <col min="12806" max="12806" width="17.109375" style="20" customWidth="1"/>
    <col min="12807" max="12807" width="72.109375" style="20" customWidth="1"/>
    <col min="12808" max="12808" width="18" style="20" customWidth="1"/>
    <col min="12809" max="12809" width="18.109375" style="20" customWidth="1"/>
    <col min="12810" max="12811" width="25" style="20" customWidth="1"/>
    <col min="12812" max="12812" width="13.109375" style="20" bestFit="1" customWidth="1"/>
    <col min="12813" max="12813" width="15.5546875" style="20" bestFit="1" customWidth="1"/>
    <col min="12814" max="13061" width="11.5546875" style="20"/>
    <col min="13062" max="13062" width="17.109375" style="20" customWidth="1"/>
    <col min="13063" max="13063" width="72.109375" style="20" customWidth="1"/>
    <col min="13064" max="13064" width="18" style="20" customWidth="1"/>
    <col min="13065" max="13065" width="18.109375" style="20" customWidth="1"/>
    <col min="13066" max="13067" width="25" style="20" customWidth="1"/>
    <col min="13068" max="13068" width="13.109375" style="20" bestFit="1" customWidth="1"/>
    <col min="13069" max="13069" width="15.5546875" style="20" bestFit="1" customWidth="1"/>
    <col min="13070" max="13317" width="11.5546875" style="20"/>
    <col min="13318" max="13318" width="17.109375" style="20" customWidth="1"/>
    <col min="13319" max="13319" width="72.109375" style="20" customWidth="1"/>
    <col min="13320" max="13320" width="18" style="20" customWidth="1"/>
    <col min="13321" max="13321" width="18.109375" style="20" customWidth="1"/>
    <col min="13322" max="13323" width="25" style="20" customWidth="1"/>
    <col min="13324" max="13324" width="13.109375" style="20" bestFit="1" customWidth="1"/>
    <col min="13325" max="13325" width="15.5546875" style="20" bestFit="1" customWidth="1"/>
    <col min="13326" max="13573" width="11.5546875" style="20"/>
    <col min="13574" max="13574" width="17.109375" style="20" customWidth="1"/>
    <col min="13575" max="13575" width="72.109375" style="20" customWidth="1"/>
    <col min="13576" max="13576" width="18" style="20" customWidth="1"/>
    <col min="13577" max="13577" width="18.109375" style="20" customWidth="1"/>
    <col min="13578" max="13579" width="25" style="20" customWidth="1"/>
    <col min="13580" max="13580" width="13.109375" style="20" bestFit="1" customWidth="1"/>
    <col min="13581" max="13581" width="15.5546875" style="20" bestFit="1" customWidth="1"/>
    <col min="13582" max="13829" width="11.5546875" style="20"/>
    <col min="13830" max="13830" width="17.109375" style="20" customWidth="1"/>
    <col min="13831" max="13831" width="72.109375" style="20" customWidth="1"/>
    <col min="13832" max="13832" width="18" style="20" customWidth="1"/>
    <col min="13833" max="13833" width="18.109375" style="20" customWidth="1"/>
    <col min="13834" max="13835" width="25" style="20" customWidth="1"/>
    <col min="13836" max="13836" width="13.109375" style="20" bestFit="1" customWidth="1"/>
    <col min="13837" max="13837" width="15.5546875" style="20" bestFit="1" customWidth="1"/>
    <col min="13838" max="14085" width="11.5546875" style="20"/>
    <col min="14086" max="14086" width="17.109375" style="20" customWidth="1"/>
    <col min="14087" max="14087" width="72.109375" style="20" customWidth="1"/>
    <col min="14088" max="14088" width="18" style="20" customWidth="1"/>
    <col min="14089" max="14089" width="18.109375" style="20" customWidth="1"/>
    <col min="14090" max="14091" width="25" style="20" customWidth="1"/>
    <col min="14092" max="14092" width="13.109375" style="20" bestFit="1" customWidth="1"/>
    <col min="14093" max="14093" width="15.5546875" style="20" bestFit="1" customWidth="1"/>
    <col min="14094" max="14341" width="11.5546875" style="20"/>
    <col min="14342" max="14342" width="17.109375" style="20" customWidth="1"/>
    <col min="14343" max="14343" width="72.109375" style="20" customWidth="1"/>
    <col min="14344" max="14344" width="18" style="20" customWidth="1"/>
    <col min="14345" max="14345" width="18.109375" style="20" customWidth="1"/>
    <col min="14346" max="14347" width="25" style="20" customWidth="1"/>
    <col min="14348" max="14348" width="13.109375" style="20" bestFit="1" customWidth="1"/>
    <col min="14349" max="14349" width="15.5546875" style="20" bestFit="1" customWidth="1"/>
    <col min="14350" max="14597" width="11.5546875" style="20"/>
    <col min="14598" max="14598" width="17.109375" style="20" customWidth="1"/>
    <col min="14599" max="14599" width="72.109375" style="20" customWidth="1"/>
    <col min="14600" max="14600" width="18" style="20" customWidth="1"/>
    <col min="14601" max="14601" width="18.109375" style="20" customWidth="1"/>
    <col min="14602" max="14603" width="25" style="20" customWidth="1"/>
    <col min="14604" max="14604" width="13.109375" style="20" bestFit="1" customWidth="1"/>
    <col min="14605" max="14605" width="15.5546875" style="20" bestFit="1" customWidth="1"/>
    <col min="14606" max="14853" width="11.5546875" style="20"/>
    <col min="14854" max="14854" width="17.109375" style="20" customWidth="1"/>
    <col min="14855" max="14855" width="72.109375" style="20" customWidth="1"/>
    <col min="14856" max="14856" width="18" style="20" customWidth="1"/>
    <col min="14857" max="14857" width="18.109375" style="20" customWidth="1"/>
    <col min="14858" max="14859" width="25" style="20" customWidth="1"/>
    <col min="14860" max="14860" width="13.109375" style="20" bestFit="1" customWidth="1"/>
    <col min="14861" max="14861" width="15.5546875" style="20" bestFit="1" customWidth="1"/>
    <col min="14862" max="15109" width="11.5546875" style="20"/>
    <col min="15110" max="15110" width="17.109375" style="20" customWidth="1"/>
    <col min="15111" max="15111" width="72.109375" style="20" customWidth="1"/>
    <col min="15112" max="15112" width="18" style="20" customWidth="1"/>
    <col min="15113" max="15113" width="18.109375" style="20" customWidth="1"/>
    <col min="15114" max="15115" width="25" style="20" customWidth="1"/>
    <col min="15116" max="15116" width="13.109375" style="20" bestFit="1" customWidth="1"/>
    <col min="15117" max="15117" width="15.5546875" style="20" bestFit="1" customWidth="1"/>
    <col min="15118" max="15365" width="11.5546875" style="20"/>
    <col min="15366" max="15366" width="17.109375" style="20" customWidth="1"/>
    <col min="15367" max="15367" width="72.109375" style="20" customWidth="1"/>
    <col min="15368" max="15368" width="18" style="20" customWidth="1"/>
    <col min="15369" max="15369" width="18.109375" style="20" customWidth="1"/>
    <col min="15370" max="15371" width="25" style="20" customWidth="1"/>
    <col min="15372" max="15372" width="13.109375" style="20" bestFit="1" customWidth="1"/>
    <col min="15373" max="15373" width="15.5546875" style="20" bestFit="1" customWidth="1"/>
    <col min="15374" max="15621" width="11.5546875" style="20"/>
    <col min="15622" max="15622" width="17.109375" style="20" customWidth="1"/>
    <col min="15623" max="15623" width="72.109375" style="20" customWidth="1"/>
    <col min="15624" max="15624" width="18" style="20" customWidth="1"/>
    <col min="15625" max="15625" width="18.109375" style="20" customWidth="1"/>
    <col min="15626" max="15627" width="25" style="20" customWidth="1"/>
    <col min="15628" max="15628" width="13.109375" style="20" bestFit="1" customWidth="1"/>
    <col min="15629" max="15629" width="15.5546875" style="20" bestFit="1" customWidth="1"/>
    <col min="15630" max="15877" width="11.5546875" style="20"/>
    <col min="15878" max="15878" width="17.109375" style="20" customWidth="1"/>
    <col min="15879" max="15879" width="72.109375" style="20" customWidth="1"/>
    <col min="15880" max="15880" width="18" style="20" customWidth="1"/>
    <col min="15881" max="15881" width="18.109375" style="20" customWidth="1"/>
    <col min="15882" max="15883" width="25" style="20" customWidth="1"/>
    <col min="15884" max="15884" width="13.109375" style="20" bestFit="1" customWidth="1"/>
    <col min="15885" max="15885" width="15.5546875" style="20" bestFit="1" customWidth="1"/>
    <col min="15886" max="16133" width="11.5546875" style="20"/>
    <col min="16134" max="16134" width="17.109375" style="20" customWidth="1"/>
    <col min="16135" max="16135" width="72.109375" style="20" customWidth="1"/>
    <col min="16136" max="16136" width="18" style="20" customWidth="1"/>
    <col min="16137" max="16137" width="18.109375" style="20" customWidth="1"/>
    <col min="16138" max="16139" width="25" style="20" customWidth="1"/>
    <col min="16140" max="16140" width="13.109375" style="20" bestFit="1" customWidth="1"/>
    <col min="16141" max="16141" width="15.5546875" style="20" bestFit="1" customWidth="1"/>
    <col min="16142" max="16384" width="11.5546875" style="20"/>
  </cols>
  <sheetData>
    <row r="1" spans="1:13" s="7" customForma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2" t="s">
        <v>10</v>
      </c>
      <c r="L1" s="5" t="s">
        <v>11</v>
      </c>
      <c r="M1" s="6" t="s">
        <v>12</v>
      </c>
    </row>
    <row r="2" spans="1:13" s="7" customFormat="1" ht="31.2" customHeight="1" thickBot="1">
      <c r="A2" s="8"/>
      <c r="B2" s="9"/>
      <c r="C2" s="9"/>
      <c r="D2" s="10" t="s">
        <v>13</v>
      </c>
      <c r="E2" s="10" t="s">
        <v>13</v>
      </c>
      <c r="F2" s="10" t="s">
        <v>13</v>
      </c>
      <c r="G2" s="10" t="s">
        <v>13</v>
      </c>
      <c r="H2" s="10" t="s">
        <v>13</v>
      </c>
      <c r="I2" s="10" t="s">
        <v>13</v>
      </c>
      <c r="J2" s="11"/>
      <c r="K2" s="9"/>
      <c r="L2" s="12"/>
      <c r="M2" s="13"/>
    </row>
    <row r="3" spans="1:13" ht="28.5" customHeight="1">
      <c r="A3" s="14">
        <v>3</v>
      </c>
      <c r="B3" s="15" t="s">
        <v>14</v>
      </c>
      <c r="C3" s="16"/>
      <c r="D3" s="16"/>
      <c r="E3" s="16"/>
      <c r="F3" s="16"/>
      <c r="G3" s="16"/>
      <c r="H3" s="16"/>
      <c r="I3" s="16"/>
      <c r="J3" s="17"/>
      <c r="K3" s="18"/>
      <c r="L3" s="17"/>
      <c r="M3" s="19"/>
    </row>
    <row r="4" spans="1:13" ht="21" customHeight="1">
      <c r="A4" s="21" t="s">
        <v>15</v>
      </c>
      <c r="B4" s="22" t="s">
        <v>16</v>
      </c>
      <c r="C4" s="23"/>
      <c r="D4" s="23"/>
      <c r="E4" s="23"/>
      <c r="F4" s="23"/>
      <c r="G4" s="23"/>
      <c r="H4" s="23"/>
      <c r="I4" s="23"/>
      <c r="J4" s="24"/>
      <c r="K4" s="25"/>
      <c r="L4" s="24"/>
      <c r="M4" s="26"/>
    </row>
    <row r="5" spans="1:13" ht="19.8" customHeight="1">
      <c r="A5" s="27" t="s">
        <v>17</v>
      </c>
      <c r="B5" s="28" t="s">
        <v>18</v>
      </c>
      <c r="C5" s="29"/>
      <c r="D5" s="29"/>
      <c r="E5" s="29"/>
      <c r="F5" s="29"/>
      <c r="G5" s="29"/>
      <c r="H5" s="29"/>
      <c r="I5" s="29"/>
      <c r="J5" s="30"/>
      <c r="K5" s="31"/>
      <c r="L5" s="32"/>
      <c r="M5" s="33"/>
    </row>
    <row r="6" spans="1:13" ht="33" customHeight="1">
      <c r="A6" s="34" t="s">
        <v>19</v>
      </c>
      <c r="B6" s="35" t="s">
        <v>20</v>
      </c>
      <c r="C6" s="36" t="s">
        <v>21</v>
      </c>
      <c r="D6" s="36"/>
      <c r="E6" s="36"/>
      <c r="F6" s="36">
        <v>2</v>
      </c>
      <c r="G6" s="36"/>
      <c r="H6" s="36"/>
      <c r="I6" s="36"/>
      <c r="J6" s="30">
        <f>SUM(D6:I6)</f>
        <v>2</v>
      </c>
      <c r="K6" s="31">
        <f>J6</f>
        <v>2</v>
      </c>
      <c r="L6" s="37"/>
      <c r="M6" s="33">
        <f>+K6*L6</f>
        <v>0</v>
      </c>
    </row>
    <row r="7" spans="1:13" ht="33" customHeight="1">
      <c r="A7" s="34" t="s">
        <v>22</v>
      </c>
      <c r="B7" s="35" t="s">
        <v>23</v>
      </c>
      <c r="C7" s="36" t="s">
        <v>21</v>
      </c>
      <c r="D7" s="36"/>
      <c r="E7" s="36"/>
      <c r="F7" s="36">
        <v>2</v>
      </c>
      <c r="G7" s="36"/>
      <c r="H7" s="36"/>
      <c r="I7" s="36">
        <v>2</v>
      </c>
      <c r="J7" s="30">
        <f t="shared" ref="J7:J49" si="0">SUM(D7:I7)</f>
        <v>4</v>
      </c>
      <c r="K7" s="31">
        <f t="shared" ref="K7:K14" si="1">J7</f>
        <v>4</v>
      </c>
      <c r="L7" s="37"/>
      <c r="M7" s="33">
        <f>+K7*L7</f>
        <v>0</v>
      </c>
    </row>
    <row r="8" spans="1:13" ht="33.6" customHeight="1">
      <c r="A8" s="34" t="s">
        <v>24</v>
      </c>
      <c r="B8" s="38" t="s">
        <v>25</v>
      </c>
      <c r="C8" s="39" t="s">
        <v>21</v>
      </c>
      <c r="D8" s="39"/>
      <c r="E8" s="39"/>
      <c r="F8" s="39">
        <v>4</v>
      </c>
      <c r="G8" s="39"/>
      <c r="H8" s="39"/>
      <c r="I8" s="39"/>
      <c r="J8" s="30">
        <f t="shared" si="0"/>
        <v>4</v>
      </c>
      <c r="K8" s="31">
        <f t="shared" si="1"/>
        <v>4</v>
      </c>
      <c r="L8" s="37"/>
      <c r="M8" s="33">
        <f>+K8*L8</f>
        <v>0</v>
      </c>
    </row>
    <row r="9" spans="1:13" ht="19.8" customHeight="1">
      <c r="A9" s="27" t="s">
        <v>26</v>
      </c>
      <c r="B9" s="28" t="s">
        <v>27</v>
      </c>
      <c r="C9" s="29"/>
      <c r="D9" s="29"/>
      <c r="E9" s="29"/>
      <c r="F9" s="29"/>
      <c r="G9" s="29"/>
      <c r="H9" s="29"/>
      <c r="I9" s="29"/>
      <c r="J9" s="30"/>
      <c r="K9" s="31"/>
      <c r="L9" s="32"/>
      <c r="M9" s="33"/>
    </row>
    <row r="10" spans="1:13" ht="27.6">
      <c r="A10" s="40" t="s">
        <v>28</v>
      </c>
      <c r="B10" s="41" t="s">
        <v>29</v>
      </c>
      <c r="C10" s="36" t="s">
        <v>21</v>
      </c>
      <c r="D10" s="36"/>
      <c r="E10" s="36"/>
      <c r="F10" s="31">
        <v>2</v>
      </c>
      <c r="G10" s="36"/>
      <c r="H10" s="36"/>
      <c r="I10" s="36"/>
      <c r="J10" s="30">
        <f t="shared" si="0"/>
        <v>2</v>
      </c>
      <c r="K10" s="31">
        <f t="shared" si="1"/>
        <v>2</v>
      </c>
      <c r="L10" s="37"/>
      <c r="M10" s="33">
        <f>+K10*L10</f>
        <v>0</v>
      </c>
    </row>
    <row r="11" spans="1:13" ht="27.6">
      <c r="A11" s="40" t="s">
        <v>30</v>
      </c>
      <c r="B11" s="41" t="s">
        <v>31</v>
      </c>
      <c r="C11" s="36" t="s">
        <v>21</v>
      </c>
      <c r="D11" s="36"/>
      <c r="E11" s="36"/>
      <c r="F11" s="31">
        <v>2</v>
      </c>
      <c r="G11" s="31"/>
      <c r="H11" s="31"/>
      <c r="I11" s="31"/>
      <c r="J11" s="30">
        <f t="shared" si="0"/>
        <v>2</v>
      </c>
      <c r="K11" s="31">
        <f t="shared" si="1"/>
        <v>2</v>
      </c>
      <c r="L11" s="37"/>
      <c r="M11" s="33">
        <f>+K11*L11</f>
        <v>0</v>
      </c>
    </row>
    <row r="12" spans="1:13" ht="27.6">
      <c r="A12" s="40" t="s">
        <v>32</v>
      </c>
      <c r="B12" s="41" t="s">
        <v>33</v>
      </c>
      <c r="C12" s="36" t="s">
        <v>21</v>
      </c>
      <c r="D12" s="36"/>
      <c r="E12" s="36"/>
      <c r="F12" s="31"/>
      <c r="G12" s="31"/>
      <c r="H12" s="31"/>
      <c r="I12" s="31">
        <v>2</v>
      </c>
      <c r="J12" s="30">
        <f t="shared" si="0"/>
        <v>2</v>
      </c>
      <c r="K12" s="31">
        <f t="shared" si="1"/>
        <v>2</v>
      </c>
      <c r="L12" s="37"/>
      <c r="M12" s="33">
        <f>+K12*L12</f>
        <v>0</v>
      </c>
    </row>
    <row r="13" spans="1:13" ht="27.6">
      <c r="A13" s="40" t="s">
        <v>34</v>
      </c>
      <c r="B13" s="41" t="s">
        <v>35</v>
      </c>
      <c r="C13" s="36" t="s">
        <v>21</v>
      </c>
      <c r="D13" s="36"/>
      <c r="E13" s="36"/>
      <c r="F13" s="31">
        <v>2</v>
      </c>
      <c r="G13" s="31"/>
      <c r="H13" s="31"/>
      <c r="I13" s="31">
        <v>2</v>
      </c>
      <c r="J13" s="30">
        <f t="shared" si="0"/>
        <v>4</v>
      </c>
      <c r="K13" s="31">
        <f t="shared" si="1"/>
        <v>4</v>
      </c>
      <c r="L13" s="37"/>
      <c r="M13" s="33">
        <f>+K13*L13</f>
        <v>0</v>
      </c>
    </row>
    <row r="14" spans="1:13" ht="27.6">
      <c r="A14" s="40" t="s">
        <v>36</v>
      </c>
      <c r="B14" s="41" t="s">
        <v>37</v>
      </c>
      <c r="C14" s="36" t="s">
        <v>21</v>
      </c>
      <c r="D14" s="36"/>
      <c r="E14" s="36"/>
      <c r="F14" s="31"/>
      <c r="G14" s="31"/>
      <c r="H14" s="31"/>
      <c r="I14" s="31">
        <v>1</v>
      </c>
      <c r="J14" s="30">
        <f t="shared" si="0"/>
        <v>1</v>
      </c>
      <c r="K14" s="31">
        <f t="shared" si="1"/>
        <v>1</v>
      </c>
      <c r="L14" s="37"/>
      <c r="M14" s="33">
        <f>+K14*L14</f>
        <v>0</v>
      </c>
    </row>
    <row r="15" spans="1:13" s="48" customFormat="1" ht="21" customHeight="1">
      <c r="A15" s="42"/>
      <c r="B15" s="43" t="s">
        <v>38</v>
      </c>
      <c r="C15" s="44"/>
      <c r="D15" s="44"/>
      <c r="E15" s="44"/>
      <c r="F15" s="30"/>
      <c r="G15" s="30"/>
      <c r="H15" s="30"/>
      <c r="I15" s="30"/>
      <c r="J15" s="30"/>
      <c r="K15" s="45"/>
      <c r="L15" s="46"/>
      <c r="M15" s="47">
        <f>SUM(M6:M14)</f>
        <v>0</v>
      </c>
    </row>
    <row r="16" spans="1:13" ht="22.95" customHeight="1">
      <c r="A16" s="27" t="s">
        <v>39</v>
      </c>
      <c r="B16" s="28" t="s">
        <v>40</v>
      </c>
      <c r="C16" s="29"/>
      <c r="D16" s="29"/>
      <c r="E16" s="29"/>
      <c r="F16" s="29"/>
      <c r="G16" s="29"/>
      <c r="H16" s="29"/>
      <c r="I16" s="29"/>
      <c r="J16" s="30"/>
      <c r="K16" s="31"/>
      <c r="L16" s="32"/>
      <c r="M16" s="33"/>
    </row>
    <row r="17" spans="1:13" ht="22.95" customHeight="1">
      <c r="A17" s="27" t="s">
        <v>41</v>
      </c>
      <c r="B17" s="28" t="s">
        <v>42</v>
      </c>
      <c r="C17" s="29"/>
      <c r="D17" s="29"/>
      <c r="E17" s="29"/>
      <c r="F17" s="29"/>
      <c r="G17" s="29"/>
      <c r="H17" s="29"/>
      <c r="I17" s="29"/>
      <c r="J17" s="30"/>
      <c r="K17" s="31"/>
      <c r="L17" s="32"/>
      <c r="M17" s="33"/>
    </row>
    <row r="18" spans="1:13" ht="36" customHeight="1">
      <c r="A18" s="49" t="s">
        <v>43</v>
      </c>
      <c r="B18" s="38" t="s">
        <v>44</v>
      </c>
      <c r="C18" s="50" t="s">
        <v>45</v>
      </c>
      <c r="D18" s="50"/>
      <c r="E18" s="50"/>
      <c r="F18" s="50">
        <v>20</v>
      </c>
      <c r="G18" s="50"/>
      <c r="H18" s="50"/>
      <c r="I18" s="50"/>
      <c r="J18" s="30">
        <f t="shared" si="0"/>
        <v>20</v>
      </c>
      <c r="K18" s="30">
        <f>ROUNDUP(J18*1.1,0)</f>
        <v>22</v>
      </c>
      <c r="L18" s="51"/>
      <c r="M18" s="33">
        <f>+K18*L18</f>
        <v>0</v>
      </c>
    </row>
    <row r="19" spans="1:13" ht="36" customHeight="1">
      <c r="A19" s="49" t="s">
        <v>46</v>
      </c>
      <c r="B19" s="38" t="s">
        <v>47</v>
      </c>
      <c r="C19" s="50" t="s">
        <v>45</v>
      </c>
      <c r="D19" s="50"/>
      <c r="E19" s="50"/>
      <c r="F19" s="50">
        <v>20</v>
      </c>
      <c r="G19" s="50"/>
      <c r="H19" s="50"/>
      <c r="I19" s="50"/>
      <c r="J19" s="30">
        <f t="shared" ref="J19" si="2">SUM(D19:I19)</f>
        <v>20</v>
      </c>
      <c r="K19" s="30">
        <f>ROUNDUP(J19*1.1,0)</f>
        <v>22</v>
      </c>
      <c r="L19" s="51"/>
      <c r="M19" s="33">
        <f>+K19*L19</f>
        <v>0</v>
      </c>
    </row>
    <row r="20" spans="1:13" ht="22.95" customHeight="1">
      <c r="A20" s="27" t="s">
        <v>48</v>
      </c>
      <c r="B20" s="28" t="s">
        <v>49</v>
      </c>
      <c r="C20" s="29"/>
      <c r="D20" s="29"/>
      <c r="E20" s="29"/>
      <c r="F20" s="29"/>
      <c r="G20" s="29"/>
      <c r="H20" s="29"/>
      <c r="I20" s="29"/>
      <c r="J20" s="30"/>
      <c r="K20" s="30"/>
      <c r="L20" s="32"/>
      <c r="M20" s="33"/>
    </row>
    <row r="21" spans="1:13" ht="22.95" customHeight="1">
      <c r="A21" s="27" t="s">
        <v>50</v>
      </c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30"/>
      <c r="L21" s="32"/>
      <c r="M21" s="33"/>
    </row>
    <row r="22" spans="1:13" ht="32.4" customHeight="1">
      <c r="A22" s="52" t="s">
        <v>52</v>
      </c>
      <c r="B22" s="53" t="s">
        <v>53</v>
      </c>
      <c r="C22" s="50" t="s">
        <v>45</v>
      </c>
      <c r="D22" s="50"/>
      <c r="E22" s="31"/>
      <c r="F22" s="31">
        <v>1585</v>
      </c>
      <c r="G22" s="31"/>
      <c r="H22" s="31"/>
      <c r="I22" s="31">
        <v>1785</v>
      </c>
      <c r="J22" s="30">
        <f t="shared" si="0"/>
        <v>3370</v>
      </c>
      <c r="K22" s="30">
        <f t="shared" ref="K22:K30" si="3">ROUNDUP(J22*1.1,0)</f>
        <v>3707</v>
      </c>
      <c r="L22" s="51"/>
      <c r="M22" s="33">
        <f t="shared" ref="M22:M27" si="4">+K22*L22</f>
        <v>0</v>
      </c>
    </row>
    <row r="23" spans="1:13" ht="32.4" customHeight="1">
      <c r="A23" s="52" t="s">
        <v>54</v>
      </c>
      <c r="B23" s="53" t="s">
        <v>55</v>
      </c>
      <c r="C23" s="50" t="s">
        <v>45</v>
      </c>
      <c r="D23" s="50"/>
      <c r="E23" s="31"/>
      <c r="F23" s="31">
        <v>1350</v>
      </c>
      <c r="G23" s="31"/>
      <c r="H23" s="31"/>
      <c r="I23" s="31">
        <v>590</v>
      </c>
      <c r="J23" s="30">
        <f t="shared" si="0"/>
        <v>1940</v>
      </c>
      <c r="K23" s="30">
        <f t="shared" si="3"/>
        <v>2134</v>
      </c>
      <c r="L23" s="51"/>
      <c r="M23" s="33">
        <f t="shared" si="4"/>
        <v>0</v>
      </c>
    </row>
    <row r="24" spans="1:13" ht="32.4" customHeight="1">
      <c r="A24" s="52" t="s">
        <v>56</v>
      </c>
      <c r="B24" s="53" t="s">
        <v>57</v>
      </c>
      <c r="C24" s="50" t="s">
        <v>45</v>
      </c>
      <c r="D24" s="50"/>
      <c r="E24" s="31">
        <v>30</v>
      </c>
      <c r="F24" s="31">
        <v>1360</v>
      </c>
      <c r="G24" s="31"/>
      <c r="H24" s="31">
        <v>990</v>
      </c>
      <c r="I24" s="31">
        <v>1550</v>
      </c>
      <c r="J24" s="30">
        <f t="shared" si="0"/>
        <v>3930</v>
      </c>
      <c r="K24" s="30">
        <f t="shared" si="3"/>
        <v>4323</v>
      </c>
      <c r="L24" s="51"/>
      <c r="M24" s="33">
        <f t="shared" si="4"/>
        <v>0</v>
      </c>
    </row>
    <row r="25" spans="1:13" ht="32.4" customHeight="1">
      <c r="A25" s="52" t="s">
        <v>58</v>
      </c>
      <c r="B25" s="53" t="s">
        <v>59</v>
      </c>
      <c r="C25" s="50" t="s">
        <v>45</v>
      </c>
      <c r="D25" s="50"/>
      <c r="E25" s="31">
        <v>1480</v>
      </c>
      <c r="F25" s="31">
        <v>900</v>
      </c>
      <c r="G25" s="31"/>
      <c r="H25" s="31"/>
      <c r="I25" s="31"/>
      <c r="J25" s="30">
        <f t="shared" si="0"/>
        <v>2380</v>
      </c>
      <c r="K25" s="30">
        <f t="shared" si="3"/>
        <v>2618</v>
      </c>
      <c r="L25" s="51"/>
      <c r="M25" s="33">
        <f t="shared" si="4"/>
        <v>0</v>
      </c>
    </row>
    <row r="26" spans="1:13" ht="32.4" customHeight="1">
      <c r="A26" s="52" t="s">
        <v>60</v>
      </c>
      <c r="B26" s="53" t="s">
        <v>61</v>
      </c>
      <c r="C26" s="50" t="s">
        <v>45</v>
      </c>
      <c r="D26" s="50"/>
      <c r="E26" s="31">
        <v>90</v>
      </c>
      <c r="F26" s="31"/>
      <c r="G26" s="31"/>
      <c r="H26" s="31">
        <v>80</v>
      </c>
      <c r="I26" s="31"/>
      <c r="J26" s="30">
        <f t="shared" si="0"/>
        <v>170</v>
      </c>
      <c r="K26" s="30">
        <f t="shared" si="3"/>
        <v>187</v>
      </c>
      <c r="L26" s="51"/>
      <c r="M26" s="33">
        <f t="shared" si="4"/>
        <v>0</v>
      </c>
    </row>
    <row r="27" spans="1:13" ht="32.4" customHeight="1">
      <c r="A27" s="52" t="s">
        <v>62</v>
      </c>
      <c r="B27" s="53" t="s">
        <v>63</v>
      </c>
      <c r="C27" s="50" t="s">
        <v>45</v>
      </c>
      <c r="D27" s="50"/>
      <c r="E27" s="31">
        <v>75</v>
      </c>
      <c r="F27" s="31"/>
      <c r="G27" s="31"/>
      <c r="H27" s="31"/>
      <c r="I27" s="31"/>
      <c r="J27" s="30">
        <f t="shared" si="0"/>
        <v>75</v>
      </c>
      <c r="K27" s="30">
        <f t="shared" si="3"/>
        <v>83</v>
      </c>
      <c r="L27" s="51"/>
      <c r="M27" s="33">
        <f t="shared" si="4"/>
        <v>0</v>
      </c>
    </row>
    <row r="28" spans="1:13" ht="22.95" customHeight="1">
      <c r="A28" s="27" t="s">
        <v>64</v>
      </c>
      <c r="B28" s="28" t="s">
        <v>65</v>
      </c>
      <c r="C28" s="29"/>
      <c r="D28" s="29"/>
      <c r="E28" s="29"/>
      <c r="F28" s="29"/>
      <c r="G28" s="29"/>
      <c r="H28" s="29"/>
      <c r="I28" s="29"/>
      <c r="J28" s="30"/>
      <c r="K28" s="30"/>
      <c r="L28" s="32"/>
      <c r="M28" s="33"/>
    </row>
    <row r="29" spans="1:13" ht="32.4" customHeight="1">
      <c r="A29" s="52" t="s">
        <v>66</v>
      </c>
      <c r="B29" s="53" t="s">
        <v>67</v>
      </c>
      <c r="C29" s="50" t="s">
        <v>45</v>
      </c>
      <c r="D29" s="50"/>
      <c r="E29" s="50"/>
      <c r="F29" s="50">
        <v>4635</v>
      </c>
      <c r="G29" s="50"/>
      <c r="H29" s="50"/>
      <c r="I29" s="50">
        <v>2185</v>
      </c>
      <c r="J29" s="30">
        <f t="shared" si="0"/>
        <v>6820</v>
      </c>
      <c r="K29" s="30">
        <f t="shared" si="3"/>
        <v>7502</v>
      </c>
      <c r="L29" s="37"/>
      <c r="M29" s="33">
        <f>+K29*L29</f>
        <v>0</v>
      </c>
    </row>
    <row r="30" spans="1:13" ht="32.4" customHeight="1">
      <c r="A30" s="52" t="s">
        <v>68</v>
      </c>
      <c r="B30" s="53" t="s">
        <v>69</v>
      </c>
      <c r="C30" s="50" t="s">
        <v>45</v>
      </c>
      <c r="D30" s="50"/>
      <c r="E30" s="50"/>
      <c r="F30" s="50">
        <v>1830</v>
      </c>
      <c r="G30" s="50"/>
      <c r="H30" s="50"/>
      <c r="I30" s="50">
        <v>860</v>
      </c>
      <c r="J30" s="30">
        <f t="shared" si="0"/>
        <v>2690</v>
      </c>
      <c r="K30" s="30">
        <f t="shared" si="3"/>
        <v>2959</v>
      </c>
      <c r="L30" s="37"/>
      <c r="M30" s="33">
        <f>+K30*L30</f>
        <v>0</v>
      </c>
    </row>
    <row r="31" spans="1:13" ht="27.6">
      <c r="A31" s="52" t="s">
        <v>70</v>
      </c>
      <c r="B31" s="53" t="s">
        <v>71</v>
      </c>
      <c r="C31" s="39" t="s">
        <v>21</v>
      </c>
      <c r="D31" s="39"/>
      <c r="E31" s="39"/>
      <c r="F31" s="54">
        <f>74+80+21+80</f>
        <v>255</v>
      </c>
      <c r="G31" s="54"/>
      <c r="H31" s="54"/>
      <c r="I31" s="54">
        <f>5+82+4</f>
        <v>91</v>
      </c>
      <c r="J31" s="30">
        <f t="shared" si="0"/>
        <v>346</v>
      </c>
      <c r="K31" s="30">
        <f t="shared" ref="K31:K36" si="5">J31</f>
        <v>346</v>
      </c>
      <c r="L31" s="37"/>
      <c r="M31" s="33">
        <f>+K31*L31</f>
        <v>0</v>
      </c>
    </row>
    <row r="32" spans="1:13" ht="22.95" customHeight="1">
      <c r="A32" s="55" t="s">
        <v>72</v>
      </c>
      <c r="B32" s="28" t="s">
        <v>73</v>
      </c>
      <c r="C32" s="29"/>
      <c r="D32" s="29"/>
      <c r="E32" s="29"/>
      <c r="F32" s="29"/>
      <c r="G32" s="29"/>
      <c r="H32" s="29"/>
      <c r="I32" s="29"/>
      <c r="J32" s="30"/>
      <c r="K32" s="30"/>
      <c r="L32" s="32"/>
      <c r="M32" s="33"/>
    </row>
    <row r="33" spans="1:13" ht="32.4" customHeight="1">
      <c r="A33" s="52" t="s">
        <v>74</v>
      </c>
      <c r="B33" s="53" t="s">
        <v>75</v>
      </c>
      <c r="C33" s="39" t="s">
        <v>21</v>
      </c>
      <c r="D33" s="39"/>
      <c r="E33" s="39"/>
      <c r="F33" s="31"/>
      <c r="G33" s="31"/>
      <c r="H33" s="31"/>
      <c r="I33" s="31">
        <v>148</v>
      </c>
      <c r="J33" s="30">
        <f t="shared" si="0"/>
        <v>148</v>
      </c>
      <c r="K33" s="30">
        <f t="shared" si="5"/>
        <v>148</v>
      </c>
      <c r="L33" s="37"/>
      <c r="M33" s="33">
        <f>+K33*L33</f>
        <v>0</v>
      </c>
    </row>
    <row r="34" spans="1:13" ht="32.4" customHeight="1">
      <c r="A34" s="52" t="s">
        <v>76</v>
      </c>
      <c r="B34" s="53" t="s">
        <v>77</v>
      </c>
      <c r="C34" s="39" t="s">
        <v>21</v>
      </c>
      <c r="D34" s="39"/>
      <c r="E34" s="39"/>
      <c r="F34" s="31">
        <v>177</v>
      </c>
      <c r="G34" s="31"/>
      <c r="H34" s="31"/>
      <c r="I34" s="31"/>
      <c r="J34" s="30">
        <f t="shared" si="0"/>
        <v>177</v>
      </c>
      <c r="K34" s="30">
        <f t="shared" si="5"/>
        <v>177</v>
      </c>
      <c r="L34" s="37"/>
      <c r="M34" s="33">
        <f>+K34*L34</f>
        <v>0</v>
      </c>
    </row>
    <row r="35" spans="1:13" ht="32.4" customHeight="1">
      <c r="A35" s="52" t="s">
        <v>78</v>
      </c>
      <c r="B35" s="53" t="s">
        <v>79</v>
      </c>
      <c r="C35" s="39" t="s">
        <v>21</v>
      </c>
      <c r="D35" s="39"/>
      <c r="E35" s="39"/>
      <c r="F35" s="39">
        <v>4</v>
      </c>
      <c r="G35" s="39"/>
      <c r="H35" s="39"/>
      <c r="I35" s="39"/>
      <c r="J35" s="30">
        <f t="shared" si="0"/>
        <v>4</v>
      </c>
      <c r="K35" s="30">
        <f t="shared" si="5"/>
        <v>4</v>
      </c>
      <c r="L35" s="37"/>
      <c r="M35" s="33">
        <f>+K35*L35</f>
        <v>0</v>
      </c>
    </row>
    <row r="36" spans="1:13" ht="32.4" customHeight="1">
      <c r="A36" s="52" t="s">
        <v>80</v>
      </c>
      <c r="B36" s="53" t="s">
        <v>81</v>
      </c>
      <c r="C36" s="56" t="s">
        <v>21</v>
      </c>
      <c r="D36" s="56"/>
      <c r="E36" s="56"/>
      <c r="F36" s="56">
        <v>25</v>
      </c>
      <c r="G36" s="56"/>
      <c r="H36" s="56"/>
      <c r="I36" s="56">
        <v>15</v>
      </c>
      <c r="J36" s="30">
        <f t="shared" si="0"/>
        <v>40</v>
      </c>
      <c r="K36" s="30">
        <f t="shared" si="5"/>
        <v>40</v>
      </c>
      <c r="L36" s="37"/>
      <c r="M36" s="33">
        <f>+K36*L36</f>
        <v>0</v>
      </c>
    </row>
    <row r="37" spans="1:13" s="48" customFormat="1" ht="21" customHeight="1">
      <c r="A37" s="42"/>
      <c r="B37" s="43" t="s">
        <v>82</v>
      </c>
      <c r="C37" s="44"/>
      <c r="D37" s="44"/>
      <c r="E37" s="44"/>
      <c r="F37" s="44"/>
      <c r="G37" s="44"/>
      <c r="H37" s="44"/>
      <c r="I37" s="44"/>
      <c r="J37" s="30"/>
      <c r="K37" s="45"/>
      <c r="L37" s="46"/>
      <c r="M37" s="47">
        <f>SUM(M18:M36)</f>
        <v>0</v>
      </c>
    </row>
    <row r="38" spans="1:13" ht="22.95" customHeight="1">
      <c r="A38" s="27" t="s">
        <v>83</v>
      </c>
      <c r="B38" s="28" t="s">
        <v>84</v>
      </c>
      <c r="C38" s="29"/>
      <c r="D38" s="29"/>
      <c r="E38" s="29"/>
      <c r="F38" s="29"/>
      <c r="G38" s="29"/>
      <c r="H38" s="29"/>
      <c r="I38" s="29"/>
      <c r="J38" s="30"/>
      <c r="K38" s="31"/>
      <c r="L38" s="32"/>
      <c r="M38" s="33"/>
    </row>
    <row r="39" spans="1:13" ht="22.95" customHeight="1">
      <c r="A39" s="27" t="s">
        <v>85</v>
      </c>
      <c r="B39" s="28" t="s">
        <v>86</v>
      </c>
      <c r="C39" s="29"/>
      <c r="D39" s="29"/>
      <c r="E39" s="29"/>
      <c r="F39" s="29"/>
      <c r="G39" s="29"/>
      <c r="H39" s="29"/>
      <c r="I39" s="29"/>
      <c r="J39" s="30"/>
      <c r="K39" s="31"/>
      <c r="L39" s="32"/>
      <c r="M39" s="33"/>
    </row>
    <row r="40" spans="1:13" ht="27.6">
      <c r="A40" s="52" t="s">
        <v>87</v>
      </c>
      <c r="B40" s="53" t="s">
        <v>88</v>
      </c>
      <c r="C40" s="39" t="s">
        <v>45</v>
      </c>
      <c r="D40" s="31"/>
      <c r="E40" s="31">
        <v>25</v>
      </c>
      <c r="F40" s="31">
        <v>445</v>
      </c>
      <c r="G40" s="31"/>
      <c r="H40" s="31"/>
      <c r="I40" s="31">
        <v>150</v>
      </c>
      <c r="J40" s="30">
        <f t="shared" si="0"/>
        <v>620</v>
      </c>
      <c r="K40" s="30">
        <f t="shared" ref="K40:K47" si="6">ROUNDUP(J40*1.1,0)</f>
        <v>682</v>
      </c>
      <c r="L40" s="37"/>
      <c r="M40" s="33">
        <f t="shared" ref="M40:M53" si="7">+K40*L40</f>
        <v>0</v>
      </c>
    </row>
    <row r="41" spans="1:13" ht="27.6">
      <c r="A41" s="52" t="s">
        <v>89</v>
      </c>
      <c r="B41" s="53" t="s">
        <v>90</v>
      </c>
      <c r="C41" s="39" t="s">
        <v>45</v>
      </c>
      <c r="D41" s="31"/>
      <c r="E41" s="31"/>
      <c r="F41" s="31">
        <v>145</v>
      </c>
      <c r="G41" s="31"/>
      <c r="H41" s="31"/>
      <c r="I41" s="31">
        <v>140</v>
      </c>
      <c r="J41" s="30">
        <f t="shared" si="0"/>
        <v>285</v>
      </c>
      <c r="K41" s="30">
        <f t="shared" si="6"/>
        <v>314</v>
      </c>
      <c r="L41" s="37"/>
      <c r="M41" s="33">
        <f t="shared" si="7"/>
        <v>0</v>
      </c>
    </row>
    <row r="42" spans="1:13" ht="27.6">
      <c r="A42" s="52" t="s">
        <v>91</v>
      </c>
      <c r="B42" s="53" t="s">
        <v>92</v>
      </c>
      <c r="C42" s="39" t="s">
        <v>45</v>
      </c>
      <c r="D42" s="31">
        <v>6</v>
      </c>
      <c r="E42" s="31">
        <v>16</v>
      </c>
      <c r="F42" s="31">
        <v>10</v>
      </c>
      <c r="G42" s="31">
        <v>5</v>
      </c>
      <c r="H42" s="31">
        <v>27</v>
      </c>
      <c r="I42" s="31">
        <v>7</v>
      </c>
      <c r="J42" s="30">
        <f t="shared" si="0"/>
        <v>71</v>
      </c>
      <c r="K42" s="30">
        <f t="shared" si="6"/>
        <v>79</v>
      </c>
      <c r="L42" s="37"/>
      <c r="M42" s="33">
        <f t="shared" si="7"/>
        <v>0</v>
      </c>
    </row>
    <row r="43" spans="1:13" ht="27.6">
      <c r="A43" s="52" t="s">
        <v>93</v>
      </c>
      <c r="B43" s="53" t="s">
        <v>94</v>
      </c>
      <c r="C43" s="39" t="s">
        <v>45</v>
      </c>
      <c r="D43" s="31">
        <v>110</v>
      </c>
      <c r="E43" s="31">
        <v>420</v>
      </c>
      <c r="F43" s="31">
        <v>2610</v>
      </c>
      <c r="G43" s="31">
        <v>55</v>
      </c>
      <c r="H43" s="31">
        <v>215</v>
      </c>
      <c r="I43" s="31">
        <v>1270</v>
      </c>
      <c r="J43" s="30">
        <f t="shared" si="0"/>
        <v>4680</v>
      </c>
      <c r="K43" s="30">
        <f t="shared" si="6"/>
        <v>5148</v>
      </c>
      <c r="L43" s="37"/>
      <c r="M43" s="33">
        <f t="shared" si="7"/>
        <v>0</v>
      </c>
    </row>
    <row r="44" spans="1:13" ht="27.6">
      <c r="A44" s="52" t="s">
        <v>95</v>
      </c>
      <c r="B44" s="53" t="s">
        <v>96</v>
      </c>
      <c r="C44" s="39" t="s">
        <v>45</v>
      </c>
      <c r="D44" s="31">
        <v>30</v>
      </c>
      <c r="E44" s="31">
        <v>200</v>
      </c>
      <c r="F44" s="31">
        <v>400</v>
      </c>
      <c r="G44" s="31">
        <v>8</v>
      </c>
      <c r="H44" s="31">
        <v>90</v>
      </c>
      <c r="I44" s="31">
        <v>460</v>
      </c>
      <c r="J44" s="30">
        <f t="shared" si="0"/>
        <v>1188</v>
      </c>
      <c r="K44" s="30">
        <f t="shared" si="6"/>
        <v>1307</v>
      </c>
      <c r="L44" s="37"/>
      <c r="M44" s="33">
        <f t="shared" si="7"/>
        <v>0</v>
      </c>
    </row>
    <row r="45" spans="1:13" ht="27.6">
      <c r="A45" s="52" t="s">
        <v>97</v>
      </c>
      <c r="B45" s="53" t="s">
        <v>98</v>
      </c>
      <c r="C45" s="39" t="s">
        <v>45</v>
      </c>
      <c r="D45" s="31"/>
      <c r="E45" s="31">
        <v>260</v>
      </c>
      <c r="F45" s="31">
        <v>430</v>
      </c>
      <c r="G45" s="31"/>
      <c r="H45" s="31">
        <v>130</v>
      </c>
      <c r="I45" s="31">
        <v>180</v>
      </c>
      <c r="J45" s="30">
        <f t="shared" si="0"/>
        <v>1000</v>
      </c>
      <c r="K45" s="30">
        <f t="shared" si="6"/>
        <v>1100</v>
      </c>
      <c r="L45" s="37"/>
      <c r="M45" s="33">
        <f t="shared" si="7"/>
        <v>0</v>
      </c>
    </row>
    <row r="46" spans="1:13" ht="27.6">
      <c r="A46" s="52" t="s">
        <v>99</v>
      </c>
      <c r="B46" s="53" t="s">
        <v>100</v>
      </c>
      <c r="C46" s="39" t="s">
        <v>45</v>
      </c>
      <c r="D46" s="31"/>
      <c r="E46" s="31">
        <v>105</v>
      </c>
      <c r="F46" s="31">
        <v>50</v>
      </c>
      <c r="G46" s="31"/>
      <c r="H46" s="31">
        <v>50</v>
      </c>
      <c r="I46" s="31"/>
      <c r="J46" s="30">
        <f t="shared" si="0"/>
        <v>205</v>
      </c>
      <c r="K46" s="30">
        <f t="shared" si="6"/>
        <v>226</v>
      </c>
      <c r="L46" s="37"/>
      <c r="M46" s="33">
        <f t="shared" si="7"/>
        <v>0</v>
      </c>
    </row>
    <row r="47" spans="1:13" ht="27.6">
      <c r="A47" s="52" t="s">
        <v>101</v>
      </c>
      <c r="B47" s="53" t="s">
        <v>102</v>
      </c>
      <c r="C47" s="39" t="s">
        <v>45</v>
      </c>
      <c r="D47" s="31"/>
      <c r="E47" s="31">
        <v>110</v>
      </c>
      <c r="F47" s="31">
        <v>30</v>
      </c>
      <c r="G47" s="31"/>
      <c r="H47" s="31">
        <v>27</v>
      </c>
      <c r="I47" s="31"/>
      <c r="J47" s="30">
        <f t="shared" si="0"/>
        <v>167</v>
      </c>
      <c r="K47" s="30">
        <f t="shared" si="6"/>
        <v>184</v>
      </c>
      <c r="L47" s="37"/>
      <c r="M47" s="33">
        <f t="shared" si="7"/>
        <v>0</v>
      </c>
    </row>
    <row r="48" spans="1:13" ht="27.6">
      <c r="A48" s="52" t="s">
        <v>103</v>
      </c>
      <c r="B48" s="53" t="s">
        <v>104</v>
      </c>
      <c r="C48" s="39" t="s">
        <v>21</v>
      </c>
      <c r="D48" s="39"/>
      <c r="E48" s="39"/>
      <c r="F48" s="30">
        <v>9</v>
      </c>
      <c r="G48" s="30"/>
      <c r="H48" s="30"/>
      <c r="I48" s="30">
        <v>7</v>
      </c>
      <c r="J48" s="30">
        <f t="shared" si="0"/>
        <v>16</v>
      </c>
      <c r="K48" s="30">
        <f t="shared" ref="K48:K53" si="8">J48</f>
        <v>16</v>
      </c>
      <c r="L48" s="37"/>
      <c r="M48" s="33">
        <f t="shared" si="7"/>
        <v>0</v>
      </c>
    </row>
    <row r="49" spans="1:14" ht="27.6">
      <c r="A49" s="52" t="s">
        <v>105</v>
      </c>
      <c r="B49" s="53" t="s">
        <v>106</v>
      </c>
      <c r="C49" s="39" t="s">
        <v>21</v>
      </c>
      <c r="D49" s="39"/>
      <c r="E49" s="39"/>
      <c r="F49" s="31">
        <f>132</f>
        <v>132</v>
      </c>
      <c r="G49" s="31"/>
      <c r="H49" s="31"/>
      <c r="I49" s="31">
        <f>69</f>
        <v>69</v>
      </c>
      <c r="J49" s="30">
        <f t="shared" si="0"/>
        <v>201</v>
      </c>
      <c r="K49" s="30">
        <f t="shared" si="8"/>
        <v>201</v>
      </c>
      <c r="L49" s="37"/>
      <c r="M49" s="33">
        <f t="shared" si="7"/>
        <v>0</v>
      </c>
    </row>
    <row r="50" spans="1:14" ht="27.6">
      <c r="A50" s="52" t="s">
        <v>107</v>
      </c>
      <c r="B50" s="53" t="s">
        <v>108</v>
      </c>
      <c r="C50" s="39" t="s">
        <v>21</v>
      </c>
      <c r="D50" s="39"/>
      <c r="E50" s="39"/>
      <c r="F50" s="31">
        <f>31</f>
        <v>31</v>
      </c>
      <c r="G50" s="31"/>
      <c r="H50" s="31"/>
      <c r="I50" s="31">
        <v>10</v>
      </c>
      <c r="J50" s="30">
        <f t="shared" ref="J50" si="9">SUM(D50:I50)</f>
        <v>41</v>
      </c>
      <c r="K50" s="30">
        <f t="shared" si="8"/>
        <v>41</v>
      </c>
      <c r="L50" s="37"/>
      <c r="M50" s="33">
        <f t="shared" si="7"/>
        <v>0</v>
      </c>
    </row>
    <row r="51" spans="1:14" ht="27.6">
      <c r="A51" s="52" t="s">
        <v>109</v>
      </c>
      <c r="B51" s="53" t="s">
        <v>110</v>
      </c>
      <c r="C51" s="39" t="s">
        <v>21</v>
      </c>
      <c r="D51" s="39"/>
      <c r="E51" s="39"/>
      <c r="F51" s="31"/>
      <c r="G51" s="31">
        <v>1</v>
      </c>
      <c r="H51" s="31"/>
      <c r="I51" s="31"/>
      <c r="J51" s="30">
        <f t="shared" ref="J51:J53" si="10">SUM(D51:I51)</f>
        <v>1</v>
      </c>
      <c r="K51" s="30">
        <f t="shared" si="8"/>
        <v>1</v>
      </c>
      <c r="L51" s="37"/>
      <c r="M51" s="33">
        <f t="shared" si="7"/>
        <v>0</v>
      </c>
    </row>
    <row r="52" spans="1:14" ht="27.6">
      <c r="A52" s="52" t="s">
        <v>111</v>
      </c>
      <c r="B52" s="53" t="s">
        <v>112</v>
      </c>
      <c r="C52" s="39" t="s">
        <v>21</v>
      </c>
      <c r="D52" s="39">
        <v>1</v>
      </c>
      <c r="E52" s="39"/>
      <c r="F52" s="31"/>
      <c r="G52" s="31"/>
      <c r="H52" s="31"/>
      <c r="I52" s="31"/>
      <c r="J52" s="30">
        <f t="shared" si="10"/>
        <v>1</v>
      </c>
      <c r="K52" s="30">
        <f t="shared" si="8"/>
        <v>1</v>
      </c>
      <c r="L52" s="37"/>
      <c r="M52" s="33">
        <f t="shared" si="7"/>
        <v>0</v>
      </c>
    </row>
    <row r="53" spans="1:14" ht="27.6">
      <c r="A53" s="52" t="s">
        <v>113</v>
      </c>
      <c r="B53" s="53" t="s">
        <v>114</v>
      </c>
      <c r="C53" s="39" t="s">
        <v>21</v>
      </c>
      <c r="D53" s="39">
        <v>1</v>
      </c>
      <c r="E53" s="39"/>
      <c r="F53" s="31"/>
      <c r="G53" s="31">
        <v>1</v>
      </c>
      <c r="H53" s="31"/>
      <c r="I53" s="31"/>
      <c r="J53" s="30">
        <f t="shared" si="10"/>
        <v>2</v>
      </c>
      <c r="K53" s="30">
        <f t="shared" si="8"/>
        <v>2</v>
      </c>
      <c r="L53" s="37"/>
      <c r="M53" s="33">
        <f t="shared" si="7"/>
        <v>0</v>
      </c>
    </row>
    <row r="54" spans="1:14" s="48" customFormat="1" ht="21" customHeight="1">
      <c r="A54" s="42"/>
      <c r="B54" s="43" t="s">
        <v>115</v>
      </c>
      <c r="C54" s="44"/>
      <c r="D54" s="44"/>
      <c r="E54" s="44"/>
      <c r="F54" s="44"/>
      <c r="G54" s="44"/>
      <c r="H54" s="44"/>
      <c r="I54" s="44"/>
      <c r="J54" s="30"/>
      <c r="K54" s="45"/>
      <c r="L54" s="46"/>
      <c r="M54" s="47">
        <f>SUM(M39:M53)</f>
        <v>0</v>
      </c>
    </row>
    <row r="55" spans="1:14" ht="22.95" customHeight="1">
      <c r="A55" s="27" t="s">
        <v>116</v>
      </c>
      <c r="B55" s="28" t="s">
        <v>117</v>
      </c>
      <c r="C55" s="29"/>
      <c r="D55" s="29"/>
      <c r="E55" s="29"/>
      <c r="F55" s="29"/>
      <c r="G55" s="29"/>
      <c r="H55" s="29"/>
      <c r="I55" s="29"/>
      <c r="J55" s="30"/>
      <c r="K55" s="31"/>
      <c r="L55" s="32"/>
      <c r="M55" s="33"/>
    </row>
    <row r="56" spans="1:14" ht="22.95" customHeight="1">
      <c r="A56" s="27" t="s">
        <v>118</v>
      </c>
      <c r="B56" s="57" t="s">
        <v>119</v>
      </c>
      <c r="C56" s="29"/>
      <c r="D56" s="29"/>
      <c r="E56" s="29"/>
      <c r="F56" s="29"/>
      <c r="G56" s="29"/>
      <c r="H56" s="29"/>
      <c r="I56" s="29"/>
      <c r="J56" s="30"/>
      <c r="K56" s="31"/>
      <c r="L56" s="32"/>
      <c r="M56" s="33"/>
    </row>
    <row r="57" spans="1:14" ht="27.6">
      <c r="A57" s="49" t="s">
        <v>120</v>
      </c>
      <c r="B57" s="38" t="s">
        <v>121</v>
      </c>
      <c r="C57" s="39" t="s">
        <v>21</v>
      </c>
      <c r="D57" s="39"/>
      <c r="E57" s="39"/>
      <c r="F57" s="39">
        <v>80</v>
      </c>
      <c r="G57" s="39"/>
      <c r="H57" s="39"/>
      <c r="I57" s="39">
        <v>82</v>
      </c>
      <c r="J57" s="30">
        <f t="shared" ref="J57:J59" si="11">SUM(D57:I57)</f>
        <v>162</v>
      </c>
      <c r="K57" s="30">
        <f t="shared" ref="K57:K59" si="12">J57</f>
        <v>162</v>
      </c>
      <c r="L57" s="32"/>
      <c r="M57" s="33">
        <f>+K57*L57</f>
        <v>0</v>
      </c>
      <c r="N57" s="58"/>
    </row>
    <row r="58" spans="1:14" ht="27.6">
      <c r="A58" s="49" t="s">
        <v>122</v>
      </c>
      <c r="B58" s="38" t="s">
        <v>123</v>
      </c>
      <c r="C58" s="39" t="s">
        <v>21</v>
      </c>
      <c r="D58" s="39"/>
      <c r="E58" s="39"/>
      <c r="F58" s="39">
        <v>80</v>
      </c>
      <c r="G58" s="39"/>
      <c r="H58" s="39"/>
      <c r="I58" s="39">
        <v>82</v>
      </c>
      <c r="J58" s="30">
        <f t="shared" si="11"/>
        <v>162</v>
      </c>
      <c r="K58" s="30">
        <f t="shared" si="12"/>
        <v>162</v>
      </c>
      <c r="L58" s="32"/>
      <c r="M58" s="33">
        <f>+K58*L58</f>
        <v>0</v>
      </c>
      <c r="N58" s="58"/>
    </row>
    <row r="59" spans="1:14" ht="27.6">
      <c r="A59" s="49" t="s">
        <v>124</v>
      </c>
      <c r="B59" s="38" t="s">
        <v>125</v>
      </c>
      <c r="C59" s="39" t="s">
        <v>21</v>
      </c>
      <c r="D59" s="39"/>
      <c r="E59" s="39"/>
      <c r="F59" s="39">
        <v>80</v>
      </c>
      <c r="G59" s="39"/>
      <c r="H59" s="39"/>
      <c r="I59" s="39">
        <v>82</v>
      </c>
      <c r="J59" s="30">
        <f t="shared" si="11"/>
        <v>162</v>
      </c>
      <c r="K59" s="30">
        <f t="shared" si="12"/>
        <v>162</v>
      </c>
      <c r="L59" s="32"/>
      <c r="M59" s="33">
        <f>+K59*L59</f>
        <v>0</v>
      </c>
      <c r="N59" s="58"/>
    </row>
    <row r="60" spans="1:14" ht="22.95" customHeight="1">
      <c r="A60" s="27" t="s">
        <v>126</v>
      </c>
      <c r="B60" s="57" t="s">
        <v>127</v>
      </c>
      <c r="C60" s="29"/>
      <c r="D60" s="29"/>
      <c r="E60" s="29"/>
      <c r="F60" s="29"/>
      <c r="G60" s="29"/>
      <c r="H60" s="29"/>
      <c r="I60" s="29"/>
      <c r="J60" s="30"/>
      <c r="K60" s="31"/>
      <c r="L60" s="32"/>
      <c r="M60" s="33"/>
    </row>
    <row r="61" spans="1:14" ht="27.6">
      <c r="A61" s="49" t="s">
        <v>128</v>
      </c>
      <c r="B61" s="38" t="s">
        <v>121</v>
      </c>
      <c r="C61" s="39" t="s">
        <v>21</v>
      </c>
      <c r="D61" s="39"/>
      <c r="E61" s="39"/>
      <c r="F61" s="39">
        <v>80</v>
      </c>
      <c r="G61" s="39"/>
      <c r="H61" s="39"/>
      <c r="I61" s="39">
        <v>4</v>
      </c>
      <c r="J61" s="30">
        <f t="shared" ref="J61:J63" si="13">SUM(D61:I61)</f>
        <v>84</v>
      </c>
      <c r="K61" s="30">
        <f t="shared" ref="K61:K63" si="14">J61</f>
        <v>84</v>
      </c>
      <c r="L61" s="32"/>
      <c r="M61" s="33">
        <f>+K61*L61</f>
        <v>0</v>
      </c>
      <c r="N61" s="58"/>
    </row>
    <row r="62" spans="1:14" ht="27.6">
      <c r="A62" s="49" t="s">
        <v>129</v>
      </c>
      <c r="B62" s="38" t="s">
        <v>123</v>
      </c>
      <c r="C62" s="39" t="s">
        <v>21</v>
      </c>
      <c r="D62" s="39"/>
      <c r="E62" s="39"/>
      <c r="F62" s="39">
        <v>80</v>
      </c>
      <c r="G62" s="39"/>
      <c r="H62" s="39"/>
      <c r="I62" s="39">
        <v>4</v>
      </c>
      <c r="J62" s="30">
        <f t="shared" si="13"/>
        <v>84</v>
      </c>
      <c r="K62" s="30">
        <f t="shared" si="14"/>
        <v>84</v>
      </c>
      <c r="L62" s="32"/>
      <c r="M62" s="33"/>
      <c r="N62" s="58"/>
    </row>
    <row r="63" spans="1:14" ht="27.6">
      <c r="A63" s="49" t="s">
        <v>130</v>
      </c>
      <c r="B63" s="38" t="s">
        <v>125</v>
      </c>
      <c r="C63" s="39" t="s">
        <v>21</v>
      </c>
      <c r="D63" s="39"/>
      <c r="E63" s="39"/>
      <c r="F63" s="39">
        <v>80</v>
      </c>
      <c r="G63" s="39"/>
      <c r="H63" s="39"/>
      <c r="I63" s="39">
        <v>4</v>
      </c>
      <c r="J63" s="30">
        <f t="shared" si="13"/>
        <v>84</v>
      </c>
      <c r="K63" s="30">
        <f t="shared" si="14"/>
        <v>84</v>
      </c>
      <c r="L63" s="32"/>
      <c r="M63" s="33"/>
      <c r="N63" s="58"/>
    </row>
    <row r="64" spans="1:14" ht="22.5" customHeight="1">
      <c r="A64" s="27" t="s">
        <v>131</v>
      </c>
      <c r="B64" s="57" t="s">
        <v>132</v>
      </c>
      <c r="C64" s="29"/>
      <c r="D64" s="29"/>
      <c r="E64" s="29"/>
      <c r="F64" s="29"/>
      <c r="G64" s="29"/>
      <c r="H64" s="29"/>
      <c r="I64" s="29"/>
      <c r="J64" s="30"/>
      <c r="K64" s="31"/>
      <c r="L64" s="32"/>
      <c r="M64" s="33"/>
    </row>
    <row r="65" spans="1:14" ht="27.6">
      <c r="A65" s="49" t="s">
        <v>133</v>
      </c>
      <c r="B65" s="38" t="s">
        <v>121</v>
      </c>
      <c r="C65" s="39" t="s">
        <v>21</v>
      </c>
      <c r="D65" s="39"/>
      <c r="E65" s="39"/>
      <c r="F65" s="39">
        <v>74</v>
      </c>
      <c r="G65" s="39"/>
      <c r="H65" s="39"/>
      <c r="I65" s="39">
        <v>5</v>
      </c>
      <c r="J65" s="30">
        <f t="shared" ref="J65" si="15">SUM(D65:I65)</f>
        <v>79</v>
      </c>
      <c r="K65" s="30">
        <f t="shared" ref="K65" si="16">J65</f>
        <v>79</v>
      </c>
      <c r="L65" s="32"/>
      <c r="M65" s="33">
        <f>+K65*L65</f>
        <v>0</v>
      </c>
      <c r="N65" s="58"/>
    </row>
    <row r="66" spans="1:14" ht="27.6">
      <c r="A66" s="49" t="s">
        <v>134</v>
      </c>
      <c r="B66" s="38" t="s">
        <v>123</v>
      </c>
      <c r="C66" s="39" t="s">
        <v>21</v>
      </c>
      <c r="D66" s="39"/>
      <c r="E66" s="39"/>
      <c r="F66" s="39">
        <v>74</v>
      </c>
      <c r="G66" s="39"/>
      <c r="H66" s="39"/>
      <c r="I66" s="39">
        <v>5</v>
      </c>
      <c r="J66" s="30">
        <v>79</v>
      </c>
      <c r="K66" s="30">
        <v>79</v>
      </c>
      <c r="L66" s="32"/>
      <c r="M66" s="33">
        <f>+K66*L66</f>
        <v>0</v>
      </c>
      <c r="N66" s="58"/>
    </row>
    <row r="67" spans="1:14" ht="27.6">
      <c r="A67" s="49" t="s">
        <v>135</v>
      </c>
      <c r="B67" s="38" t="s">
        <v>136</v>
      </c>
      <c r="C67" s="39" t="s">
        <v>21</v>
      </c>
      <c r="D67" s="39"/>
      <c r="E67" s="39"/>
      <c r="F67" s="39">
        <v>74</v>
      </c>
      <c r="G67" s="39"/>
      <c r="H67" s="39"/>
      <c r="I67" s="39"/>
      <c r="J67" s="30">
        <f t="shared" ref="J67:J68" si="17">SUM(D67:I67)</f>
        <v>74</v>
      </c>
      <c r="K67" s="30">
        <f t="shared" ref="K67:K68" si="18">J67</f>
        <v>74</v>
      </c>
      <c r="L67" s="32"/>
      <c r="M67" s="33">
        <f>+K67*L67</f>
        <v>0</v>
      </c>
      <c r="N67" s="58"/>
    </row>
    <row r="68" spans="1:14" ht="27.6">
      <c r="A68" s="49" t="s">
        <v>137</v>
      </c>
      <c r="B68" s="38" t="s">
        <v>125</v>
      </c>
      <c r="C68" s="39" t="s">
        <v>21</v>
      </c>
      <c r="D68" s="39"/>
      <c r="E68" s="39"/>
      <c r="F68" s="39">
        <v>1</v>
      </c>
      <c r="G68" s="39"/>
      <c r="H68" s="39"/>
      <c r="I68" s="39"/>
      <c r="J68" s="30">
        <f t="shared" si="17"/>
        <v>1</v>
      </c>
      <c r="K68" s="30">
        <f t="shared" si="18"/>
        <v>1</v>
      </c>
      <c r="L68" s="32"/>
      <c r="M68" s="33">
        <f>+K68*L68</f>
        <v>0</v>
      </c>
      <c r="N68" s="58"/>
    </row>
    <row r="69" spans="1:14" ht="22.95" customHeight="1">
      <c r="A69" s="27" t="s">
        <v>138</v>
      </c>
      <c r="B69" s="57" t="s">
        <v>139</v>
      </c>
      <c r="C69" s="29"/>
      <c r="D69" s="29"/>
      <c r="E69" s="29"/>
      <c r="F69" s="29"/>
      <c r="G69" s="29"/>
      <c r="H69" s="29"/>
      <c r="I69" s="29"/>
      <c r="J69" s="30"/>
      <c r="K69" s="31"/>
      <c r="L69" s="32"/>
      <c r="M69" s="33"/>
    </row>
    <row r="70" spans="1:14" ht="27.6">
      <c r="A70" s="49" t="s">
        <v>140</v>
      </c>
      <c r="B70" s="38" t="s">
        <v>141</v>
      </c>
      <c r="C70" s="39" t="s">
        <v>21</v>
      </c>
      <c r="D70" s="39"/>
      <c r="E70" s="39"/>
      <c r="F70" s="39">
        <v>21</v>
      </c>
      <c r="G70" s="39"/>
      <c r="H70" s="39"/>
      <c r="I70" s="39"/>
      <c r="J70" s="30">
        <v>21</v>
      </c>
      <c r="K70" s="30">
        <v>21</v>
      </c>
      <c r="L70" s="32"/>
      <c r="M70" s="33">
        <f>+K70*L70</f>
        <v>0</v>
      </c>
      <c r="N70" s="58"/>
    </row>
    <row r="71" spans="1:14" ht="27.6">
      <c r="A71" s="49" t="s">
        <v>142</v>
      </c>
      <c r="B71" s="38" t="s">
        <v>143</v>
      </c>
      <c r="C71" s="39" t="s">
        <v>21</v>
      </c>
      <c r="D71" s="39"/>
      <c r="E71" s="39"/>
      <c r="F71" s="39">
        <v>21</v>
      </c>
      <c r="G71" s="39"/>
      <c r="H71" s="39"/>
      <c r="I71" s="39"/>
      <c r="J71" s="30">
        <f t="shared" ref="J71:J74" si="19">SUM(D71:I71)</f>
        <v>21</v>
      </c>
      <c r="K71" s="30">
        <f t="shared" ref="K71:K74" si="20">J71</f>
        <v>21</v>
      </c>
      <c r="L71" s="32"/>
      <c r="M71" s="33">
        <f>+K71*L71</f>
        <v>0</v>
      </c>
      <c r="N71" s="58"/>
    </row>
    <row r="72" spans="1:14" ht="27.6">
      <c r="A72" s="49" t="s">
        <v>144</v>
      </c>
      <c r="B72" s="38" t="s">
        <v>125</v>
      </c>
      <c r="C72" s="39" t="s">
        <v>21</v>
      </c>
      <c r="D72" s="39"/>
      <c r="E72" s="39"/>
      <c r="F72" s="39">
        <v>21</v>
      </c>
      <c r="G72" s="39"/>
      <c r="H72" s="39"/>
      <c r="I72" s="39"/>
      <c r="J72" s="30">
        <f t="shared" si="19"/>
        <v>21</v>
      </c>
      <c r="K72" s="30">
        <f t="shared" si="20"/>
        <v>21</v>
      </c>
      <c r="L72" s="32"/>
      <c r="M72" s="33">
        <f>+K72*L72</f>
        <v>0</v>
      </c>
      <c r="N72" s="58"/>
    </row>
    <row r="73" spans="1:14" ht="27.6">
      <c r="A73" s="49" t="s">
        <v>145</v>
      </c>
      <c r="B73" s="38" t="s">
        <v>146</v>
      </c>
      <c r="C73" s="39" t="s">
        <v>21</v>
      </c>
      <c r="D73" s="39"/>
      <c r="E73" s="39"/>
      <c r="F73" s="39">
        <v>1</v>
      </c>
      <c r="G73" s="39"/>
      <c r="H73" s="39"/>
      <c r="I73" s="39"/>
      <c r="J73" s="30">
        <f t="shared" si="19"/>
        <v>1</v>
      </c>
      <c r="K73" s="30">
        <f t="shared" si="20"/>
        <v>1</v>
      </c>
      <c r="L73" s="32"/>
      <c r="M73" s="33">
        <f>+K73*L73</f>
        <v>0</v>
      </c>
      <c r="N73" s="58"/>
    </row>
    <row r="74" spans="1:14" ht="27.6">
      <c r="A74" s="49" t="s">
        <v>147</v>
      </c>
      <c r="B74" s="38" t="s">
        <v>148</v>
      </c>
      <c r="C74" s="39" t="s">
        <v>21</v>
      </c>
      <c r="D74" s="39"/>
      <c r="E74" s="39"/>
      <c r="F74" s="39">
        <v>1</v>
      </c>
      <c r="G74" s="39"/>
      <c r="H74" s="39"/>
      <c r="I74" s="39"/>
      <c r="J74" s="30">
        <f t="shared" si="19"/>
        <v>1</v>
      </c>
      <c r="K74" s="30">
        <f t="shared" si="20"/>
        <v>1</v>
      </c>
      <c r="L74" s="32"/>
      <c r="M74" s="33">
        <f>+K74*L74</f>
        <v>0</v>
      </c>
      <c r="N74" s="58"/>
    </row>
    <row r="75" spans="1:14" s="48" customFormat="1" ht="21" customHeight="1">
      <c r="A75" s="42"/>
      <c r="B75" s="43" t="s">
        <v>149</v>
      </c>
      <c r="C75" s="44"/>
      <c r="D75" s="44"/>
      <c r="E75" s="44"/>
      <c r="F75" s="44"/>
      <c r="G75" s="44"/>
      <c r="H75" s="44"/>
      <c r="I75" s="44"/>
      <c r="J75" s="30"/>
      <c r="K75" s="45"/>
      <c r="L75" s="46"/>
      <c r="M75" s="47"/>
    </row>
    <row r="76" spans="1:14" ht="24.6" customHeight="1">
      <c r="A76" s="59" t="s">
        <v>150</v>
      </c>
      <c r="B76" s="28" t="s">
        <v>151</v>
      </c>
      <c r="C76" s="28"/>
      <c r="D76" s="28"/>
      <c r="E76" s="28"/>
      <c r="F76" s="28"/>
      <c r="G76" s="28"/>
      <c r="H76" s="28"/>
      <c r="I76" s="28"/>
      <c r="J76" s="30"/>
      <c r="K76" s="31"/>
      <c r="L76" s="32"/>
      <c r="M76" s="33"/>
    </row>
    <row r="77" spans="1:14" ht="22.95" customHeight="1">
      <c r="A77" s="27" t="s">
        <v>152</v>
      </c>
      <c r="B77" s="28" t="s">
        <v>153</v>
      </c>
      <c r="C77" s="29"/>
      <c r="D77" s="29"/>
      <c r="E77" s="29"/>
      <c r="F77" s="29"/>
      <c r="G77" s="29"/>
      <c r="H77" s="29"/>
      <c r="I77" s="29"/>
      <c r="J77" s="30"/>
      <c r="K77" s="31"/>
      <c r="L77" s="32"/>
      <c r="M77" s="33"/>
    </row>
    <row r="78" spans="1:14" ht="27.6">
      <c r="A78" s="60" t="s">
        <v>154</v>
      </c>
      <c r="B78" s="38" t="s">
        <v>155</v>
      </c>
      <c r="C78" s="29" t="s">
        <v>21</v>
      </c>
      <c r="D78" s="29"/>
      <c r="E78" s="29"/>
      <c r="F78" s="30">
        <v>97</v>
      </c>
      <c r="G78" s="30"/>
      <c r="H78" s="30"/>
      <c r="I78" s="30">
        <v>74</v>
      </c>
      <c r="J78" s="30">
        <f t="shared" ref="J78:J106" si="21">SUM(D78:I78)</f>
        <v>171</v>
      </c>
      <c r="K78" s="30">
        <f t="shared" ref="K78" si="22">J78</f>
        <v>171</v>
      </c>
      <c r="L78" s="32"/>
      <c r="M78" s="33">
        <f>+K78*L78</f>
        <v>0</v>
      </c>
    </row>
    <row r="79" spans="1:14" s="48" customFormat="1" ht="21" customHeight="1">
      <c r="A79" s="42"/>
      <c r="B79" s="43" t="s">
        <v>156</v>
      </c>
      <c r="C79" s="44"/>
      <c r="D79" s="44"/>
      <c r="E79" s="44"/>
      <c r="F79" s="44"/>
      <c r="G79" s="44"/>
      <c r="H79" s="44"/>
      <c r="I79" s="44"/>
      <c r="J79" s="30"/>
      <c r="K79" s="45"/>
      <c r="L79" s="46"/>
      <c r="M79" s="47">
        <f>SUM(M78:M78)</f>
        <v>0</v>
      </c>
    </row>
    <row r="80" spans="1:14" ht="21.6" customHeight="1">
      <c r="A80" s="59" t="s">
        <v>157</v>
      </c>
      <c r="B80" s="61" t="s">
        <v>158</v>
      </c>
      <c r="C80" s="29"/>
      <c r="D80" s="29"/>
      <c r="E80" s="29"/>
      <c r="F80" s="29"/>
      <c r="G80" s="29"/>
      <c r="H80" s="29"/>
      <c r="I80" s="29"/>
      <c r="J80" s="30"/>
      <c r="K80" s="31"/>
      <c r="L80" s="32"/>
      <c r="M80" s="33"/>
    </row>
    <row r="81" spans="1:15" ht="27.6">
      <c r="A81" s="60" t="s">
        <v>159</v>
      </c>
      <c r="B81" s="38" t="s">
        <v>160</v>
      </c>
      <c r="C81" s="29" t="s">
        <v>21</v>
      </c>
      <c r="D81" s="29">
        <v>1</v>
      </c>
      <c r="E81" s="29"/>
      <c r="F81" s="30"/>
      <c r="G81" s="30"/>
      <c r="H81" s="30"/>
      <c r="I81" s="30"/>
      <c r="J81" s="62">
        <f t="shared" ref="J81:J84" si="23">SUM(D81:I81)</f>
        <v>1</v>
      </c>
      <c r="K81" s="62">
        <f t="shared" ref="K81:K83" si="24">J81</f>
        <v>1</v>
      </c>
      <c r="L81" s="32"/>
      <c r="M81" s="33">
        <f t="shared" ref="M81:M93" si="25">+K81*L81</f>
        <v>0</v>
      </c>
    </row>
    <row r="82" spans="1:15" ht="27.6">
      <c r="A82" s="60" t="s">
        <v>161</v>
      </c>
      <c r="B82" s="38" t="s">
        <v>162</v>
      </c>
      <c r="C82" s="29" t="s">
        <v>21</v>
      </c>
      <c r="D82" s="29">
        <v>1</v>
      </c>
      <c r="E82" s="29"/>
      <c r="F82" s="30"/>
      <c r="G82" s="30"/>
      <c r="H82" s="30"/>
      <c r="I82" s="30"/>
      <c r="J82" s="62">
        <f t="shared" si="23"/>
        <v>1</v>
      </c>
      <c r="K82" s="62">
        <f t="shared" si="24"/>
        <v>1</v>
      </c>
      <c r="L82" s="32"/>
      <c r="M82" s="33">
        <f t="shared" si="25"/>
        <v>0</v>
      </c>
    </row>
    <row r="83" spans="1:15" ht="27.6">
      <c r="A83" s="60" t="s">
        <v>163</v>
      </c>
      <c r="B83" s="38" t="s">
        <v>164</v>
      </c>
      <c r="C83" s="29" t="s">
        <v>21</v>
      </c>
      <c r="D83" s="29">
        <v>1</v>
      </c>
      <c r="E83" s="29"/>
      <c r="F83" s="30"/>
      <c r="G83" s="30"/>
      <c r="H83" s="30"/>
      <c r="I83" s="30"/>
      <c r="J83" s="62">
        <f t="shared" si="23"/>
        <v>1</v>
      </c>
      <c r="K83" s="62">
        <f t="shared" si="24"/>
        <v>1</v>
      </c>
      <c r="L83" s="32"/>
      <c r="M83" s="33">
        <f t="shared" si="25"/>
        <v>0</v>
      </c>
    </row>
    <row r="84" spans="1:15" ht="27.6">
      <c r="A84" s="60" t="s">
        <v>165</v>
      </c>
      <c r="B84" s="38" t="s">
        <v>166</v>
      </c>
      <c r="C84" s="29" t="s">
        <v>45</v>
      </c>
      <c r="D84" s="29">
        <v>10</v>
      </c>
      <c r="E84" s="29"/>
      <c r="F84" s="30"/>
      <c r="G84" s="30"/>
      <c r="H84" s="30"/>
      <c r="I84" s="30"/>
      <c r="J84" s="30">
        <f t="shared" si="23"/>
        <v>10</v>
      </c>
      <c r="K84" s="30">
        <f t="shared" ref="K84:K86" si="26">ROUNDUP(J84*1.1,0)</f>
        <v>11</v>
      </c>
      <c r="L84" s="32"/>
      <c r="M84" s="33">
        <f t="shared" si="25"/>
        <v>0</v>
      </c>
    </row>
    <row r="85" spans="1:15" ht="27.6">
      <c r="A85" s="60" t="s">
        <v>167</v>
      </c>
      <c r="B85" s="63" t="s">
        <v>168</v>
      </c>
      <c r="C85" s="64" t="s">
        <v>45</v>
      </c>
      <c r="D85" s="31">
        <v>10</v>
      </c>
      <c r="E85" s="31">
        <v>6</v>
      </c>
      <c r="F85" s="31"/>
      <c r="G85" s="31">
        <v>12</v>
      </c>
      <c r="H85" s="31">
        <v>5</v>
      </c>
      <c r="I85" s="64"/>
      <c r="J85" s="30">
        <f t="shared" si="21"/>
        <v>33</v>
      </c>
      <c r="K85" s="30">
        <f t="shared" si="26"/>
        <v>37</v>
      </c>
      <c r="L85" s="32"/>
      <c r="M85" s="33">
        <f t="shared" si="25"/>
        <v>0</v>
      </c>
    </row>
    <row r="86" spans="1:15" ht="27.6">
      <c r="A86" s="60" t="s">
        <v>169</v>
      </c>
      <c r="B86" s="38" t="s">
        <v>170</v>
      </c>
      <c r="C86" s="50" t="s">
        <v>45</v>
      </c>
      <c r="D86" s="31">
        <v>165</v>
      </c>
      <c r="E86" s="31"/>
      <c r="F86" s="31"/>
      <c r="G86" s="31">
        <v>140</v>
      </c>
      <c r="H86" s="31"/>
      <c r="I86" s="50"/>
      <c r="J86" s="30">
        <f t="shared" si="21"/>
        <v>305</v>
      </c>
      <c r="K86" s="30">
        <f t="shared" si="26"/>
        <v>336</v>
      </c>
      <c r="L86" s="32"/>
      <c r="M86" s="33">
        <f t="shared" si="25"/>
        <v>0</v>
      </c>
    </row>
    <row r="87" spans="1:15" ht="27.6">
      <c r="A87" s="60" t="s">
        <v>171</v>
      </c>
      <c r="B87" s="38" t="s">
        <v>172</v>
      </c>
      <c r="C87" s="29" t="s">
        <v>21</v>
      </c>
      <c r="D87" s="31">
        <v>3</v>
      </c>
      <c r="E87" s="31">
        <v>3</v>
      </c>
      <c r="F87" s="31"/>
      <c r="G87" s="31">
        <v>2</v>
      </c>
      <c r="H87" s="31">
        <v>2</v>
      </c>
      <c r="I87" s="29"/>
      <c r="J87" s="30">
        <f t="shared" si="21"/>
        <v>10</v>
      </c>
      <c r="K87" s="30">
        <f t="shared" ref="K87:K93" si="27">J87</f>
        <v>10</v>
      </c>
      <c r="L87" s="32"/>
      <c r="M87" s="33">
        <f t="shared" si="25"/>
        <v>0</v>
      </c>
    </row>
    <row r="88" spans="1:15" ht="27.6">
      <c r="A88" s="60" t="s">
        <v>173</v>
      </c>
      <c r="B88" s="38" t="s">
        <v>174</v>
      </c>
      <c r="C88" s="29" t="s">
        <v>21</v>
      </c>
      <c r="D88" s="31">
        <v>3</v>
      </c>
      <c r="E88" s="31">
        <v>3</v>
      </c>
      <c r="F88" s="31"/>
      <c r="G88" s="31">
        <v>2</v>
      </c>
      <c r="H88" s="31">
        <v>2</v>
      </c>
      <c r="I88" s="29"/>
      <c r="J88" s="30">
        <f t="shared" si="21"/>
        <v>10</v>
      </c>
      <c r="K88" s="30">
        <f t="shared" si="27"/>
        <v>10</v>
      </c>
      <c r="L88" s="32"/>
      <c r="M88" s="33">
        <f t="shared" si="25"/>
        <v>0</v>
      </c>
    </row>
    <row r="89" spans="1:15" ht="27.6">
      <c r="A89" s="60" t="s">
        <v>175</v>
      </c>
      <c r="B89" s="38" t="s">
        <v>176</v>
      </c>
      <c r="C89" s="29" t="s">
        <v>21</v>
      </c>
      <c r="D89" s="31">
        <v>7</v>
      </c>
      <c r="E89" s="31">
        <v>7</v>
      </c>
      <c r="F89" s="31"/>
      <c r="G89" s="31">
        <v>4</v>
      </c>
      <c r="H89" s="31">
        <v>4</v>
      </c>
      <c r="I89" s="29"/>
      <c r="J89" s="30">
        <f t="shared" si="21"/>
        <v>22</v>
      </c>
      <c r="K89" s="30">
        <f t="shared" si="27"/>
        <v>22</v>
      </c>
      <c r="L89" s="32"/>
      <c r="M89" s="33">
        <f t="shared" si="25"/>
        <v>0</v>
      </c>
    </row>
    <row r="90" spans="1:15" ht="27.6">
      <c r="A90" s="60" t="s">
        <v>177</v>
      </c>
      <c r="B90" s="38" t="s">
        <v>178</v>
      </c>
      <c r="C90" s="29" t="s">
        <v>21</v>
      </c>
      <c r="D90" s="29">
        <v>1</v>
      </c>
      <c r="E90" s="29">
        <v>1</v>
      </c>
      <c r="F90" s="29">
        <v>1</v>
      </c>
      <c r="G90" s="29"/>
      <c r="H90" s="29"/>
      <c r="I90" s="29">
        <v>1</v>
      </c>
      <c r="J90" s="30">
        <f t="shared" si="21"/>
        <v>4</v>
      </c>
      <c r="K90" s="30">
        <f t="shared" si="27"/>
        <v>4</v>
      </c>
      <c r="L90" s="32"/>
      <c r="M90" s="33">
        <f t="shared" si="25"/>
        <v>0</v>
      </c>
    </row>
    <row r="91" spans="1:15" ht="27.6">
      <c r="A91" s="60" t="s">
        <v>179</v>
      </c>
      <c r="B91" s="38" t="s">
        <v>180</v>
      </c>
      <c r="C91" s="29" t="s">
        <v>21</v>
      </c>
      <c r="D91" s="29">
        <v>2</v>
      </c>
      <c r="E91" s="29">
        <v>2</v>
      </c>
      <c r="F91" s="29">
        <v>48</v>
      </c>
      <c r="G91" s="29"/>
      <c r="H91" s="29"/>
      <c r="I91" s="29">
        <v>16</v>
      </c>
      <c r="J91" s="30">
        <f>SUM(D91:I91)</f>
        <v>68</v>
      </c>
      <c r="K91" s="30">
        <f>J91</f>
        <v>68</v>
      </c>
      <c r="L91" s="32"/>
      <c r="M91" s="33">
        <f t="shared" si="25"/>
        <v>0</v>
      </c>
    </row>
    <row r="92" spans="1:15" ht="27.6">
      <c r="A92" s="60" t="s">
        <v>181</v>
      </c>
      <c r="B92" s="38" t="s">
        <v>182</v>
      </c>
      <c r="C92" s="29" t="s">
        <v>21</v>
      </c>
      <c r="D92" s="29"/>
      <c r="E92" s="29"/>
      <c r="F92" s="29"/>
      <c r="G92" s="29">
        <v>1</v>
      </c>
      <c r="H92" s="29">
        <v>1</v>
      </c>
      <c r="I92" s="29"/>
      <c r="J92" s="30">
        <f>SUM(D92:I92)</f>
        <v>2</v>
      </c>
      <c r="K92" s="30">
        <f>J92</f>
        <v>2</v>
      </c>
      <c r="L92" s="32"/>
      <c r="M92" s="33">
        <f t="shared" si="25"/>
        <v>0</v>
      </c>
    </row>
    <row r="93" spans="1:15" ht="27.6">
      <c r="A93" s="60" t="s">
        <v>183</v>
      </c>
      <c r="B93" s="53" t="s">
        <v>184</v>
      </c>
      <c r="C93" s="29" t="s">
        <v>21</v>
      </c>
      <c r="D93" s="29">
        <v>1</v>
      </c>
      <c r="E93" s="29">
        <v>1</v>
      </c>
      <c r="F93" s="29">
        <v>1</v>
      </c>
      <c r="G93" s="29"/>
      <c r="H93" s="29"/>
      <c r="I93" s="29">
        <v>1</v>
      </c>
      <c r="J93" s="30">
        <f t="shared" si="21"/>
        <v>4</v>
      </c>
      <c r="K93" s="30">
        <f t="shared" si="27"/>
        <v>4</v>
      </c>
      <c r="L93" s="32"/>
      <c r="M93" s="33">
        <f t="shared" si="25"/>
        <v>0</v>
      </c>
    </row>
    <row r="94" spans="1:15" s="48" customFormat="1" ht="21" customHeight="1">
      <c r="A94" s="42"/>
      <c r="B94" s="43" t="s">
        <v>185</v>
      </c>
      <c r="C94" s="44"/>
      <c r="D94" s="44"/>
      <c r="E94" s="44"/>
      <c r="F94" s="44"/>
      <c r="G94" s="44"/>
      <c r="H94" s="44"/>
      <c r="I94" s="44"/>
      <c r="J94" s="30"/>
      <c r="K94" s="45"/>
      <c r="L94" s="46"/>
      <c r="M94" s="47">
        <f>SUM(M81:M93)</f>
        <v>0</v>
      </c>
      <c r="O94" s="48" t="s">
        <v>186</v>
      </c>
    </row>
    <row r="95" spans="1:15" s="48" customFormat="1" ht="21" customHeight="1">
      <c r="A95" s="65" t="s">
        <v>187</v>
      </c>
      <c r="B95" s="66" t="s">
        <v>188</v>
      </c>
      <c r="C95" s="67"/>
      <c r="D95" s="67"/>
      <c r="E95" s="67"/>
      <c r="F95" s="67"/>
      <c r="G95" s="67"/>
      <c r="H95" s="67"/>
      <c r="I95" s="67"/>
      <c r="J95" s="30"/>
      <c r="K95" s="45"/>
      <c r="L95" s="46"/>
      <c r="M95" s="47"/>
    </row>
    <row r="96" spans="1:15" s="48" customFormat="1" ht="21" customHeight="1">
      <c r="A96" s="65" t="s">
        <v>189</v>
      </c>
      <c r="B96" s="66" t="s">
        <v>190</v>
      </c>
      <c r="C96" s="67"/>
      <c r="D96" s="67"/>
      <c r="E96" s="67"/>
      <c r="F96" s="67"/>
      <c r="G96" s="67"/>
      <c r="H96" s="67"/>
      <c r="I96" s="67"/>
      <c r="J96" s="30"/>
      <c r="K96" s="45"/>
      <c r="L96" s="46"/>
      <c r="M96" s="47"/>
    </row>
    <row r="97" spans="1:15" ht="30.6">
      <c r="A97" s="49" t="s">
        <v>191</v>
      </c>
      <c r="B97" s="53" t="s">
        <v>192</v>
      </c>
      <c r="C97" s="29" t="s">
        <v>21</v>
      </c>
      <c r="D97" s="29"/>
      <c r="E97" s="29"/>
      <c r="F97" s="29">
        <v>3</v>
      </c>
      <c r="G97" s="29"/>
      <c r="H97" s="29"/>
      <c r="I97" s="29"/>
      <c r="J97" s="30">
        <f t="shared" si="21"/>
        <v>3</v>
      </c>
      <c r="K97" s="30">
        <f t="shared" ref="K97" si="28">J97</f>
        <v>3</v>
      </c>
      <c r="L97" s="32"/>
      <c r="M97" s="33">
        <f t="shared" ref="M97:M103" si="29">+K97*L97</f>
        <v>0</v>
      </c>
    </row>
    <row r="98" spans="1:15" s="48" customFormat="1" ht="21" customHeight="1">
      <c r="A98" s="65" t="s">
        <v>193</v>
      </c>
      <c r="B98" s="66" t="s">
        <v>194</v>
      </c>
      <c r="C98" s="67"/>
      <c r="D98" s="67"/>
      <c r="E98" s="67"/>
      <c r="F98" s="67"/>
      <c r="G98" s="67"/>
      <c r="H98" s="67"/>
      <c r="I98" s="67"/>
      <c r="J98" s="30"/>
      <c r="K98" s="44"/>
      <c r="L98" s="46"/>
      <c r="M98" s="33">
        <f t="shared" si="29"/>
        <v>0</v>
      </c>
    </row>
    <row r="99" spans="1:15" ht="27.6">
      <c r="A99" s="49" t="s">
        <v>195</v>
      </c>
      <c r="B99" s="53" t="s">
        <v>196</v>
      </c>
      <c r="C99" s="29" t="s">
        <v>45</v>
      </c>
      <c r="D99" s="29"/>
      <c r="E99" s="29"/>
      <c r="F99" s="29">
        <v>90</v>
      </c>
      <c r="G99" s="29"/>
      <c r="H99" s="29"/>
      <c r="I99" s="29"/>
      <c r="J99" s="30">
        <f t="shared" si="21"/>
        <v>90</v>
      </c>
      <c r="K99" s="30">
        <f t="shared" ref="K99" si="30">ROUNDUP(J99*1.1,0)</f>
        <v>99</v>
      </c>
      <c r="L99" s="32"/>
      <c r="M99" s="33">
        <f t="shared" si="29"/>
        <v>0</v>
      </c>
    </row>
    <row r="100" spans="1:15" s="48" customFormat="1" ht="21" customHeight="1">
      <c r="A100" s="65" t="s">
        <v>197</v>
      </c>
      <c r="B100" s="66" t="s">
        <v>198</v>
      </c>
      <c r="C100" s="67"/>
      <c r="D100" s="67"/>
      <c r="E100" s="67"/>
      <c r="F100" s="67"/>
      <c r="G100" s="67"/>
      <c r="H100" s="67"/>
      <c r="I100" s="67"/>
      <c r="J100" s="30"/>
      <c r="K100" s="44"/>
      <c r="L100" s="46"/>
      <c r="M100" s="33">
        <f t="shared" si="29"/>
        <v>0</v>
      </c>
    </row>
    <row r="101" spans="1:15" ht="27.6">
      <c r="A101" s="49" t="s">
        <v>199</v>
      </c>
      <c r="B101" s="53" t="s">
        <v>200</v>
      </c>
      <c r="C101" s="29" t="s">
        <v>21</v>
      </c>
      <c r="D101" s="29"/>
      <c r="E101" s="29"/>
      <c r="F101" s="29">
        <v>12</v>
      </c>
      <c r="G101" s="29"/>
      <c r="H101" s="29"/>
      <c r="I101" s="29"/>
      <c r="J101" s="30">
        <f t="shared" si="21"/>
        <v>12</v>
      </c>
      <c r="K101" s="30">
        <f t="shared" ref="K101:K106" si="31">J101</f>
        <v>12</v>
      </c>
      <c r="L101" s="32"/>
      <c r="M101" s="33">
        <f t="shared" si="29"/>
        <v>0</v>
      </c>
    </row>
    <row r="102" spans="1:15" ht="27.6">
      <c r="A102" s="49" t="s">
        <v>201</v>
      </c>
      <c r="B102" s="53" t="s">
        <v>202</v>
      </c>
      <c r="C102" s="29" t="s">
        <v>21</v>
      </c>
      <c r="D102" s="29"/>
      <c r="E102" s="29"/>
      <c r="F102" s="29">
        <v>6</v>
      </c>
      <c r="G102" s="29"/>
      <c r="H102" s="29"/>
      <c r="I102" s="29"/>
      <c r="J102" s="30">
        <f t="shared" si="21"/>
        <v>6</v>
      </c>
      <c r="K102" s="30">
        <f t="shared" si="31"/>
        <v>6</v>
      </c>
      <c r="L102" s="32"/>
      <c r="M102" s="33">
        <f t="shared" si="29"/>
        <v>0</v>
      </c>
    </row>
    <row r="103" spans="1:15" ht="27.6">
      <c r="A103" s="49" t="s">
        <v>203</v>
      </c>
      <c r="B103" s="53" t="s">
        <v>204</v>
      </c>
      <c r="C103" s="29" t="s">
        <v>21</v>
      </c>
      <c r="D103" s="29"/>
      <c r="E103" s="29"/>
      <c r="F103" s="29">
        <v>3</v>
      </c>
      <c r="G103" s="29"/>
      <c r="H103" s="29"/>
      <c r="I103" s="29"/>
      <c r="J103" s="30">
        <f t="shared" si="21"/>
        <v>3</v>
      </c>
      <c r="K103" s="30">
        <f t="shared" si="31"/>
        <v>3</v>
      </c>
      <c r="L103" s="32"/>
      <c r="M103" s="33">
        <f t="shared" si="29"/>
        <v>0</v>
      </c>
    </row>
    <row r="104" spans="1:15" ht="27.6">
      <c r="A104" s="49" t="s">
        <v>205</v>
      </c>
      <c r="B104" s="53" t="s">
        <v>206</v>
      </c>
      <c r="C104" s="29" t="s">
        <v>21</v>
      </c>
      <c r="D104" s="29"/>
      <c r="E104" s="29"/>
      <c r="F104" s="29">
        <v>3</v>
      </c>
      <c r="G104" s="29"/>
      <c r="H104" s="29"/>
      <c r="I104" s="29"/>
      <c r="J104" s="30">
        <f t="shared" si="21"/>
        <v>3</v>
      </c>
      <c r="K104" s="30"/>
      <c r="L104" s="32"/>
      <c r="M104" s="33"/>
    </row>
    <row r="105" spans="1:15" ht="27.6">
      <c r="A105" s="49" t="s">
        <v>207</v>
      </c>
      <c r="B105" s="53" t="s">
        <v>208</v>
      </c>
      <c r="C105" s="29" t="s">
        <v>21</v>
      </c>
      <c r="D105" s="29"/>
      <c r="E105" s="29"/>
      <c r="F105" s="29">
        <v>6</v>
      </c>
      <c r="G105" s="29"/>
      <c r="H105" s="29"/>
      <c r="I105" s="29"/>
      <c r="J105" s="30">
        <f t="shared" si="21"/>
        <v>6</v>
      </c>
      <c r="K105" s="30">
        <f t="shared" si="31"/>
        <v>6</v>
      </c>
      <c r="L105" s="32"/>
      <c r="M105" s="33">
        <f>+K105*L105</f>
        <v>0</v>
      </c>
    </row>
    <row r="106" spans="1:15" ht="27.6">
      <c r="A106" s="49" t="s">
        <v>209</v>
      </c>
      <c r="B106" s="53" t="s">
        <v>210</v>
      </c>
      <c r="C106" s="29" t="s">
        <v>21</v>
      </c>
      <c r="D106" s="29"/>
      <c r="E106" s="29"/>
      <c r="F106" s="29">
        <v>3</v>
      </c>
      <c r="G106" s="29"/>
      <c r="H106" s="29"/>
      <c r="I106" s="29"/>
      <c r="J106" s="30">
        <f t="shared" si="21"/>
        <v>3</v>
      </c>
      <c r="K106" s="30">
        <f t="shared" si="31"/>
        <v>3</v>
      </c>
      <c r="L106" s="32"/>
      <c r="M106" s="33">
        <f>+K106*L106</f>
        <v>0</v>
      </c>
    </row>
    <row r="107" spans="1:15" s="48" customFormat="1" ht="21" customHeight="1" thickBot="1">
      <c r="A107" s="68"/>
      <c r="B107" s="43" t="s">
        <v>211</v>
      </c>
      <c r="C107" s="69"/>
      <c r="D107" s="70"/>
      <c r="E107" s="70"/>
      <c r="F107" s="70"/>
      <c r="G107" s="70"/>
      <c r="H107" s="70"/>
      <c r="I107" s="70"/>
      <c r="J107" s="71"/>
      <c r="K107" s="72"/>
      <c r="L107" s="73"/>
      <c r="M107" s="74">
        <f>SUM(M97:M106)</f>
        <v>0</v>
      </c>
    </row>
    <row r="108" spans="1:15" s="79" customFormat="1" ht="26.25" customHeight="1" thickTop="1" thickBot="1">
      <c r="A108" s="75" t="s">
        <v>212</v>
      </c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7"/>
      <c r="M108" s="78">
        <f>M107+M94+M79+M75+M54+M37+M15</f>
        <v>0</v>
      </c>
      <c r="O108" s="80">
        <v>2983360</v>
      </c>
    </row>
    <row r="109" spans="1:15" s="81" customFormat="1">
      <c r="J109" s="82"/>
      <c r="K109" s="82"/>
    </row>
    <row r="110" spans="1:15" s="81" customFormat="1">
      <c r="J110" s="82"/>
      <c r="K110" s="82"/>
    </row>
    <row r="111" spans="1:15" s="81" customFormat="1">
      <c r="J111" s="82"/>
      <c r="K111" s="82"/>
    </row>
    <row r="112" spans="1:15" s="81" customFormat="1">
      <c r="J112" s="82"/>
      <c r="K112" s="82"/>
    </row>
    <row r="113" spans="10:11" s="81" customFormat="1">
      <c r="J113" s="82"/>
      <c r="K113" s="82"/>
    </row>
    <row r="114" spans="10:11" s="81" customFormat="1">
      <c r="J114" s="82"/>
      <c r="K114" s="82"/>
    </row>
    <row r="115" spans="10:11" s="81" customFormat="1">
      <c r="J115" s="82"/>
      <c r="K115" s="82"/>
    </row>
    <row r="116" spans="10:11" s="81" customFormat="1">
      <c r="J116" s="82"/>
      <c r="K116" s="82"/>
    </row>
    <row r="117" spans="10:11" s="81" customFormat="1">
      <c r="J117" s="82"/>
      <c r="K117" s="82"/>
    </row>
    <row r="118" spans="10:11" s="81" customFormat="1">
      <c r="J118" s="82"/>
      <c r="K118" s="82"/>
    </row>
    <row r="119" spans="10:11" s="81" customFormat="1">
      <c r="J119" s="82"/>
      <c r="K119" s="82"/>
    </row>
    <row r="120" spans="10:11" s="81" customFormat="1">
      <c r="J120" s="82"/>
      <c r="K120" s="82"/>
    </row>
    <row r="121" spans="10:11" s="81" customFormat="1">
      <c r="J121" s="82"/>
      <c r="K121" s="82"/>
    </row>
    <row r="122" spans="10:11" s="81" customFormat="1">
      <c r="J122" s="82"/>
      <c r="K122" s="82"/>
    </row>
    <row r="123" spans="10:11" s="81" customFormat="1">
      <c r="J123" s="82"/>
      <c r="K123" s="82"/>
    </row>
    <row r="124" spans="10:11" s="81" customFormat="1">
      <c r="J124" s="82"/>
      <c r="K124" s="82"/>
    </row>
    <row r="125" spans="10:11" s="81" customFormat="1">
      <c r="J125" s="82"/>
      <c r="K125" s="82"/>
    </row>
    <row r="126" spans="10:11" s="81" customFormat="1">
      <c r="J126" s="82"/>
      <c r="K126" s="82"/>
    </row>
    <row r="127" spans="10:11" s="81" customFormat="1">
      <c r="J127" s="82"/>
      <c r="K127" s="82"/>
    </row>
    <row r="128" spans="10:11" s="81" customFormat="1">
      <c r="J128" s="82"/>
      <c r="K128" s="82"/>
    </row>
    <row r="129" spans="10:11" s="81" customFormat="1">
      <c r="J129" s="82"/>
      <c r="K129" s="82"/>
    </row>
    <row r="130" spans="10:11" s="81" customFormat="1">
      <c r="J130" s="82"/>
      <c r="K130" s="82"/>
    </row>
    <row r="131" spans="10:11" s="81" customFormat="1">
      <c r="J131" s="82"/>
      <c r="K131" s="82"/>
    </row>
    <row r="132" spans="10:11" s="81" customFormat="1">
      <c r="J132" s="82"/>
      <c r="K132" s="82"/>
    </row>
    <row r="133" spans="10:11" s="81" customFormat="1">
      <c r="J133" s="82"/>
      <c r="K133" s="82"/>
    </row>
    <row r="134" spans="10:11" s="81" customFormat="1">
      <c r="J134" s="82"/>
      <c r="K134" s="82"/>
    </row>
    <row r="135" spans="10:11" s="81" customFormat="1">
      <c r="J135" s="82"/>
      <c r="K135" s="82"/>
    </row>
    <row r="136" spans="10:11" s="81" customFormat="1">
      <c r="J136" s="82"/>
      <c r="K136" s="82"/>
    </row>
    <row r="137" spans="10:11" s="81" customFormat="1">
      <c r="J137" s="82"/>
      <c r="K137" s="82"/>
    </row>
    <row r="138" spans="10:11" s="81" customFormat="1">
      <c r="J138" s="82"/>
      <c r="K138" s="82"/>
    </row>
    <row r="139" spans="10:11" s="81" customFormat="1">
      <c r="J139" s="82"/>
      <c r="K139" s="82"/>
    </row>
    <row r="140" spans="10:11" s="81" customFormat="1">
      <c r="J140" s="82"/>
      <c r="K140" s="82"/>
    </row>
    <row r="141" spans="10:11" s="81" customFormat="1">
      <c r="J141" s="82"/>
      <c r="K141" s="82"/>
    </row>
    <row r="142" spans="10:11" s="81" customFormat="1">
      <c r="J142" s="82"/>
      <c r="K142" s="82"/>
    </row>
    <row r="143" spans="10:11" s="81" customFormat="1">
      <c r="J143" s="82"/>
      <c r="K143" s="82"/>
    </row>
    <row r="144" spans="10:11" s="81" customFormat="1">
      <c r="J144" s="82"/>
      <c r="K144" s="82"/>
    </row>
    <row r="145" spans="10:11" s="81" customFormat="1">
      <c r="J145" s="82"/>
      <c r="K145" s="82"/>
    </row>
    <row r="146" spans="10:11" s="81" customFormat="1">
      <c r="J146" s="82"/>
      <c r="K146" s="82"/>
    </row>
    <row r="147" spans="10:11" s="81" customFormat="1">
      <c r="J147" s="82"/>
      <c r="K147" s="82"/>
    </row>
    <row r="148" spans="10:11" s="81" customFormat="1">
      <c r="J148" s="82"/>
      <c r="K148" s="82"/>
    </row>
    <row r="149" spans="10:11" s="81" customFormat="1">
      <c r="J149" s="82"/>
      <c r="K149" s="82"/>
    </row>
    <row r="150" spans="10:11" s="81" customFormat="1">
      <c r="J150" s="82"/>
      <c r="K150" s="82"/>
    </row>
    <row r="151" spans="10:11" s="81" customFormat="1">
      <c r="J151" s="82"/>
      <c r="K151" s="82"/>
    </row>
    <row r="152" spans="10:11" s="81" customFormat="1">
      <c r="J152" s="82"/>
      <c r="K152" s="82"/>
    </row>
    <row r="153" spans="10:11" s="81" customFormat="1">
      <c r="J153" s="82"/>
      <c r="K153" s="82"/>
    </row>
    <row r="154" spans="10:11" s="81" customFormat="1">
      <c r="J154" s="82"/>
      <c r="K154" s="82"/>
    </row>
    <row r="155" spans="10:11" s="81" customFormat="1">
      <c r="J155" s="82"/>
      <c r="K155" s="82"/>
    </row>
    <row r="156" spans="10:11" s="81" customFormat="1">
      <c r="J156" s="82"/>
      <c r="K156" s="82"/>
    </row>
    <row r="157" spans="10:11" s="81" customFormat="1">
      <c r="J157" s="82"/>
      <c r="K157" s="82"/>
    </row>
    <row r="158" spans="10:11" s="81" customFormat="1">
      <c r="J158" s="82"/>
      <c r="K158" s="82"/>
    </row>
    <row r="159" spans="10:11" s="81" customFormat="1">
      <c r="J159" s="82"/>
      <c r="K159" s="82"/>
    </row>
    <row r="160" spans="10:11" s="81" customFormat="1">
      <c r="J160" s="82"/>
      <c r="K160" s="82"/>
    </row>
    <row r="161" spans="10:11" s="81" customFormat="1">
      <c r="J161" s="82"/>
      <c r="K161" s="82"/>
    </row>
    <row r="162" spans="10:11" s="81" customFormat="1">
      <c r="J162" s="82"/>
      <c r="K162" s="82"/>
    </row>
    <row r="163" spans="10:11" s="81" customFormat="1">
      <c r="J163" s="82"/>
      <c r="K163" s="82"/>
    </row>
    <row r="164" spans="10:11" s="81" customFormat="1">
      <c r="J164" s="82"/>
      <c r="K164" s="82"/>
    </row>
    <row r="165" spans="10:11" s="81" customFormat="1">
      <c r="J165" s="82"/>
      <c r="K165" s="82"/>
    </row>
    <row r="166" spans="10:11" s="81" customFormat="1">
      <c r="J166" s="82"/>
      <c r="K166" s="82"/>
    </row>
    <row r="167" spans="10:11" s="81" customFormat="1">
      <c r="J167" s="82"/>
      <c r="K167" s="82"/>
    </row>
    <row r="168" spans="10:11" s="81" customFormat="1">
      <c r="J168" s="82"/>
      <c r="K168" s="82"/>
    </row>
    <row r="169" spans="10:11" s="81" customFormat="1">
      <c r="J169" s="82"/>
      <c r="K169" s="82"/>
    </row>
    <row r="170" spans="10:11" s="81" customFormat="1">
      <c r="J170" s="82"/>
      <c r="K170" s="82"/>
    </row>
    <row r="171" spans="10:11" s="81" customFormat="1">
      <c r="J171" s="82"/>
      <c r="K171" s="82"/>
    </row>
    <row r="172" spans="10:11" s="81" customFormat="1">
      <c r="J172" s="82"/>
      <c r="K172" s="82"/>
    </row>
    <row r="173" spans="10:11" s="81" customFormat="1">
      <c r="J173" s="82"/>
      <c r="K173" s="82"/>
    </row>
    <row r="174" spans="10:11" s="81" customFormat="1">
      <c r="J174" s="82"/>
      <c r="K174" s="82"/>
    </row>
    <row r="175" spans="10:11" s="81" customFormat="1">
      <c r="J175" s="82"/>
      <c r="K175" s="82"/>
    </row>
    <row r="176" spans="10:11" s="81" customFormat="1">
      <c r="J176" s="82"/>
      <c r="K176" s="82"/>
    </row>
    <row r="177" spans="10:11" s="81" customFormat="1">
      <c r="J177" s="82"/>
      <c r="K177" s="82"/>
    </row>
    <row r="178" spans="10:11" s="81" customFormat="1">
      <c r="J178" s="82"/>
      <c r="K178" s="82"/>
    </row>
    <row r="179" spans="10:11" s="81" customFormat="1">
      <c r="J179" s="82"/>
      <c r="K179" s="82"/>
    </row>
    <row r="180" spans="10:11" s="81" customFormat="1">
      <c r="J180" s="82"/>
      <c r="K180" s="82"/>
    </row>
    <row r="181" spans="10:11" s="81" customFormat="1">
      <c r="J181" s="82"/>
      <c r="K181" s="82"/>
    </row>
    <row r="182" spans="10:11" s="81" customFormat="1">
      <c r="J182" s="82"/>
      <c r="K182" s="82"/>
    </row>
    <row r="183" spans="10:11" s="81" customFormat="1">
      <c r="J183" s="82"/>
      <c r="K183" s="82"/>
    </row>
    <row r="184" spans="10:11" s="81" customFormat="1">
      <c r="J184" s="82"/>
      <c r="K184" s="82"/>
    </row>
    <row r="185" spans="10:11" s="81" customFormat="1">
      <c r="J185" s="82"/>
      <c r="K185" s="82"/>
    </row>
    <row r="186" spans="10:11" s="81" customFormat="1">
      <c r="J186" s="82"/>
      <c r="K186" s="82"/>
    </row>
    <row r="187" spans="10:11" s="81" customFormat="1">
      <c r="J187" s="82"/>
      <c r="K187" s="82"/>
    </row>
    <row r="188" spans="10:11" s="81" customFormat="1">
      <c r="J188" s="82"/>
      <c r="K188" s="82"/>
    </row>
    <row r="189" spans="10:11" s="81" customFormat="1">
      <c r="J189" s="82"/>
      <c r="K189" s="82"/>
    </row>
    <row r="190" spans="10:11" s="81" customFormat="1">
      <c r="J190" s="82"/>
      <c r="K190" s="82"/>
    </row>
    <row r="191" spans="10:11" s="81" customFormat="1">
      <c r="J191" s="82"/>
      <c r="K191" s="82"/>
    </row>
    <row r="192" spans="10:11" s="81" customFormat="1">
      <c r="J192" s="82"/>
      <c r="K192" s="82"/>
    </row>
    <row r="193" spans="10:11" s="81" customFormat="1">
      <c r="J193" s="82"/>
      <c r="K193" s="82"/>
    </row>
    <row r="194" spans="10:11" s="81" customFormat="1">
      <c r="J194" s="82"/>
      <c r="K194" s="82"/>
    </row>
    <row r="195" spans="10:11" s="81" customFormat="1">
      <c r="J195" s="82"/>
      <c r="K195" s="82"/>
    </row>
    <row r="196" spans="10:11" s="81" customFormat="1">
      <c r="J196" s="82"/>
      <c r="K196" s="82"/>
    </row>
    <row r="197" spans="10:11" s="81" customFormat="1">
      <c r="J197" s="82"/>
      <c r="K197" s="82"/>
    </row>
    <row r="198" spans="10:11" s="81" customFormat="1">
      <c r="J198" s="82"/>
      <c r="K198" s="82"/>
    </row>
    <row r="199" spans="10:11" s="81" customFormat="1">
      <c r="J199" s="82"/>
      <c r="K199" s="82"/>
    </row>
    <row r="200" spans="10:11" s="81" customFormat="1">
      <c r="J200" s="82"/>
      <c r="K200" s="82"/>
    </row>
    <row r="201" spans="10:11" s="81" customFormat="1">
      <c r="J201" s="82"/>
      <c r="K201" s="82"/>
    </row>
    <row r="202" spans="10:11" s="81" customFormat="1">
      <c r="J202" s="82"/>
      <c r="K202" s="82"/>
    </row>
    <row r="203" spans="10:11" s="81" customFormat="1">
      <c r="J203" s="82"/>
      <c r="K203" s="82"/>
    </row>
    <row r="204" spans="10:11" s="81" customFormat="1">
      <c r="J204" s="82"/>
      <c r="K204" s="82"/>
    </row>
    <row r="205" spans="10:11" s="81" customFormat="1">
      <c r="J205" s="82"/>
      <c r="K205" s="82"/>
    </row>
    <row r="206" spans="10:11" s="81" customFormat="1">
      <c r="J206" s="82"/>
      <c r="K206" s="82"/>
    </row>
    <row r="207" spans="10:11" s="81" customFormat="1">
      <c r="J207" s="82"/>
      <c r="K207" s="82"/>
    </row>
    <row r="208" spans="10:11" s="81" customFormat="1">
      <c r="J208" s="82"/>
      <c r="K208" s="82"/>
    </row>
    <row r="209" spans="10:11" s="81" customFormat="1">
      <c r="J209" s="82"/>
      <c r="K209" s="82"/>
    </row>
    <row r="210" spans="10:11" s="81" customFormat="1">
      <c r="J210" s="82"/>
      <c r="K210" s="82"/>
    </row>
    <row r="211" spans="10:11" s="81" customFormat="1">
      <c r="J211" s="82"/>
      <c r="K211" s="82"/>
    </row>
    <row r="212" spans="10:11" s="81" customFormat="1">
      <c r="J212" s="82"/>
      <c r="K212" s="82"/>
    </row>
    <row r="213" spans="10:11" s="81" customFormat="1">
      <c r="J213" s="82"/>
      <c r="K213" s="82"/>
    </row>
    <row r="214" spans="10:11" s="81" customFormat="1">
      <c r="J214" s="82"/>
      <c r="K214" s="82"/>
    </row>
    <row r="215" spans="10:11" s="81" customFormat="1">
      <c r="J215" s="82"/>
      <c r="K215" s="82"/>
    </row>
    <row r="216" spans="10:11" s="81" customFormat="1">
      <c r="J216" s="82"/>
      <c r="K216" s="82"/>
    </row>
    <row r="217" spans="10:11" s="81" customFormat="1">
      <c r="J217" s="82"/>
      <c r="K217" s="82"/>
    </row>
    <row r="218" spans="10:11" s="81" customFormat="1">
      <c r="J218" s="82"/>
      <c r="K218" s="82"/>
    </row>
    <row r="219" spans="10:11" s="81" customFormat="1">
      <c r="J219" s="82"/>
      <c r="K219" s="82"/>
    </row>
    <row r="220" spans="10:11" s="81" customFormat="1">
      <c r="J220" s="82"/>
      <c r="K220" s="82"/>
    </row>
    <row r="221" spans="10:11" s="81" customFormat="1">
      <c r="J221" s="82"/>
      <c r="K221" s="82"/>
    </row>
    <row r="222" spans="10:11" s="81" customFormat="1">
      <c r="J222" s="82"/>
      <c r="K222" s="82"/>
    </row>
    <row r="223" spans="10:11" s="81" customFormat="1">
      <c r="J223" s="82"/>
      <c r="K223" s="82"/>
    </row>
    <row r="224" spans="10:11" s="81" customFormat="1">
      <c r="J224" s="82"/>
      <c r="K224" s="82"/>
    </row>
    <row r="225" spans="10:11" s="81" customFormat="1">
      <c r="J225" s="82"/>
      <c r="K225" s="82"/>
    </row>
    <row r="226" spans="10:11" s="81" customFormat="1">
      <c r="J226" s="82"/>
      <c r="K226" s="82"/>
    </row>
    <row r="227" spans="10:11" s="81" customFormat="1">
      <c r="J227" s="82"/>
      <c r="K227" s="82"/>
    </row>
    <row r="228" spans="10:11" s="81" customFormat="1">
      <c r="J228" s="82"/>
      <c r="K228" s="82"/>
    </row>
    <row r="229" spans="10:11" s="81" customFormat="1">
      <c r="J229" s="82"/>
      <c r="K229" s="82"/>
    </row>
    <row r="230" spans="10:11" s="81" customFormat="1">
      <c r="J230" s="82"/>
      <c r="K230" s="82"/>
    </row>
    <row r="231" spans="10:11" s="81" customFormat="1">
      <c r="J231" s="82"/>
      <c r="K231" s="82"/>
    </row>
    <row r="232" spans="10:11" s="81" customFormat="1">
      <c r="J232" s="82"/>
      <c r="K232" s="82"/>
    </row>
    <row r="233" spans="10:11" s="81" customFormat="1">
      <c r="J233" s="82"/>
      <c r="K233" s="82"/>
    </row>
    <row r="234" spans="10:11" s="81" customFormat="1">
      <c r="J234" s="82"/>
      <c r="K234" s="82"/>
    </row>
    <row r="235" spans="10:11" s="81" customFormat="1">
      <c r="J235" s="82"/>
      <c r="K235" s="82"/>
    </row>
    <row r="236" spans="10:11" s="81" customFormat="1">
      <c r="J236" s="82"/>
      <c r="K236" s="82"/>
    </row>
    <row r="237" spans="10:11" s="81" customFormat="1">
      <c r="J237" s="82"/>
      <c r="K237" s="82"/>
    </row>
    <row r="238" spans="10:11" s="81" customFormat="1">
      <c r="J238" s="82"/>
      <c r="K238" s="82"/>
    </row>
    <row r="239" spans="10:11" s="81" customFormat="1">
      <c r="J239" s="82"/>
      <c r="K239" s="82"/>
    </row>
    <row r="240" spans="10:11" s="81" customFormat="1">
      <c r="J240" s="82"/>
      <c r="K240" s="82"/>
    </row>
    <row r="241" spans="10:11" s="81" customFormat="1">
      <c r="J241" s="82"/>
      <c r="K241" s="82"/>
    </row>
    <row r="242" spans="10:11" s="81" customFormat="1">
      <c r="J242" s="82"/>
      <c r="K242" s="82"/>
    </row>
    <row r="243" spans="10:11" s="81" customFormat="1">
      <c r="J243" s="82"/>
      <c r="K243" s="82"/>
    </row>
    <row r="244" spans="10:11" s="81" customFormat="1">
      <c r="J244" s="82"/>
      <c r="K244" s="82"/>
    </row>
    <row r="245" spans="10:11" s="81" customFormat="1">
      <c r="J245" s="82"/>
      <c r="K245" s="82"/>
    </row>
    <row r="246" spans="10:11" s="81" customFormat="1">
      <c r="J246" s="82"/>
      <c r="K246" s="82"/>
    </row>
    <row r="247" spans="10:11" s="81" customFormat="1">
      <c r="J247" s="82"/>
      <c r="K247" s="82"/>
    </row>
    <row r="248" spans="10:11" s="81" customFormat="1">
      <c r="J248" s="82"/>
      <c r="K248" s="82"/>
    </row>
    <row r="249" spans="10:11" s="81" customFormat="1">
      <c r="J249" s="82"/>
      <c r="K249" s="82"/>
    </row>
    <row r="250" spans="10:11" s="81" customFormat="1">
      <c r="J250" s="82"/>
      <c r="K250" s="82"/>
    </row>
    <row r="251" spans="10:11" s="81" customFormat="1">
      <c r="J251" s="82"/>
      <c r="K251" s="82"/>
    </row>
    <row r="252" spans="10:11" s="81" customFormat="1">
      <c r="J252" s="82"/>
      <c r="K252" s="82"/>
    </row>
    <row r="253" spans="10:11" s="81" customFormat="1">
      <c r="J253" s="82"/>
      <c r="K253" s="82"/>
    </row>
    <row r="254" spans="10:11" s="81" customFormat="1">
      <c r="J254" s="82"/>
      <c r="K254" s="82"/>
    </row>
    <row r="255" spans="10:11" s="81" customFormat="1">
      <c r="J255" s="82"/>
      <c r="K255" s="82"/>
    </row>
    <row r="256" spans="10:11" s="81" customFormat="1">
      <c r="J256" s="82"/>
      <c r="K256" s="82"/>
    </row>
    <row r="257" spans="10:11" s="81" customFormat="1">
      <c r="J257" s="82"/>
      <c r="K257" s="82"/>
    </row>
    <row r="258" spans="10:11" s="81" customFormat="1">
      <c r="J258" s="82"/>
      <c r="K258" s="82"/>
    </row>
    <row r="259" spans="10:11" s="81" customFormat="1">
      <c r="J259" s="82"/>
      <c r="K259" s="82"/>
    </row>
    <row r="260" spans="10:11" s="81" customFormat="1">
      <c r="J260" s="82"/>
      <c r="K260" s="82"/>
    </row>
    <row r="261" spans="10:11" s="81" customFormat="1">
      <c r="J261" s="82"/>
      <c r="K261" s="82"/>
    </row>
    <row r="262" spans="10:11" s="81" customFormat="1">
      <c r="J262" s="82"/>
      <c r="K262" s="82"/>
    </row>
    <row r="263" spans="10:11" s="81" customFormat="1">
      <c r="J263" s="82"/>
      <c r="K263" s="82"/>
    </row>
    <row r="264" spans="10:11" s="81" customFormat="1">
      <c r="J264" s="82"/>
      <c r="K264" s="82"/>
    </row>
    <row r="265" spans="10:11" s="81" customFormat="1">
      <c r="J265" s="82"/>
      <c r="K265" s="82"/>
    </row>
    <row r="266" spans="10:11" s="81" customFormat="1">
      <c r="J266" s="82"/>
      <c r="K266" s="82"/>
    </row>
    <row r="267" spans="10:11" s="81" customFormat="1">
      <c r="J267" s="82"/>
      <c r="K267" s="82"/>
    </row>
    <row r="268" spans="10:11" s="81" customFormat="1">
      <c r="J268" s="82"/>
      <c r="K268" s="82"/>
    </row>
    <row r="269" spans="10:11" s="81" customFormat="1">
      <c r="J269" s="82"/>
      <c r="K269" s="82"/>
    </row>
    <row r="270" spans="10:11" s="81" customFormat="1">
      <c r="J270" s="82"/>
      <c r="K270" s="82"/>
    </row>
    <row r="271" spans="10:11" s="81" customFormat="1">
      <c r="J271" s="82"/>
      <c r="K271" s="82"/>
    </row>
    <row r="272" spans="10:11" s="81" customFormat="1">
      <c r="J272" s="82"/>
      <c r="K272" s="82"/>
    </row>
    <row r="273" spans="10:11" s="81" customFormat="1">
      <c r="J273" s="82"/>
      <c r="K273" s="82"/>
    </row>
    <row r="274" spans="10:11" s="81" customFormat="1">
      <c r="J274" s="82"/>
      <c r="K274" s="82"/>
    </row>
    <row r="275" spans="10:11" s="81" customFormat="1">
      <c r="J275" s="82"/>
      <c r="K275" s="82"/>
    </row>
    <row r="276" spans="10:11" s="81" customFormat="1">
      <c r="J276" s="82"/>
      <c r="K276" s="82"/>
    </row>
    <row r="277" spans="10:11" s="81" customFormat="1">
      <c r="J277" s="82"/>
      <c r="K277" s="82"/>
    </row>
    <row r="278" spans="10:11" s="81" customFormat="1">
      <c r="J278" s="82"/>
      <c r="K278" s="82"/>
    </row>
    <row r="279" spans="10:11" s="81" customFormat="1">
      <c r="J279" s="82"/>
      <c r="K279" s="82"/>
    </row>
    <row r="280" spans="10:11" s="81" customFormat="1">
      <c r="J280" s="82"/>
      <c r="K280" s="82"/>
    </row>
    <row r="281" spans="10:11" s="81" customFormat="1">
      <c r="J281" s="82"/>
      <c r="K281" s="82"/>
    </row>
    <row r="282" spans="10:11" s="81" customFormat="1">
      <c r="J282" s="82"/>
      <c r="K282" s="82"/>
    </row>
    <row r="283" spans="10:11" s="81" customFormat="1">
      <c r="J283" s="82"/>
      <c r="K283" s="82"/>
    </row>
    <row r="284" spans="10:11" s="81" customFormat="1">
      <c r="J284" s="82"/>
      <c r="K284" s="82"/>
    </row>
    <row r="285" spans="10:11" s="81" customFormat="1">
      <c r="J285" s="82"/>
      <c r="K285" s="82"/>
    </row>
    <row r="286" spans="10:11" s="81" customFormat="1">
      <c r="J286" s="82"/>
      <c r="K286" s="82"/>
    </row>
    <row r="287" spans="10:11" s="81" customFormat="1">
      <c r="J287" s="82"/>
      <c r="K287" s="82"/>
    </row>
    <row r="288" spans="10:11" s="81" customFormat="1">
      <c r="J288" s="82"/>
      <c r="K288" s="82"/>
    </row>
    <row r="289" spans="10:11" s="81" customFormat="1">
      <c r="J289" s="82"/>
      <c r="K289" s="82"/>
    </row>
    <row r="290" spans="10:11" s="81" customFormat="1">
      <c r="J290" s="82"/>
      <c r="K290" s="82"/>
    </row>
    <row r="291" spans="10:11" s="81" customFormat="1">
      <c r="J291" s="82"/>
      <c r="K291" s="82"/>
    </row>
    <row r="292" spans="10:11" s="81" customFormat="1">
      <c r="J292" s="82"/>
      <c r="K292" s="82"/>
    </row>
    <row r="293" spans="10:11" s="81" customFormat="1">
      <c r="J293" s="82"/>
      <c r="K293" s="82"/>
    </row>
    <row r="294" spans="10:11" s="81" customFormat="1">
      <c r="J294" s="82"/>
      <c r="K294" s="82"/>
    </row>
    <row r="295" spans="10:11" s="81" customFormat="1">
      <c r="J295" s="82"/>
      <c r="K295" s="82"/>
    </row>
    <row r="296" spans="10:11" s="81" customFormat="1">
      <c r="J296" s="82"/>
      <c r="K296" s="82"/>
    </row>
    <row r="297" spans="10:11" s="81" customFormat="1">
      <c r="J297" s="82"/>
      <c r="K297" s="82"/>
    </row>
    <row r="298" spans="10:11" s="81" customFormat="1">
      <c r="J298" s="82"/>
      <c r="K298" s="82"/>
    </row>
    <row r="299" spans="10:11" s="81" customFormat="1">
      <c r="J299" s="82"/>
      <c r="K299" s="82"/>
    </row>
    <row r="300" spans="10:11" s="81" customFormat="1">
      <c r="J300" s="82"/>
      <c r="K300" s="82"/>
    </row>
    <row r="301" spans="10:11" s="81" customFormat="1">
      <c r="J301" s="82"/>
      <c r="K301" s="82"/>
    </row>
    <row r="302" spans="10:11" s="81" customFormat="1">
      <c r="J302" s="82"/>
      <c r="K302" s="82"/>
    </row>
    <row r="303" spans="10:11" s="81" customFormat="1">
      <c r="J303" s="82"/>
      <c r="K303" s="82"/>
    </row>
    <row r="304" spans="10:11" s="81" customFormat="1">
      <c r="J304" s="82"/>
      <c r="K304" s="82"/>
    </row>
    <row r="305" spans="10:11" s="81" customFormat="1">
      <c r="J305" s="82"/>
      <c r="K305" s="82"/>
    </row>
    <row r="306" spans="10:11" s="81" customFormat="1">
      <c r="J306" s="82"/>
      <c r="K306" s="82"/>
    </row>
    <row r="307" spans="10:11" s="81" customFormat="1">
      <c r="J307" s="82"/>
      <c r="K307" s="82"/>
    </row>
    <row r="308" spans="10:11" s="81" customFormat="1">
      <c r="J308" s="82"/>
      <c r="K308" s="82"/>
    </row>
    <row r="309" spans="10:11" s="81" customFormat="1">
      <c r="J309" s="82"/>
      <c r="K309" s="82"/>
    </row>
    <row r="310" spans="10:11" s="81" customFormat="1">
      <c r="J310" s="82"/>
      <c r="K310" s="82"/>
    </row>
    <row r="311" spans="10:11" s="81" customFormat="1">
      <c r="J311" s="82"/>
      <c r="K311" s="82"/>
    </row>
    <row r="312" spans="10:11" s="81" customFormat="1">
      <c r="J312" s="82"/>
      <c r="K312" s="82"/>
    </row>
    <row r="313" spans="10:11" s="81" customFormat="1">
      <c r="J313" s="82"/>
      <c r="K313" s="82"/>
    </row>
    <row r="314" spans="10:11" s="81" customFormat="1">
      <c r="J314" s="82"/>
      <c r="K314" s="82"/>
    </row>
    <row r="315" spans="10:11" s="81" customFormat="1">
      <c r="J315" s="82"/>
      <c r="K315" s="82"/>
    </row>
    <row r="316" spans="10:11" s="81" customFormat="1">
      <c r="J316" s="82"/>
      <c r="K316" s="82"/>
    </row>
    <row r="317" spans="10:11" s="81" customFormat="1">
      <c r="J317" s="82"/>
      <c r="K317" s="82"/>
    </row>
    <row r="318" spans="10:11" s="81" customFormat="1">
      <c r="J318" s="82"/>
      <c r="K318" s="82"/>
    </row>
    <row r="319" spans="10:11" s="81" customFormat="1">
      <c r="J319" s="82"/>
      <c r="K319" s="82"/>
    </row>
    <row r="320" spans="10:11" s="81" customFormat="1">
      <c r="J320" s="82"/>
      <c r="K320" s="82"/>
    </row>
    <row r="321" spans="10:11" s="81" customFormat="1">
      <c r="J321" s="82"/>
      <c r="K321" s="82"/>
    </row>
    <row r="322" spans="10:11" s="81" customFormat="1">
      <c r="J322" s="82"/>
      <c r="K322" s="82"/>
    </row>
    <row r="323" spans="10:11" s="81" customFormat="1">
      <c r="J323" s="82"/>
      <c r="K323" s="82"/>
    </row>
    <row r="324" spans="10:11" s="81" customFormat="1">
      <c r="J324" s="82"/>
      <c r="K324" s="82"/>
    </row>
    <row r="325" spans="10:11" s="81" customFormat="1">
      <c r="J325" s="82"/>
      <c r="K325" s="82"/>
    </row>
    <row r="326" spans="10:11" s="81" customFormat="1">
      <c r="J326" s="82"/>
      <c r="K326" s="82"/>
    </row>
    <row r="327" spans="10:11" s="81" customFormat="1">
      <c r="J327" s="82"/>
      <c r="K327" s="82"/>
    </row>
    <row r="328" spans="10:11" s="81" customFormat="1">
      <c r="J328" s="82"/>
      <c r="K328" s="82"/>
    </row>
    <row r="329" spans="10:11" s="81" customFormat="1">
      <c r="J329" s="82"/>
      <c r="K329" s="82"/>
    </row>
    <row r="330" spans="10:11" s="81" customFormat="1">
      <c r="J330" s="82"/>
      <c r="K330" s="82"/>
    </row>
    <row r="331" spans="10:11" s="81" customFormat="1">
      <c r="J331" s="82"/>
      <c r="K331" s="82"/>
    </row>
    <row r="332" spans="10:11" s="81" customFormat="1">
      <c r="J332" s="82"/>
      <c r="K332" s="82"/>
    </row>
    <row r="333" spans="10:11" s="81" customFormat="1">
      <c r="J333" s="82"/>
      <c r="K333" s="82"/>
    </row>
    <row r="334" spans="10:11" s="81" customFormat="1">
      <c r="J334" s="82"/>
      <c r="K334" s="82"/>
    </row>
    <row r="335" spans="10:11" s="81" customFormat="1">
      <c r="J335" s="82"/>
      <c r="K335" s="82"/>
    </row>
    <row r="336" spans="10:11" s="81" customFormat="1">
      <c r="J336" s="82"/>
      <c r="K336" s="82"/>
    </row>
    <row r="337" spans="10:11" s="81" customFormat="1">
      <c r="J337" s="82"/>
      <c r="K337" s="82"/>
    </row>
    <row r="338" spans="10:11" s="81" customFormat="1">
      <c r="J338" s="82"/>
      <c r="K338" s="82"/>
    </row>
    <row r="339" spans="10:11" s="81" customFormat="1">
      <c r="J339" s="82"/>
      <c r="K339" s="82"/>
    </row>
    <row r="340" spans="10:11" s="81" customFormat="1">
      <c r="J340" s="82"/>
      <c r="K340" s="82"/>
    </row>
    <row r="341" spans="10:11" s="81" customFormat="1">
      <c r="J341" s="82"/>
      <c r="K341" s="82"/>
    </row>
    <row r="342" spans="10:11" s="81" customFormat="1">
      <c r="J342" s="82"/>
      <c r="K342" s="82"/>
    </row>
    <row r="343" spans="10:11" s="81" customFormat="1">
      <c r="J343" s="82"/>
      <c r="K343" s="82"/>
    </row>
    <row r="344" spans="10:11" s="81" customFormat="1">
      <c r="J344" s="82"/>
      <c r="K344" s="82"/>
    </row>
    <row r="345" spans="10:11" s="81" customFormat="1">
      <c r="J345" s="82"/>
      <c r="K345" s="82"/>
    </row>
    <row r="346" spans="10:11" s="81" customFormat="1">
      <c r="J346" s="82"/>
      <c r="K346" s="82"/>
    </row>
    <row r="347" spans="10:11" s="81" customFormat="1">
      <c r="J347" s="82"/>
      <c r="K347" s="82"/>
    </row>
    <row r="348" spans="10:11" s="81" customFormat="1">
      <c r="J348" s="82"/>
      <c r="K348" s="82"/>
    </row>
    <row r="349" spans="10:11" s="81" customFormat="1">
      <c r="J349" s="82"/>
      <c r="K349" s="82"/>
    </row>
    <row r="350" spans="10:11" s="81" customFormat="1">
      <c r="J350" s="82"/>
      <c r="K350" s="82"/>
    </row>
    <row r="351" spans="10:11" s="81" customFormat="1">
      <c r="J351" s="82"/>
      <c r="K351" s="82"/>
    </row>
    <row r="352" spans="10:11" s="81" customFormat="1">
      <c r="J352" s="82"/>
      <c r="K352" s="82"/>
    </row>
    <row r="353" spans="10:11" s="81" customFormat="1">
      <c r="J353" s="82"/>
      <c r="K353" s="82"/>
    </row>
    <row r="354" spans="10:11" s="81" customFormat="1">
      <c r="J354" s="82"/>
      <c r="K354" s="82"/>
    </row>
    <row r="355" spans="10:11" s="81" customFormat="1">
      <c r="J355" s="82"/>
      <c r="K355" s="82"/>
    </row>
    <row r="356" spans="10:11" s="81" customFormat="1">
      <c r="J356" s="82"/>
      <c r="K356" s="82"/>
    </row>
    <row r="357" spans="10:11" s="81" customFormat="1">
      <c r="J357" s="82"/>
      <c r="K357" s="82"/>
    </row>
    <row r="358" spans="10:11" s="81" customFormat="1">
      <c r="J358" s="82"/>
      <c r="K358" s="82"/>
    </row>
    <row r="359" spans="10:11" s="81" customFormat="1">
      <c r="J359" s="82"/>
      <c r="K359" s="82"/>
    </row>
    <row r="360" spans="10:11" s="81" customFormat="1">
      <c r="J360" s="82"/>
      <c r="K360" s="82"/>
    </row>
    <row r="361" spans="10:11" s="81" customFormat="1">
      <c r="J361" s="82"/>
      <c r="K361" s="82"/>
    </row>
    <row r="362" spans="10:11" s="81" customFormat="1">
      <c r="J362" s="82"/>
      <c r="K362" s="82"/>
    </row>
    <row r="363" spans="10:11" s="81" customFormat="1">
      <c r="J363" s="82"/>
      <c r="K363" s="82"/>
    </row>
    <row r="364" spans="10:11" s="81" customFormat="1">
      <c r="J364" s="82"/>
      <c r="K364" s="82"/>
    </row>
    <row r="365" spans="10:11" s="81" customFormat="1">
      <c r="J365" s="82"/>
      <c r="K365" s="82"/>
    </row>
    <row r="366" spans="10:11" s="81" customFormat="1">
      <c r="J366" s="82"/>
      <c r="K366" s="82"/>
    </row>
    <row r="367" spans="10:11" s="81" customFormat="1">
      <c r="J367" s="82"/>
      <c r="K367" s="82"/>
    </row>
    <row r="368" spans="10:11" s="81" customFormat="1">
      <c r="J368" s="82"/>
      <c r="K368" s="82"/>
    </row>
    <row r="369" spans="10:11" s="81" customFormat="1">
      <c r="J369" s="82"/>
      <c r="K369" s="82"/>
    </row>
    <row r="370" spans="10:11" s="81" customFormat="1">
      <c r="J370" s="82"/>
      <c r="K370" s="82"/>
    </row>
    <row r="371" spans="10:11" s="81" customFormat="1">
      <c r="J371" s="82"/>
      <c r="K371" s="82"/>
    </row>
    <row r="372" spans="10:11" s="81" customFormat="1">
      <c r="J372" s="82"/>
      <c r="K372" s="82"/>
    </row>
    <row r="373" spans="10:11" s="81" customFormat="1">
      <c r="J373" s="82"/>
      <c r="K373" s="82"/>
    </row>
    <row r="374" spans="10:11" s="81" customFormat="1">
      <c r="J374" s="82"/>
      <c r="K374" s="82"/>
    </row>
    <row r="375" spans="10:11" s="81" customFormat="1">
      <c r="J375" s="82"/>
      <c r="K375" s="82"/>
    </row>
    <row r="376" spans="10:11" s="81" customFormat="1">
      <c r="J376" s="82"/>
      <c r="K376" s="82"/>
    </row>
    <row r="377" spans="10:11" s="81" customFormat="1">
      <c r="J377" s="82"/>
      <c r="K377" s="82"/>
    </row>
    <row r="378" spans="10:11" s="81" customFormat="1">
      <c r="J378" s="82"/>
      <c r="K378" s="82"/>
    </row>
    <row r="379" spans="10:11" s="81" customFormat="1">
      <c r="J379" s="82"/>
      <c r="K379" s="82"/>
    </row>
    <row r="380" spans="10:11" s="81" customFormat="1">
      <c r="J380" s="82"/>
      <c r="K380" s="82"/>
    </row>
    <row r="381" spans="10:11" s="81" customFormat="1">
      <c r="J381" s="82"/>
      <c r="K381" s="82"/>
    </row>
    <row r="382" spans="10:11" s="81" customFormat="1">
      <c r="J382" s="82"/>
      <c r="K382" s="82"/>
    </row>
    <row r="383" spans="10:11" s="81" customFormat="1">
      <c r="J383" s="82"/>
      <c r="K383" s="82"/>
    </row>
    <row r="384" spans="10:11" s="81" customFormat="1">
      <c r="J384" s="82"/>
      <c r="K384" s="82"/>
    </row>
    <row r="385" spans="10:11" s="81" customFormat="1">
      <c r="J385" s="82"/>
      <c r="K385" s="82"/>
    </row>
    <row r="386" spans="10:11" s="81" customFormat="1">
      <c r="J386" s="82"/>
      <c r="K386" s="82"/>
    </row>
    <row r="387" spans="10:11" s="81" customFormat="1">
      <c r="J387" s="82"/>
      <c r="K387" s="82"/>
    </row>
    <row r="388" spans="10:11" s="81" customFormat="1">
      <c r="J388" s="82"/>
      <c r="K388" s="82"/>
    </row>
    <row r="389" spans="10:11" s="81" customFormat="1">
      <c r="J389" s="82"/>
      <c r="K389" s="82"/>
    </row>
    <row r="390" spans="10:11" s="81" customFormat="1">
      <c r="J390" s="82"/>
      <c r="K390" s="82"/>
    </row>
    <row r="391" spans="10:11" s="81" customFormat="1">
      <c r="J391" s="82"/>
      <c r="K391" s="82"/>
    </row>
    <row r="392" spans="10:11" s="81" customFormat="1">
      <c r="J392" s="82"/>
      <c r="K392" s="82"/>
    </row>
    <row r="393" spans="10:11" s="81" customFormat="1">
      <c r="J393" s="82"/>
      <c r="K393" s="82"/>
    </row>
    <row r="394" spans="10:11" s="81" customFormat="1">
      <c r="J394" s="82"/>
      <c r="K394" s="82"/>
    </row>
    <row r="395" spans="10:11" s="81" customFormat="1">
      <c r="J395" s="82"/>
      <c r="K395" s="82"/>
    </row>
    <row r="396" spans="10:11" s="81" customFormat="1">
      <c r="J396" s="82"/>
      <c r="K396" s="82"/>
    </row>
    <row r="397" spans="10:11" s="81" customFormat="1">
      <c r="J397" s="82"/>
      <c r="K397" s="82"/>
    </row>
    <row r="398" spans="10:11" s="81" customFormat="1">
      <c r="J398" s="82"/>
      <c r="K398" s="82"/>
    </row>
    <row r="399" spans="10:11" s="81" customFormat="1">
      <c r="J399" s="82"/>
      <c r="K399" s="82"/>
    </row>
    <row r="400" spans="10:11" s="81" customFormat="1">
      <c r="J400" s="82"/>
      <c r="K400" s="82"/>
    </row>
    <row r="401" spans="10:11" s="81" customFormat="1">
      <c r="J401" s="82"/>
      <c r="K401" s="82"/>
    </row>
    <row r="402" spans="10:11" s="81" customFormat="1">
      <c r="J402" s="82"/>
      <c r="K402" s="82"/>
    </row>
    <row r="403" spans="10:11" s="81" customFormat="1">
      <c r="J403" s="82"/>
      <c r="K403" s="82"/>
    </row>
    <row r="404" spans="10:11" s="81" customFormat="1">
      <c r="J404" s="82"/>
      <c r="K404" s="82"/>
    </row>
    <row r="405" spans="10:11" s="81" customFormat="1">
      <c r="J405" s="82"/>
      <c r="K405" s="82"/>
    </row>
    <row r="406" spans="10:11" s="81" customFormat="1">
      <c r="J406" s="82"/>
      <c r="K406" s="82"/>
    </row>
    <row r="407" spans="10:11" s="81" customFormat="1">
      <c r="J407" s="82"/>
      <c r="K407" s="82"/>
    </row>
    <row r="408" spans="10:11" s="81" customFormat="1">
      <c r="J408" s="82"/>
      <c r="K408" s="82"/>
    </row>
    <row r="409" spans="10:11" s="81" customFormat="1">
      <c r="J409" s="82"/>
      <c r="K409" s="82"/>
    </row>
    <row r="410" spans="10:11" s="81" customFormat="1">
      <c r="J410" s="82"/>
      <c r="K410" s="82"/>
    </row>
    <row r="411" spans="10:11" s="81" customFormat="1">
      <c r="J411" s="82"/>
      <c r="K411" s="82"/>
    </row>
    <row r="412" spans="10:11" s="81" customFormat="1">
      <c r="J412" s="82"/>
      <c r="K412" s="82"/>
    </row>
    <row r="413" spans="10:11" s="81" customFormat="1">
      <c r="J413" s="82"/>
      <c r="K413" s="82"/>
    </row>
    <row r="414" spans="10:11" s="81" customFormat="1">
      <c r="J414" s="82"/>
      <c r="K414" s="82"/>
    </row>
    <row r="415" spans="10:11" s="81" customFormat="1">
      <c r="J415" s="82"/>
      <c r="K415" s="82"/>
    </row>
    <row r="416" spans="10:11" s="81" customFormat="1">
      <c r="J416" s="82"/>
      <c r="K416" s="82"/>
    </row>
    <row r="417" spans="10:11" s="81" customFormat="1">
      <c r="J417" s="82"/>
      <c r="K417" s="82"/>
    </row>
    <row r="418" spans="10:11" s="81" customFormat="1">
      <c r="J418" s="82"/>
      <c r="K418" s="82"/>
    </row>
    <row r="419" spans="10:11" s="81" customFormat="1">
      <c r="J419" s="82"/>
      <c r="K419" s="82"/>
    </row>
    <row r="420" spans="10:11" s="81" customFormat="1">
      <c r="J420" s="82"/>
      <c r="K420" s="82"/>
    </row>
    <row r="421" spans="10:11" s="81" customFormat="1">
      <c r="J421" s="82"/>
      <c r="K421" s="82"/>
    </row>
    <row r="422" spans="10:11" s="81" customFormat="1">
      <c r="J422" s="82"/>
      <c r="K422" s="82"/>
    </row>
    <row r="423" spans="10:11" s="81" customFormat="1">
      <c r="J423" s="82"/>
      <c r="K423" s="82"/>
    </row>
    <row r="424" spans="10:11" s="81" customFormat="1">
      <c r="J424" s="82"/>
      <c r="K424" s="82"/>
    </row>
    <row r="425" spans="10:11" s="81" customFormat="1">
      <c r="J425" s="82"/>
      <c r="K425" s="82"/>
    </row>
    <row r="426" spans="10:11" s="81" customFormat="1">
      <c r="J426" s="82"/>
      <c r="K426" s="82"/>
    </row>
    <row r="427" spans="10:11" s="81" customFormat="1">
      <c r="J427" s="82"/>
      <c r="K427" s="82"/>
    </row>
    <row r="428" spans="10:11" s="81" customFormat="1">
      <c r="J428" s="82"/>
      <c r="K428" s="82"/>
    </row>
    <row r="429" spans="10:11" s="81" customFormat="1">
      <c r="J429" s="82"/>
      <c r="K429" s="82"/>
    </row>
    <row r="430" spans="10:11" s="81" customFormat="1">
      <c r="J430" s="82"/>
      <c r="K430" s="82"/>
    </row>
    <row r="431" spans="10:11" s="81" customFormat="1">
      <c r="J431" s="82"/>
      <c r="K431" s="82"/>
    </row>
    <row r="432" spans="10:11" s="81" customFormat="1">
      <c r="J432" s="82"/>
      <c r="K432" s="82"/>
    </row>
    <row r="433" spans="2:11" s="81" customFormat="1">
      <c r="J433" s="82"/>
      <c r="K433" s="82"/>
    </row>
    <row r="434" spans="2:11" s="81" customFormat="1">
      <c r="J434" s="82"/>
      <c r="K434" s="82"/>
    </row>
    <row r="435" spans="2:11" s="81" customFormat="1">
      <c r="J435" s="82"/>
      <c r="K435" s="82"/>
    </row>
    <row r="436" spans="2:11" s="81" customFormat="1">
      <c r="J436" s="82"/>
      <c r="K436" s="82"/>
    </row>
    <row r="437" spans="2:11" s="81" customFormat="1">
      <c r="J437" s="82"/>
      <c r="K437" s="82"/>
    </row>
    <row r="438" spans="2:11" s="81" customFormat="1">
      <c r="J438" s="82"/>
      <c r="K438" s="82"/>
    </row>
    <row r="439" spans="2:11">
      <c r="B439" s="81"/>
    </row>
    <row r="440" spans="2:11">
      <c r="B440" s="81"/>
    </row>
    <row r="441" spans="2:11">
      <c r="B441" s="81"/>
    </row>
    <row r="442" spans="2:11">
      <c r="B442" s="81"/>
    </row>
  </sheetData>
  <mergeCells count="14">
    <mergeCell ref="M1:M2"/>
    <mergeCell ref="A108:L108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rintOptions horizontalCentered="1"/>
  <pageMargins left="0.31496062992125984" right="0.35433070866141736" top="1.1023622047244095" bottom="0.51181102362204722" header="0.55118110236220474" footer="0.19685039370078741"/>
  <pageSetup paperSize="9" scale="80" orientation="landscape" r:id="rId1"/>
  <headerFooter>
    <oddHeader>&amp;L&amp;"Times New Roman,Gras italique"&amp;12GROUPEMENT D'HABITATIONS 
EN RESIDENCE FERMEE&amp;C&amp;"Times New Roman,Gras italique"&amp;12&amp;U&amp;K0000FFSOHAUS  "IMMEUBLES C et D"
&amp;R&amp;"Times New Roman,Gras italique"&amp;12BORDEREAU DES PRIX - DETAIL ESTIMATIF 
LOT N°3 : FLUIDES</oddHeader>
    <oddFooter>&amp;L&amp;"Times New Roman,Gras italique"&amp;12OMNIUM TECHNOLOGIQUE&amp;R&amp;"Times New Roman,Gras italique"&amp;14&amp;P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2101-51D9-402A-B6CA-5AE08E08B33D}">
  <dimension ref="A1:O357"/>
  <sheetViews>
    <sheetView view="pageBreakPreview" zoomScale="70" zoomScaleNormal="85" zoomScaleSheetLayoutView="70" workbookViewId="0">
      <selection activeCell="M9" sqref="M9"/>
    </sheetView>
  </sheetViews>
  <sheetFormatPr baseColWidth="10" defaultRowHeight="13.8" outlineLevelCol="3"/>
  <cols>
    <col min="1" max="1" width="17.109375" style="20" customWidth="1"/>
    <col min="2" max="2" width="82.6640625" style="20" customWidth="1"/>
    <col min="3" max="3" width="11.6640625" style="20" customWidth="1"/>
    <col min="4" max="9" width="11.6640625" style="20" customWidth="1" outlineLevel="1"/>
    <col min="10" max="10" width="13" style="82" customWidth="1" outlineLevel="3"/>
    <col min="11" max="11" width="13.5546875" style="82" customWidth="1"/>
    <col min="12" max="12" width="22.44140625" style="81" customWidth="1"/>
    <col min="13" max="13" width="28.5546875" style="20" customWidth="1"/>
    <col min="14" max="14" width="23.88671875" style="20" customWidth="1"/>
    <col min="15" max="15" width="17" style="20" customWidth="1"/>
    <col min="16" max="261" width="11.5546875" style="20"/>
    <col min="262" max="262" width="17.109375" style="20" customWidth="1"/>
    <col min="263" max="263" width="72.109375" style="20" customWidth="1"/>
    <col min="264" max="264" width="18" style="20" customWidth="1"/>
    <col min="265" max="265" width="18.109375" style="20" customWidth="1"/>
    <col min="266" max="267" width="25" style="20" customWidth="1"/>
    <col min="268" max="268" width="13.109375" style="20" bestFit="1" customWidth="1"/>
    <col min="269" max="269" width="15.5546875" style="20" bestFit="1" customWidth="1"/>
    <col min="270" max="517" width="11.5546875" style="20"/>
    <col min="518" max="518" width="17.109375" style="20" customWidth="1"/>
    <col min="519" max="519" width="72.109375" style="20" customWidth="1"/>
    <col min="520" max="520" width="18" style="20" customWidth="1"/>
    <col min="521" max="521" width="18.109375" style="20" customWidth="1"/>
    <col min="522" max="523" width="25" style="20" customWidth="1"/>
    <col min="524" max="524" width="13.109375" style="20" bestFit="1" customWidth="1"/>
    <col min="525" max="525" width="15.5546875" style="20" bestFit="1" customWidth="1"/>
    <col min="526" max="773" width="11.5546875" style="20"/>
    <col min="774" max="774" width="17.109375" style="20" customWidth="1"/>
    <col min="775" max="775" width="72.109375" style="20" customWidth="1"/>
    <col min="776" max="776" width="18" style="20" customWidth="1"/>
    <col min="777" max="777" width="18.109375" style="20" customWidth="1"/>
    <col min="778" max="779" width="25" style="20" customWidth="1"/>
    <col min="780" max="780" width="13.109375" style="20" bestFit="1" customWidth="1"/>
    <col min="781" max="781" width="15.5546875" style="20" bestFit="1" customWidth="1"/>
    <col min="782" max="1029" width="11.5546875" style="20"/>
    <col min="1030" max="1030" width="17.109375" style="20" customWidth="1"/>
    <col min="1031" max="1031" width="72.109375" style="20" customWidth="1"/>
    <col min="1032" max="1032" width="18" style="20" customWidth="1"/>
    <col min="1033" max="1033" width="18.109375" style="20" customWidth="1"/>
    <col min="1034" max="1035" width="25" style="20" customWidth="1"/>
    <col min="1036" max="1036" width="13.109375" style="20" bestFit="1" customWidth="1"/>
    <col min="1037" max="1037" width="15.5546875" style="20" bestFit="1" customWidth="1"/>
    <col min="1038" max="1285" width="11.5546875" style="20"/>
    <col min="1286" max="1286" width="17.109375" style="20" customWidth="1"/>
    <col min="1287" max="1287" width="72.109375" style="20" customWidth="1"/>
    <col min="1288" max="1288" width="18" style="20" customWidth="1"/>
    <col min="1289" max="1289" width="18.109375" style="20" customWidth="1"/>
    <col min="1290" max="1291" width="25" style="20" customWidth="1"/>
    <col min="1292" max="1292" width="13.109375" style="20" bestFit="1" customWidth="1"/>
    <col min="1293" max="1293" width="15.5546875" style="20" bestFit="1" customWidth="1"/>
    <col min="1294" max="1541" width="11.5546875" style="20"/>
    <col min="1542" max="1542" width="17.109375" style="20" customWidth="1"/>
    <col min="1543" max="1543" width="72.109375" style="20" customWidth="1"/>
    <col min="1544" max="1544" width="18" style="20" customWidth="1"/>
    <col min="1545" max="1545" width="18.109375" style="20" customWidth="1"/>
    <col min="1546" max="1547" width="25" style="20" customWidth="1"/>
    <col min="1548" max="1548" width="13.109375" style="20" bestFit="1" customWidth="1"/>
    <col min="1549" max="1549" width="15.5546875" style="20" bestFit="1" customWidth="1"/>
    <col min="1550" max="1797" width="11.5546875" style="20"/>
    <col min="1798" max="1798" width="17.109375" style="20" customWidth="1"/>
    <col min="1799" max="1799" width="72.109375" style="20" customWidth="1"/>
    <col min="1800" max="1800" width="18" style="20" customWidth="1"/>
    <col min="1801" max="1801" width="18.109375" style="20" customWidth="1"/>
    <col min="1802" max="1803" width="25" style="20" customWidth="1"/>
    <col min="1804" max="1804" width="13.109375" style="20" bestFit="1" customWidth="1"/>
    <col min="1805" max="1805" width="15.5546875" style="20" bestFit="1" customWidth="1"/>
    <col min="1806" max="2053" width="11.5546875" style="20"/>
    <col min="2054" max="2054" width="17.109375" style="20" customWidth="1"/>
    <col min="2055" max="2055" width="72.109375" style="20" customWidth="1"/>
    <col min="2056" max="2056" width="18" style="20" customWidth="1"/>
    <col min="2057" max="2057" width="18.109375" style="20" customWidth="1"/>
    <col min="2058" max="2059" width="25" style="20" customWidth="1"/>
    <col min="2060" max="2060" width="13.109375" style="20" bestFit="1" customWidth="1"/>
    <col min="2061" max="2061" width="15.5546875" style="20" bestFit="1" customWidth="1"/>
    <col min="2062" max="2309" width="11.5546875" style="20"/>
    <col min="2310" max="2310" width="17.109375" style="20" customWidth="1"/>
    <col min="2311" max="2311" width="72.109375" style="20" customWidth="1"/>
    <col min="2312" max="2312" width="18" style="20" customWidth="1"/>
    <col min="2313" max="2313" width="18.109375" style="20" customWidth="1"/>
    <col min="2314" max="2315" width="25" style="20" customWidth="1"/>
    <col min="2316" max="2316" width="13.109375" style="20" bestFit="1" customWidth="1"/>
    <col min="2317" max="2317" width="15.5546875" style="20" bestFit="1" customWidth="1"/>
    <col min="2318" max="2565" width="11.5546875" style="20"/>
    <col min="2566" max="2566" width="17.109375" style="20" customWidth="1"/>
    <col min="2567" max="2567" width="72.109375" style="20" customWidth="1"/>
    <col min="2568" max="2568" width="18" style="20" customWidth="1"/>
    <col min="2569" max="2569" width="18.109375" style="20" customWidth="1"/>
    <col min="2570" max="2571" width="25" style="20" customWidth="1"/>
    <col min="2572" max="2572" width="13.109375" style="20" bestFit="1" customWidth="1"/>
    <col min="2573" max="2573" width="15.5546875" style="20" bestFit="1" customWidth="1"/>
    <col min="2574" max="2821" width="11.5546875" style="20"/>
    <col min="2822" max="2822" width="17.109375" style="20" customWidth="1"/>
    <col min="2823" max="2823" width="72.109375" style="20" customWidth="1"/>
    <col min="2824" max="2824" width="18" style="20" customWidth="1"/>
    <col min="2825" max="2825" width="18.109375" style="20" customWidth="1"/>
    <col min="2826" max="2827" width="25" style="20" customWidth="1"/>
    <col min="2828" max="2828" width="13.109375" style="20" bestFit="1" customWidth="1"/>
    <col min="2829" max="2829" width="15.5546875" style="20" bestFit="1" customWidth="1"/>
    <col min="2830" max="3077" width="11.5546875" style="20"/>
    <col min="3078" max="3078" width="17.109375" style="20" customWidth="1"/>
    <col min="3079" max="3079" width="72.109375" style="20" customWidth="1"/>
    <col min="3080" max="3080" width="18" style="20" customWidth="1"/>
    <col min="3081" max="3081" width="18.109375" style="20" customWidth="1"/>
    <col min="3082" max="3083" width="25" style="20" customWidth="1"/>
    <col min="3084" max="3084" width="13.109375" style="20" bestFit="1" customWidth="1"/>
    <col min="3085" max="3085" width="15.5546875" style="20" bestFit="1" customWidth="1"/>
    <col min="3086" max="3333" width="11.5546875" style="20"/>
    <col min="3334" max="3334" width="17.109375" style="20" customWidth="1"/>
    <col min="3335" max="3335" width="72.109375" style="20" customWidth="1"/>
    <col min="3336" max="3336" width="18" style="20" customWidth="1"/>
    <col min="3337" max="3337" width="18.109375" style="20" customWidth="1"/>
    <col min="3338" max="3339" width="25" style="20" customWidth="1"/>
    <col min="3340" max="3340" width="13.109375" style="20" bestFit="1" customWidth="1"/>
    <col min="3341" max="3341" width="15.5546875" style="20" bestFit="1" customWidth="1"/>
    <col min="3342" max="3589" width="11.5546875" style="20"/>
    <col min="3590" max="3590" width="17.109375" style="20" customWidth="1"/>
    <col min="3591" max="3591" width="72.109375" style="20" customWidth="1"/>
    <col min="3592" max="3592" width="18" style="20" customWidth="1"/>
    <col min="3593" max="3593" width="18.109375" style="20" customWidth="1"/>
    <col min="3594" max="3595" width="25" style="20" customWidth="1"/>
    <col min="3596" max="3596" width="13.109375" style="20" bestFit="1" customWidth="1"/>
    <col min="3597" max="3597" width="15.5546875" style="20" bestFit="1" customWidth="1"/>
    <col min="3598" max="3845" width="11.5546875" style="20"/>
    <col min="3846" max="3846" width="17.109375" style="20" customWidth="1"/>
    <col min="3847" max="3847" width="72.109375" style="20" customWidth="1"/>
    <col min="3848" max="3848" width="18" style="20" customWidth="1"/>
    <col min="3849" max="3849" width="18.109375" style="20" customWidth="1"/>
    <col min="3850" max="3851" width="25" style="20" customWidth="1"/>
    <col min="3852" max="3852" width="13.109375" style="20" bestFit="1" customWidth="1"/>
    <col min="3853" max="3853" width="15.5546875" style="20" bestFit="1" customWidth="1"/>
    <col min="3854" max="4101" width="11.5546875" style="20"/>
    <col min="4102" max="4102" width="17.109375" style="20" customWidth="1"/>
    <col min="4103" max="4103" width="72.109375" style="20" customWidth="1"/>
    <col min="4104" max="4104" width="18" style="20" customWidth="1"/>
    <col min="4105" max="4105" width="18.109375" style="20" customWidth="1"/>
    <col min="4106" max="4107" width="25" style="20" customWidth="1"/>
    <col min="4108" max="4108" width="13.109375" style="20" bestFit="1" customWidth="1"/>
    <col min="4109" max="4109" width="15.5546875" style="20" bestFit="1" customWidth="1"/>
    <col min="4110" max="4357" width="11.5546875" style="20"/>
    <col min="4358" max="4358" width="17.109375" style="20" customWidth="1"/>
    <col min="4359" max="4359" width="72.109375" style="20" customWidth="1"/>
    <col min="4360" max="4360" width="18" style="20" customWidth="1"/>
    <col min="4361" max="4361" width="18.109375" style="20" customWidth="1"/>
    <col min="4362" max="4363" width="25" style="20" customWidth="1"/>
    <col min="4364" max="4364" width="13.109375" style="20" bestFit="1" customWidth="1"/>
    <col min="4365" max="4365" width="15.5546875" style="20" bestFit="1" customWidth="1"/>
    <col min="4366" max="4613" width="11.5546875" style="20"/>
    <col min="4614" max="4614" width="17.109375" style="20" customWidth="1"/>
    <col min="4615" max="4615" width="72.109375" style="20" customWidth="1"/>
    <col min="4616" max="4616" width="18" style="20" customWidth="1"/>
    <col min="4617" max="4617" width="18.109375" style="20" customWidth="1"/>
    <col min="4618" max="4619" width="25" style="20" customWidth="1"/>
    <col min="4620" max="4620" width="13.109375" style="20" bestFit="1" customWidth="1"/>
    <col min="4621" max="4621" width="15.5546875" style="20" bestFit="1" customWidth="1"/>
    <col min="4622" max="4869" width="11.5546875" style="20"/>
    <col min="4870" max="4870" width="17.109375" style="20" customWidth="1"/>
    <col min="4871" max="4871" width="72.109375" style="20" customWidth="1"/>
    <col min="4872" max="4872" width="18" style="20" customWidth="1"/>
    <col min="4873" max="4873" width="18.109375" style="20" customWidth="1"/>
    <col min="4874" max="4875" width="25" style="20" customWidth="1"/>
    <col min="4876" max="4876" width="13.109375" style="20" bestFit="1" customWidth="1"/>
    <col min="4877" max="4877" width="15.5546875" style="20" bestFit="1" customWidth="1"/>
    <col min="4878" max="5125" width="11.5546875" style="20"/>
    <col min="5126" max="5126" width="17.109375" style="20" customWidth="1"/>
    <col min="5127" max="5127" width="72.109375" style="20" customWidth="1"/>
    <col min="5128" max="5128" width="18" style="20" customWidth="1"/>
    <col min="5129" max="5129" width="18.109375" style="20" customWidth="1"/>
    <col min="5130" max="5131" width="25" style="20" customWidth="1"/>
    <col min="5132" max="5132" width="13.109375" style="20" bestFit="1" customWidth="1"/>
    <col min="5133" max="5133" width="15.5546875" style="20" bestFit="1" customWidth="1"/>
    <col min="5134" max="5381" width="11.5546875" style="20"/>
    <col min="5382" max="5382" width="17.109375" style="20" customWidth="1"/>
    <col min="5383" max="5383" width="72.109375" style="20" customWidth="1"/>
    <col min="5384" max="5384" width="18" style="20" customWidth="1"/>
    <col min="5385" max="5385" width="18.109375" style="20" customWidth="1"/>
    <col min="5386" max="5387" width="25" style="20" customWidth="1"/>
    <col min="5388" max="5388" width="13.109375" style="20" bestFit="1" customWidth="1"/>
    <col min="5389" max="5389" width="15.5546875" style="20" bestFit="1" customWidth="1"/>
    <col min="5390" max="5637" width="11.5546875" style="20"/>
    <col min="5638" max="5638" width="17.109375" style="20" customWidth="1"/>
    <col min="5639" max="5639" width="72.109375" style="20" customWidth="1"/>
    <col min="5640" max="5640" width="18" style="20" customWidth="1"/>
    <col min="5641" max="5641" width="18.109375" style="20" customWidth="1"/>
    <col min="5642" max="5643" width="25" style="20" customWidth="1"/>
    <col min="5644" max="5644" width="13.109375" style="20" bestFit="1" customWidth="1"/>
    <col min="5645" max="5645" width="15.5546875" style="20" bestFit="1" customWidth="1"/>
    <col min="5646" max="5893" width="11.5546875" style="20"/>
    <col min="5894" max="5894" width="17.109375" style="20" customWidth="1"/>
    <col min="5895" max="5895" width="72.109375" style="20" customWidth="1"/>
    <col min="5896" max="5896" width="18" style="20" customWidth="1"/>
    <col min="5897" max="5897" width="18.109375" style="20" customWidth="1"/>
    <col min="5898" max="5899" width="25" style="20" customWidth="1"/>
    <col min="5900" max="5900" width="13.109375" style="20" bestFit="1" customWidth="1"/>
    <col min="5901" max="5901" width="15.5546875" style="20" bestFit="1" customWidth="1"/>
    <col min="5902" max="6149" width="11.5546875" style="20"/>
    <col min="6150" max="6150" width="17.109375" style="20" customWidth="1"/>
    <col min="6151" max="6151" width="72.109375" style="20" customWidth="1"/>
    <col min="6152" max="6152" width="18" style="20" customWidth="1"/>
    <col min="6153" max="6153" width="18.109375" style="20" customWidth="1"/>
    <col min="6154" max="6155" width="25" style="20" customWidth="1"/>
    <col min="6156" max="6156" width="13.109375" style="20" bestFit="1" customWidth="1"/>
    <col min="6157" max="6157" width="15.5546875" style="20" bestFit="1" customWidth="1"/>
    <col min="6158" max="6405" width="11.5546875" style="20"/>
    <col min="6406" max="6406" width="17.109375" style="20" customWidth="1"/>
    <col min="6407" max="6407" width="72.109375" style="20" customWidth="1"/>
    <col min="6408" max="6408" width="18" style="20" customWidth="1"/>
    <col min="6409" max="6409" width="18.109375" style="20" customWidth="1"/>
    <col min="6410" max="6411" width="25" style="20" customWidth="1"/>
    <col min="6412" max="6412" width="13.109375" style="20" bestFit="1" customWidth="1"/>
    <col min="6413" max="6413" width="15.5546875" style="20" bestFit="1" customWidth="1"/>
    <col min="6414" max="6661" width="11.5546875" style="20"/>
    <col min="6662" max="6662" width="17.109375" style="20" customWidth="1"/>
    <col min="6663" max="6663" width="72.109375" style="20" customWidth="1"/>
    <col min="6664" max="6664" width="18" style="20" customWidth="1"/>
    <col min="6665" max="6665" width="18.109375" style="20" customWidth="1"/>
    <col min="6666" max="6667" width="25" style="20" customWidth="1"/>
    <col min="6668" max="6668" width="13.109375" style="20" bestFit="1" customWidth="1"/>
    <col min="6669" max="6669" width="15.5546875" style="20" bestFit="1" customWidth="1"/>
    <col min="6670" max="6917" width="11.5546875" style="20"/>
    <col min="6918" max="6918" width="17.109375" style="20" customWidth="1"/>
    <col min="6919" max="6919" width="72.109375" style="20" customWidth="1"/>
    <col min="6920" max="6920" width="18" style="20" customWidth="1"/>
    <col min="6921" max="6921" width="18.109375" style="20" customWidth="1"/>
    <col min="6922" max="6923" width="25" style="20" customWidth="1"/>
    <col min="6924" max="6924" width="13.109375" style="20" bestFit="1" customWidth="1"/>
    <col min="6925" max="6925" width="15.5546875" style="20" bestFit="1" customWidth="1"/>
    <col min="6926" max="7173" width="11.5546875" style="20"/>
    <col min="7174" max="7174" width="17.109375" style="20" customWidth="1"/>
    <col min="7175" max="7175" width="72.109375" style="20" customWidth="1"/>
    <col min="7176" max="7176" width="18" style="20" customWidth="1"/>
    <col min="7177" max="7177" width="18.109375" style="20" customWidth="1"/>
    <col min="7178" max="7179" width="25" style="20" customWidth="1"/>
    <col min="7180" max="7180" width="13.109375" style="20" bestFit="1" customWidth="1"/>
    <col min="7181" max="7181" width="15.5546875" style="20" bestFit="1" customWidth="1"/>
    <col min="7182" max="7429" width="11.5546875" style="20"/>
    <col min="7430" max="7430" width="17.109375" style="20" customWidth="1"/>
    <col min="7431" max="7431" width="72.109375" style="20" customWidth="1"/>
    <col min="7432" max="7432" width="18" style="20" customWidth="1"/>
    <col min="7433" max="7433" width="18.109375" style="20" customWidth="1"/>
    <col min="7434" max="7435" width="25" style="20" customWidth="1"/>
    <col min="7436" max="7436" width="13.109375" style="20" bestFit="1" customWidth="1"/>
    <col min="7437" max="7437" width="15.5546875" style="20" bestFit="1" customWidth="1"/>
    <col min="7438" max="7685" width="11.5546875" style="20"/>
    <col min="7686" max="7686" width="17.109375" style="20" customWidth="1"/>
    <col min="7687" max="7687" width="72.109375" style="20" customWidth="1"/>
    <col min="7688" max="7688" width="18" style="20" customWidth="1"/>
    <col min="7689" max="7689" width="18.109375" style="20" customWidth="1"/>
    <col min="7690" max="7691" width="25" style="20" customWidth="1"/>
    <col min="7692" max="7692" width="13.109375" style="20" bestFit="1" customWidth="1"/>
    <col min="7693" max="7693" width="15.5546875" style="20" bestFit="1" customWidth="1"/>
    <col min="7694" max="7941" width="11.5546875" style="20"/>
    <col min="7942" max="7942" width="17.109375" style="20" customWidth="1"/>
    <col min="7943" max="7943" width="72.109375" style="20" customWidth="1"/>
    <col min="7944" max="7944" width="18" style="20" customWidth="1"/>
    <col min="7945" max="7945" width="18.109375" style="20" customWidth="1"/>
    <col min="7946" max="7947" width="25" style="20" customWidth="1"/>
    <col min="7948" max="7948" width="13.109375" style="20" bestFit="1" customWidth="1"/>
    <col min="7949" max="7949" width="15.5546875" style="20" bestFit="1" customWidth="1"/>
    <col min="7950" max="8197" width="11.5546875" style="20"/>
    <col min="8198" max="8198" width="17.109375" style="20" customWidth="1"/>
    <col min="8199" max="8199" width="72.109375" style="20" customWidth="1"/>
    <col min="8200" max="8200" width="18" style="20" customWidth="1"/>
    <col min="8201" max="8201" width="18.109375" style="20" customWidth="1"/>
    <col min="8202" max="8203" width="25" style="20" customWidth="1"/>
    <col min="8204" max="8204" width="13.109375" style="20" bestFit="1" customWidth="1"/>
    <col min="8205" max="8205" width="15.5546875" style="20" bestFit="1" customWidth="1"/>
    <col min="8206" max="8453" width="11.5546875" style="20"/>
    <col min="8454" max="8454" width="17.109375" style="20" customWidth="1"/>
    <col min="8455" max="8455" width="72.109375" style="20" customWidth="1"/>
    <col min="8456" max="8456" width="18" style="20" customWidth="1"/>
    <col min="8457" max="8457" width="18.109375" style="20" customWidth="1"/>
    <col min="8458" max="8459" width="25" style="20" customWidth="1"/>
    <col min="8460" max="8460" width="13.109375" style="20" bestFit="1" customWidth="1"/>
    <col min="8461" max="8461" width="15.5546875" style="20" bestFit="1" customWidth="1"/>
    <col min="8462" max="8709" width="11.5546875" style="20"/>
    <col min="8710" max="8710" width="17.109375" style="20" customWidth="1"/>
    <col min="8711" max="8711" width="72.109375" style="20" customWidth="1"/>
    <col min="8712" max="8712" width="18" style="20" customWidth="1"/>
    <col min="8713" max="8713" width="18.109375" style="20" customWidth="1"/>
    <col min="8714" max="8715" width="25" style="20" customWidth="1"/>
    <col min="8716" max="8716" width="13.109375" style="20" bestFit="1" customWidth="1"/>
    <col min="8717" max="8717" width="15.5546875" style="20" bestFit="1" customWidth="1"/>
    <col min="8718" max="8965" width="11.5546875" style="20"/>
    <col min="8966" max="8966" width="17.109375" style="20" customWidth="1"/>
    <col min="8967" max="8967" width="72.109375" style="20" customWidth="1"/>
    <col min="8968" max="8968" width="18" style="20" customWidth="1"/>
    <col min="8969" max="8969" width="18.109375" style="20" customWidth="1"/>
    <col min="8970" max="8971" width="25" style="20" customWidth="1"/>
    <col min="8972" max="8972" width="13.109375" style="20" bestFit="1" customWidth="1"/>
    <col min="8973" max="8973" width="15.5546875" style="20" bestFit="1" customWidth="1"/>
    <col min="8974" max="9221" width="11.5546875" style="20"/>
    <col min="9222" max="9222" width="17.109375" style="20" customWidth="1"/>
    <col min="9223" max="9223" width="72.109375" style="20" customWidth="1"/>
    <col min="9224" max="9224" width="18" style="20" customWidth="1"/>
    <col min="9225" max="9225" width="18.109375" style="20" customWidth="1"/>
    <col min="9226" max="9227" width="25" style="20" customWidth="1"/>
    <col min="9228" max="9228" width="13.109375" style="20" bestFit="1" customWidth="1"/>
    <col min="9229" max="9229" width="15.5546875" style="20" bestFit="1" customWidth="1"/>
    <col min="9230" max="9477" width="11.5546875" style="20"/>
    <col min="9478" max="9478" width="17.109375" style="20" customWidth="1"/>
    <col min="9479" max="9479" width="72.109375" style="20" customWidth="1"/>
    <col min="9480" max="9480" width="18" style="20" customWidth="1"/>
    <col min="9481" max="9481" width="18.109375" style="20" customWidth="1"/>
    <col min="9482" max="9483" width="25" style="20" customWidth="1"/>
    <col min="9484" max="9484" width="13.109375" style="20" bestFit="1" customWidth="1"/>
    <col min="9485" max="9485" width="15.5546875" style="20" bestFit="1" customWidth="1"/>
    <col min="9486" max="9733" width="11.5546875" style="20"/>
    <col min="9734" max="9734" width="17.109375" style="20" customWidth="1"/>
    <col min="9735" max="9735" width="72.109375" style="20" customWidth="1"/>
    <col min="9736" max="9736" width="18" style="20" customWidth="1"/>
    <col min="9737" max="9737" width="18.109375" style="20" customWidth="1"/>
    <col min="9738" max="9739" width="25" style="20" customWidth="1"/>
    <col min="9740" max="9740" width="13.109375" style="20" bestFit="1" customWidth="1"/>
    <col min="9741" max="9741" width="15.5546875" style="20" bestFit="1" customWidth="1"/>
    <col min="9742" max="9989" width="11.5546875" style="20"/>
    <col min="9990" max="9990" width="17.109375" style="20" customWidth="1"/>
    <col min="9991" max="9991" width="72.109375" style="20" customWidth="1"/>
    <col min="9992" max="9992" width="18" style="20" customWidth="1"/>
    <col min="9993" max="9993" width="18.109375" style="20" customWidth="1"/>
    <col min="9994" max="9995" width="25" style="20" customWidth="1"/>
    <col min="9996" max="9996" width="13.109375" style="20" bestFit="1" customWidth="1"/>
    <col min="9997" max="9997" width="15.5546875" style="20" bestFit="1" customWidth="1"/>
    <col min="9998" max="10245" width="11.5546875" style="20"/>
    <col min="10246" max="10246" width="17.109375" style="20" customWidth="1"/>
    <col min="10247" max="10247" width="72.109375" style="20" customWidth="1"/>
    <col min="10248" max="10248" width="18" style="20" customWidth="1"/>
    <col min="10249" max="10249" width="18.109375" style="20" customWidth="1"/>
    <col min="10250" max="10251" width="25" style="20" customWidth="1"/>
    <col min="10252" max="10252" width="13.109375" style="20" bestFit="1" customWidth="1"/>
    <col min="10253" max="10253" width="15.5546875" style="20" bestFit="1" customWidth="1"/>
    <col min="10254" max="10501" width="11.5546875" style="20"/>
    <col min="10502" max="10502" width="17.109375" style="20" customWidth="1"/>
    <col min="10503" max="10503" width="72.109375" style="20" customWidth="1"/>
    <col min="10504" max="10504" width="18" style="20" customWidth="1"/>
    <col min="10505" max="10505" width="18.109375" style="20" customWidth="1"/>
    <col min="10506" max="10507" width="25" style="20" customWidth="1"/>
    <col min="10508" max="10508" width="13.109375" style="20" bestFit="1" customWidth="1"/>
    <col min="10509" max="10509" width="15.5546875" style="20" bestFit="1" customWidth="1"/>
    <col min="10510" max="10757" width="11.5546875" style="20"/>
    <col min="10758" max="10758" width="17.109375" style="20" customWidth="1"/>
    <col min="10759" max="10759" width="72.109375" style="20" customWidth="1"/>
    <col min="10760" max="10760" width="18" style="20" customWidth="1"/>
    <col min="10761" max="10761" width="18.109375" style="20" customWidth="1"/>
    <col min="10762" max="10763" width="25" style="20" customWidth="1"/>
    <col min="10764" max="10764" width="13.109375" style="20" bestFit="1" customWidth="1"/>
    <col min="10765" max="10765" width="15.5546875" style="20" bestFit="1" customWidth="1"/>
    <col min="10766" max="11013" width="11.5546875" style="20"/>
    <col min="11014" max="11014" width="17.109375" style="20" customWidth="1"/>
    <col min="11015" max="11015" width="72.109375" style="20" customWidth="1"/>
    <col min="11016" max="11016" width="18" style="20" customWidth="1"/>
    <col min="11017" max="11017" width="18.109375" style="20" customWidth="1"/>
    <col min="11018" max="11019" width="25" style="20" customWidth="1"/>
    <col min="11020" max="11020" width="13.109375" style="20" bestFit="1" customWidth="1"/>
    <col min="11021" max="11021" width="15.5546875" style="20" bestFit="1" customWidth="1"/>
    <col min="11022" max="11269" width="11.5546875" style="20"/>
    <col min="11270" max="11270" width="17.109375" style="20" customWidth="1"/>
    <col min="11271" max="11271" width="72.109375" style="20" customWidth="1"/>
    <col min="11272" max="11272" width="18" style="20" customWidth="1"/>
    <col min="11273" max="11273" width="18.109375" style="20" customWidth="1"/>
    <col min="11274" max="11275" width="25" style="20" customWidth="1"/>
    <col min="11276" max="11276" width="13.109375" style="20" bestFit="1" customWidth="1"/>
    <col min="11277" max="11277" width="15.5546875" style="20" bestFit="1" customWidth="1"/>
    <col min="11278" max="11525" width="11.5546875" style="20"/>
    <col min="11526" max="11526" width="17.109375" style="20" customWidth="1"/>
    <col min="11527" max="11527" width="72.109375" style="20" customWidth="1"/>
    <col min="11528" max="11528" width="18" style="20" customWidth="1"/>
    <col min="11529" max="11529" width="18.109375" style="20" customWidth="1"/>
    <col min="11530" max="11531" width="25" style="20" customWidth="1"/>
    <col min="11532" max="11532" width="13.109375" style="20" bestFit="1" customWidth="1"/>
    <col min="11533" max="11533" width="15.5546875" style="20" bestFit="1" customWidth="1"/>
    <col min="11534" max="11781" width="11.5546875" style="20"/>
    <col min="11782" max="11782" width="17.109375" style="20" customWidth="1"/>
    <col min="11783" max="11783" width="72.109375" style="20" customWidth="1"/>
    <col min="11784" max="11784" width="18" style="20" customWidth="1"/>
    <col min="11785" max="11785" width="18.109375" style="20" customWidth="1"/>
    <col min="11786" max="11787" width="25" style="20" customWidth="1"/>
    <col min="11788" max="11788" width="13.109375" style="20" bestFit="1" customWidth="1"/>
    <col min="11789" max="11789" width="15.5546875" style="20" bestFit="1" customWidth="1"/>
    <col min="11790" max="12037" width="11.5546875" style="20"/>
    <col min="12038" max="12038" width="17.109375" style="20" customWidth="1"/>
    <col min="12039" max="12039" width="72.109375" style="20" customWidth="1"/>
    <col min="12040" max="12040" width="18" style="20" customWidth="1"/>
    <col min="12041" max="12041" width="18.109375" style="20" customWidth="1"/>
    <col min="12042" max="12043" width="25" style="20" customWidth="1"/>
    <col min="12044" max="12044" width="13.109375" style="20" bestFit="1" customWidth="1"/>
    <col min="12045" max="12045" width="15.5546875" style="20" bestFit="1" customWidth="1"/>
    <col min="12046" max="12293" width="11.5546875" style="20"/>
    <col min="12294" max="12294" width="17.109375" style="20" customWidth="1"/>
    <col min="12295" max="12295" width="72.109375" style="20" customWidth="1"/>
    <col min="12296" max="12296" width="18" style="20" customWidth="1"/>
    <col min="12297" max="12297" width="18.109375" style="20" customWidth="1"/>
    <col min="12298" max="12299" width="25" style="20" customWidth="1"/>
    <col min="12300" max="12300" width="13.109375" style="20" bestFit="1" customWidth="1"/>
    <col min="12301" max="12301" width="15.5546875" style="20" bestFit="1" customWidth="1"/>
    <col min="12302" max="12549" width="11.5546875" style="20"/>
    <col min="12550" max="12550" width="17.109375" style="20" customWidth="1"/>
    <col min="12551" max="12551" width="72.109375" style="20" customWidth="1"/>
    <col min="12552" max="12552" width="18" style="20" customWidth="1"/>
    <col min="12553" max="12553" width="18.109375" style="20" customWidth="1"/>
    <col min="12554" max="12555" width="25" style="20" customWidth="1"/>
    <col min="12556" max="12556" width="13.109375" style="20" bestFit="1" customWidth="1"/>
    <col min="12557" max="12557" width="15.5546875" style="20" bestFit="1" customWidth="1"/>
    <col min="12558" max="12805" width="11.5546875" style="20"/>
    <col min="12806" max="12806" width="17.109375" style="20" customWidth="1"/>
    <col min="12807" max="12807" width="72.109375" style="20" customWidth="1"/>
    <col min="12808" max="12808" width="18" style="20" customWidth="1"/>
    <col min="12809" max="12809" width="18.109375" style="20" customWidth="1"/>
    <col min="12810" max="12811" width="25" style="20" customWidth="1"/>
    <col min="12812" max="12812" width="13.109375" style="20" bestFit="1" customWidth="1"/>
    <col min="12813" max="12813" width="15.5546875" style="20" bestFit="1" customWidth="1"/>
    <col min="12814" max="13061" width="11.5546875" style="20"/>
    <col min="13062" max="13062" width="17.109375" style="20" customWidth="1"/>
    <col min="13063" max="13063" width="72.109375" style="20" customWidth="1"/>
    <col min="13064" max="13064" width="18" style="20" customWidth="1"/>
    <col min="13065" max="13065" width="18.109375" style="20" customWidth="1"/>
    <col min="13066" max="13067" width="25" style="20" customWidth="1"/>
    <col min="13068" max="13068" width="13.109375" style="20" bestFit="1" customWidth="1"/>
    <col min="13069" max="13069" width="15.5546875" style="20" bestFit="1" customWidth="1"/>
    <col min="13070" max="13317" width="11.5546875" style="20"/>
    <col min="13318" max="13318" width="17.109375" style="20" customWidth="1"/>
    <col min="13319" max="13319" width="72.109375" style="20" customWidth="1"/>
    <col min="13320" max="13320" width="18" style="20" customWidth="1"/>
    <col min="13321" max="13321" width="18.109375" style="20" customWidth="1"/>
    <col min="13322" max="13323" width="25" style="20" customWidth="1"/>
    <col min="13324" max="13324" width="13.109375" style="20" bestFit="1" customWidth="1"/>
    <col min="13325" max="13325" width="15.5546875" style="20" bestFit="1" customWidth="1"/>
    <col min="13326" max="13573" width="11.5546875" style="20"/>
    <col min="13574" max="13574" width="17.109375" style="20" customWidth="1"/>
    <col min="13575" max="13575" width="72.109375" style="20" customWidth="1"/>
    <col min="13576" max="13576" width="18" style="20" customWidth="1"/>
    <col min="13577" max="13577" width="18.109375" style="20" customWidth="1"/>
    <col min="13578" max="13579" width="25" style="20" customWidth="1"/>
    <col min="13580" max="13580" width="13.109375" style="20" bestFit="1" customWidth="1"/>
    <col min="13581" max="13581" width="15.5546875" style="20" bestFit="1" customWidth="1"/>
    <col min="13582" max="13829" width="11.5546875" style="20"/>
    <col min="13830" max="13830" width="17.109375" style="20" customWidth="1"/>
    <col min="13831" max="13831" width="72.109375" style="20" customWidth="1"/>
    <col min="13832" max="13832" width="18" style="20" customWidth="1"/>
    <col min="13833" max="13833" width="18.109375" style="20" customWidth="1"/>
    <col min="13834" max="13835" width="25" style="20" customWidth="1"/>
    <col min="13836" max="13836" width="13.109375" style="20" bestFit="1" customWidth="1"/>
    <col min="13837" max="13837" width="15.5546875" style="20" bestFit="1" customWidth="1"/>
    <col min="13838" max="14085" width="11.5546875" style="20"/>
    <col min="14086" max="14086" width="17.109375" style="20" customWidth="1"/>
    <col min="14087" max="14087" width="72.109375" style="20" customWidth="1"/>
    <col min="14088" max="14088" width="18" style="20" customWidth="1"/>
    <col min="14089" max="14089" width="18.109375" style="20" customWidth="1"/>
    <col min="14090" max="14091" width="25" style="20" customWidth="1"/>
    <col min="14092" max="14092" width="13.109375" style="20" bestFit="1" customWidth="1"/>
    <col min="14093" max="14093" width="15.5546875" style="20" bestFit="1" customWidth="1"/>
    <col min="14094" max="14341" width="11.5546875" style="20"/>
    <col min="14342" max="14342" width="17.109375" style="20" customWidth="1"/>
    <col min="14343" max="14343" width="72.109375" style="20" customWidth="1"/>
    <col min="14344" max="14344" width="18" style="20" customWidth="1"/>
    <col min="14345" max="14345" width="18.109375" style="20" customWidth="1"/>
    <col min="14346" max="14347" width="25" style="20" customWidth="1"/>
    <col min="14348" max="14348" width="13.109375" style="20" bestFit="1" customWidth="1"/>
    <col min="14349" max="14349" width="15.5546875" style="20" bestFit="1" customWidth="1"/>
    <col min="14350" max="14597" width="11.5546875" style="20"/>
    <col min="14598" max="14598" width="17.109375" style="20" customWidth="1"/>
    <col min="14599" max="14599" width="72.109375" style="20" customWidth="1"/>
    <col min="14600" max="14600" width="18" style="20" customWidth="1"/>
    <col min="14601" max="14601" width="18.109375" style="20" customWidth="1"/>
    <col min="14602" max="14603" width="25" style="20" customWidth="1"/>
    <col min="14604" max="14604" width="13.109375" style="20" bestFit="1" customWidth="1"/>
    <col min="14605" max="14605" width="15.5546875" style="20" bestFit="1" customWidth="1"/>
    <col min="14606" max="14853" width="11.5546875" style="20"/>
    <col min="14854" max="14854" width="17.109375" style="20" customWidth="1"/>
    <col min="14855" max="14855" width="72.109375" style="20" customWidth="1"/>
    <col min="14856" max="14856" width="18" style="20" customWidth="1"/>
    <col min="14857" max="14857" width="18.109375" style="20" customWidth="1"/>
    <col min="14858" max="14859" width="25" style="20" customWidth="1"/>
    <col min="14860" max="14860" width="13.109375" style="20" bestFit="1" customWidth="1"/>
    <col min="14861" max="14861" width="15.5546875" style="20" bestFit="1" customWidth="1"/>
    <col min="14862" max="15109" width="11.5546875" style="20"/>
    <col min="15110" max="15110" width="17.109375" style="20" customWidth="1"/>
    <col min="15111" max="15111" width="72.109375" style="20" customWidth="1"/>
    <col min="15112" max="15112" width="18" style="20" customWidth="1"/>
    <col min="15113" max="15113" width="18.109375" style="20" customWidth="1"/>
    <col min="15114" max="15115" width="25" style="20" customWidth="1"/>
    <col min="15116" max="15116" width="13.109375" style="20" bestFit="1" customWidth="1"/>
    <col min="15117" max="15117" width="15.5546875" style="20" bestFit="1" customWidth="1"/>
    <col min="15118" max="15365" width="11.5546875" style="20"/>
    <col min="15366" max="15366" width="17.109375" style="20" customWidth="1"/>
    <col min="15367" max="15367" width="72.109375" style="20" customWidth="1"/>
    <col min="15368" max="15368" width="18" style="20" customWidth="1"/>
    <col min="15369" max="15369" width="18.109375" style="20" customWidth="1"/>
    <col min="15370" max="15371" width="25" style="20" customWidth="1"/>
    <col min="15372" max="15372" width="13.109375" style="20" bestFit="1" customWidth="1"/>
    <col min="15373" max="15373" width="15.5546875" style="20" bestFit="1" customWidth="1"/>
    <col min="15374" max="15621" width="11.5546875" style="20"/>
    <col min="15622" max="15622" width="17.109375" style="20" customWidth="1"/>
    <col min="15623" max="15623" width="72.109375" style="20" customWidth="1"/>
    <col min="15624" max="15624" width="18" style="20" customWidth="1"/>
    <col min="15625" max="15625" width="18.109375" style="20" customWidth="1"/>
    <col min="15626" max="15627" width="25" style="20" customWidth="1"/>
    <col min="15628" max="15628" width="13.109375" style="20" bestFit="1" customWidth="1"/>
    <col min="15629" max="15629" width="15.5546875" style="20" bestFit="1" customWidth="1"/>
    <col min="15630" max="15877" width="11.5546875" style="20"/>
    <col min="15878" max="15878" width="17.109375" style="20" customWidth="1"/>
    <col min="15879" max="15879" width="72.109375" style="20" customWidth="1"/>
    <col min="15880" max="15880" width="18" style="20" customWidth="1"/>
    <col min="15881" max="15881" width="18.109375" style="20" customWidth="1"/>
    <col min="15882" max="15883" width="25" style="20" customWidth="1"/>
    <col min="15884" max="15884" width="13.109375" style="20" bestFit="1" customWidth="1"/>
    <col min="15885" max="15885" width="15.5546875" style="20" bestFit="1" customWidth="1"/>
    <col min="15886" max="16133" width="11.5546875" style="20"/>
    <col min="16134" max="16134" width="17.109375" style="20" customWidth="1"/>
    <col min="16135" max="16135" width="72.109375" style="20" customWidth="1"/>
    <col min="16136" max="16136" width="18" style="20" customWidth="1"/>
    <col min="16137" max="16137" width="18.109375" style="20" customWidth="1"/>
    <col min="16138" max="16139" width="25" style="20" customWidth="1"/>
    <col min="16140" max="16140" width="13.109375" style="20" bestFit="1" customWidth="1"/>
    <col min="16141" max="16141" width="15.5546875" style="20" bestFit="1" customWidth="1"/>
    <col min="16142" max="16384" width="11.5546875" style="20"/>
  </cols>
  <sheetData>
    <row r="1" spans="1:14" s="7" customFormat="1" ht="11.4" customHeight="1">
      <c r="A1" s="83" t="s">
        <v>0</v>
      </c>
      <c r="B1" s="84" t="s">
        <v>1</v>
      </c>
      <c r="C1" s="84" t="s">
        <v>2</v>
      </c>
      <c r="D1" s="85" t="s">
        <v>3</v>
      </c>
      <c r="E1" s="85" t="s">
        <v>4</v>
      </c>
      <c r="F1" s="85" t="s">
        <v>5</v>
      </c>
      <c r="G1" s="85" t="s">
        <v>6</v>
      </c>
      <c r="H1" s="85" t="s">
        <v>7</v>
      </c>
      <c r="I1" s="85" t="s">
        <v>8</v>
      </c>
      <c r="J1" s="86" t="s">
        <v>9</v>
      </c>
      <c r="K1" s="84" t="s">
        <v>10</v>
      </c>
      <c r="L1" s="5" t="s">
        <v>11</v>
      </c>
      <c r="M1" s="6" t="s">
        <v>12</v>
      </c>
    </row>
    <row r="2" spans="1:14" s="7" customFormat="1" ht="34.5" customHeight="1" thickBot="1">
      <c r="A2" s="87"/>
      <c r="B2" s="88"/>
      <c r="C2" s="88"/>
      <c r="D2" s="89" t="s">
        <v>13</v>
      </c>
      <c r="E2" s="89" t="s">
        <v>13</v>
      </c>
      <c r="F2" s="89" t="s">
        <v>13</v>
      </c>
      <c r="G2" s="89" t="s">
        <v>13</v>
      </c>
      <c r="H2" s="89" t="s">
        <v>13</v>
      </c>
      <c r="I2" s="89" t="s">
        <v>13</v>
      </c>
      <c r="J2" s="90"/>
      <c r="K2" s="88"/>
      <c r="L2" s="12"/>
      <c r="M2" s="13"/>
    </row>
    <row r="3" spans="1:14" ht="22.95" customHeight="1">
      <c r="A3" s="27" t="s">
        <v>213</v>
      </c>
      <c r="B3" s="28" t="s">
        <v>214</v>
      </c>
      <c r="C3" s="29"/>
      <c r="D3" s="29"/>
      <c r="E3" s="29"/>
      <c r="F3" s="29"/>
      <c r="G3" s="29"/>
      <c r="H3" s="29"/>
      <c r="I3" s="29"/>
      <c r="J3" s="30"/>
      <c r="K3" s="31"/>
      <c r="L3" s="32"/>
      <c r="M3" s="33"/>
    </row>
    <row r="4" spans="1:14" ht="22.95" customHeight="1">
      <c r="A4" s="27" t="s">
        <v>215</v>
      </c>
      <c r="B4" s="57" t="s">
        <v>216</v>
      </c>
      <c r="C4" s="29"/>
      <c r="D4" s="29"/>
      <c r="E4" s="29"/>
      <c r="F4" s="29"/>
      <c r="G4" s="29"/>
      <c r="H4" s="29"/>
      <c r="I4" s="29"/>
      <c r="J4" s="30"/>
      <c r="K4" s="31"/>
      <c r="L4" s="32"/>
      <c r="M4" s="33"/>
    </row>
    <row r="5" spans="1:14" ht="30" customHeight="1">
      <c r="A5" s="49" t="s">
        <v>217</v>
      </c>
      <c r="B5" s="38" t="s">
        <v>121</v>
      </c>
      <c r="C5" s="39" t="s">
        <v>21</v>
      </c>
      <c r="D5" s="39"/>
      <c r="E5" s="39"/>
      <c r="F5" s="39">
        <v>80</v>
      </c>
      <c r="G5" s="39"/>
      <c r="H5" s="39"/>
      <c r="I5" s="39">
        <v>82</v>
      </c>
      <c r="J5" s="30">
        <f t="shared" ref="J5" si="0">SUM(D5:I5)</f>
        <v>162</v>
      </c>
      <c r="K5" s="30">
        <f t="shared" ref="K5:K7" si="1">J5</f>
        <v>162</v>
      </c>
      <c r="L5" s="32"/>
      <c r="M5" s="33">
        <f>+K5*L5</f>
        <v>0</v>
      </c>
      <c r="N5" s="58"/>
    </row>
    <row r="6" spans="1:14" ht="30" customHeight="1">
      <c r="A6" s="49" t="s">
        <v>218</v>
      </c>
      <c r="B6" s="38" t="s">
        <v>123</v>
      </c>
      <c r="C6" s="39" t="s">
        <v>21</v>
      </c>
      <c r="D6" s="39"/>
      <c r="E6" s="39"/>
      <c r="F6" s="39">
        <v>80</v>
      </c>
      <c r="G6" s="39"/>
      <c r="H6" s="39"/>
      <c r="I6" s="39">
        <v>82</v>
      </c>
      <c r="J6" s="30">
        <f t="shared" ref="J6:J7" si="2">SUM(D6:I6)</f>
        <v>162</v>
      </c>
      <c r="K6" s="30">
        <f t="shared" si="1"/>
        <v>162</v>
      </c>
      <c r="L6" s="32"/>
      <c r="M6" s="33">
        <f t="shared" ref="M6:M22" si="3">+K6*L6</f>
        <v>0</v>
      </c>
      <c r="N6" s="58"/>
    </row>
    <row r="7" spans="1:14" ht="30" customHeight="1">
      <c r="A7" s="49" t="s">
        <v>219</v>
      </c>
      <c r="B7" s="38" t="s">
        <v>125</v>
      </c>
      <c r="C7" s="39" t="s">
        <v>21</v>
      </c>
      <c r="D7" s="39"/>
      <c r="E7" s="39"/>
      <c r="F7" s="39">
        <v>80</v>
      </c>
      <c r="G7" s="39"/>
      <c r="H7" s="39"/>
      <c r="I7" s="39">
        <v>82</v>
      </c>
      <c r="J7" s="30">
        <f t="shared" si="2"/>
        <v>162</v>
      </c>
      <c r="K7" s="30">
        <f t="shared" si="1"/>
        <v>162</v>
      </c>
      <c r="L7" s="32"/>
      <c r="M7" s="33">
        <f t="shared" si="3"/>
        <v>0</v>
      </c>
      <c r="N7" s="58"/>
    </row>
    <row r="8" spans="1:14" ht="22.95" customHeight="1">
      <c r="A8" s="27" t="s">
        <v>220</v>
      </c>
      <c r="B8" s="57" t="s">
        <v>221</v>
      </c>
      <c r="C8" s="29"/>
      <c r="D8" s="29"/>
      <c r="E8" s="29"/>
      <c r="F8" s="29"/>
      <c r="G8" s="29"/>
      <c r="H8" s="29"/>
      <c r="I8" s="29"/>
      <c r="J8" s="30"/>
      <c r="K8" s="31"/>
      <c r="L8" s="32"/>
      <c r="M8" s="33"/>
    </row>
    <row r="9" spans="1:14" ht="30" customHeight="1">
      <c r="A9" s="49" t="s">
        <v>222</v>
      </c>
      <c r="B9" s="38" t="s">
        <v>121</v>
      </c>
      <c r="C9" s="39" t="s">
        <v>21</v>
      </c>
      <c r="D9" s="39"/>
      <c r="E9" s="39"/>
      <c r="F9" s="39">
        <v>80</v>
      </c>
      <c r="G9" s="39"/>
      <c r="H9" s="39"/>
      <c r="I9" s="39">
        <v>4</v>
      </c>
      <c r="J9" s="30">
        <f t="shared" ref="J9:J11" si="4">SUM(D9:I9)</f>
        <v>84</v>
      </c>
      <c r="K9" s="30">
        <f t="shared" ref="K9:K11" si="5">J9</f>
        <v>84</v>
      </c>
      <c r="L9" s="32"/>
      <c r="M9" s="33">
        <f t="shared" si="3"/>
        <v>0</v>
      </c>
      <c r="N9" s="58"/>
    </row>
    <row r="10" spans="1:14" ht="30" customHeight="1">
      <c r="A10" s="49" t="s">
        <v>223</v>
      </c>
      <c r="B10" s="38" t="s">
        <v>123</v>
      </c>
      <c r="C10" s="39" t="s">
        <v>21</v>
      </c>
      <c r="D10" s="39"/>
      <c r="E10" s="39"/>
      <c r="F10" s="39">
        <v>80</v>
      </c>
      <c r="G10" s="39"/>
      <c r="H10" s="39"/>
      <c r="I10" s="39">
        <v>4</v>
      </c>
      <c r="J10" s="30">
        <f t="shared" si="4"/>
        <v>84</v>
      </c>
      <c r="K10" s="30">
        <f t="shared" si="5"/>
        <v>84</v>
      </c>
      <c r="L10" s="32"/>
      <c r="M10" s="33">
        <f t="shared" si="3"/>
        <v>0</v>
      </c>
      <c r="N10" s="58"/>
    </row>
    <row r="11" spans="1:14" ht="30" customHeight="1">
      <c r="A11" s="49" t="s">
        <v>224</v>
      </c>
      <c r="B11" s="38" t="s">
        <v>125</v>
      </c>
      <c r="C11" s="39" t="s">
        <v>21</v>
      </c>
      <c r="D11" s="39"/>
      <c r="E11" s="39"/>
      <c r="F11" s="39">
        <v>80</v>
      </c>
      <c r="G11" s="39"/>
      <c r="H11" s="39"/>
      <c r="I11" s="39">
        <v>4</v>
      </c>
      <c r="J11" s="30">
        <f t="shared" si="4"/>
        <v>84</v>
      </c>
      <c r="K11" s="30">
        <f t="shared" si="5"/>
        <v>84</v>
      </c>
      <c r="L11" s="32"/>
      <c r="M11" s="33">
        <f t="shared" si="3"/>
        <v>0</v>
      </c>
      <c r="N11" s="58"/>
    </row>
    <row r="12" spans="1:14" ht="22.5" customHeight="1">
      <c r="A12" s="27" t="s">
        <v>225</v>
      </c>
      <c r="B12" s="57" t="s">
        <v>226</v>
      </c>
      <c r="C12" s="29"/>
      <c r="D12" s="29"/>
      <c r="E12" s="29"/>
      <c r="F12" s="29"/>
      <c r="G12" s="29"/>
      <c r="H12" s="29"/>
      <c r="I12" s="29"/>
      <c r="J12" s="30"/>
      <c r="K12" s="31"/>
      <c r="L12" s="32"/>
      <c r="M12" s="33"/>
    </row>
    <row r="13" spans="1:14" ht="30" customHeight="1">
      <c r="A13" s="49" t="s">
        <v>227</v>
      </c>
      <c r="B13" s="38" t="s">
        <v>121</v>
      </c>
      <c r="C13" s="39" t="s">
        <v>21</v>
      </c>
      <c r="D13" s="39"/>
      <c r="E13" s="39"/>
      <c r="F13" s="39">
        <v>74</v>
      </c>
      <c r="G13" s="39"/>
      <c r="H13" s="39"/>
      <c r="I13" s="39">
        <v>5</v>
      </c>
      <c r="J13" s="30">
        <f t="shared" ref="J13" si="6">SUM(D13:I13)</f>
        <v>79</v>
      </c>
      <c r="K13" s="30">
        <f t="shared" ref="K13" si="7">J13</f>
        <v>79</v>
      </c>
      <c r="L13" s="32"/>
      <c r="M13" s="33">
        <f t="shared" si="3"/>
        <v>0</v>
      </c>
      <c r="N13" s="58"/>
    </row>
    <row r="14" spans="1:14" ht="30" customHeight="1">
      <c r="A14" s="49" t="s">
        <v>228</v>
      </c>
      <c r="B14" s="38" t="s">
        <v>123</v>
      </c>
      <c r="C14" s="39" t="s">
        <v>21</v>
      </c>
      <c r="D14" s="39"/>
      <c r="E14" s="39"/>
      <c r="F14" s="39">
        <v>74</v>
      </c>
      <c r="G14" s="39"/>
      <c r="H14" s="39"/>
      <c r="I14" s="39">
        <v>5</v>
      </c>
      <c r="J14" s="30">
        <v>79</v>
      </c>
      <c r="K14" s="30">
        <v>79</v>
      </c>
      <c r="L14" s="32"/>
      <c r="M14" s="33">
        <f t="shared" si="3"/>
        <v>0</v>
      </c>
      <c r="N14" s="58"/>
    </row>
    <row r="15" spans="1:14" ht="30" customHeight="1">
      <c r="A15" s="49" t="s">
        <v>229</v>
      </c>
      <c r="B15" s="38" t="s">
        <v>136</v>
      </c>
      <c r="C15" s="39" t="s">
        <v>21</v>
      </c>
      <c r="D15" s="39"/>
      <c r="E15" s="39"/>
      <c r="F15" s="39">
        <v>74</v>
      </c>
      <c r="G15" s="39"/>
      <c r="H15" s="39"/>
      <c r="I15" s="39"/>
      <c r="J15" s="30">
        <f t="shared" ref="J15:J16" si="8">SUM(D15:I15)</f>
        <v>74</v>
      </c>
      <c r="K15" s="30">
        <f t="shared" ref="K15:K16" si="9">J15</f>
        <v>74</v>
      </c>
      <c r="L15" s="32"/>
      <c r="M15" s="33">
        <f t="shared" si="3"/>
        <v>0</v>
      </c>
      <c r="N15" s="58"/>
    </row>
    <row r="16" spans="1:14" ht="30" customHeight="1">
      <c r="A16" s="49" t="s">
        <v>230</v>
      </c>
      <c r="B16" s="38" t="s">
        <v>125</v>
      </c>
      <c r="C16" s="39" t="s">
        <v>21</v>
      </c>
      <c r="D16" s="39"/>
      <c r="E16" s="39"/>
      <c r="F16" s="39">
        <v>1</v>
      </c>
      <c r="G16" s="39"/>
      <c r="H16" s="39"/>
      <c r="I16" s="39"/>
      <c r="J16" s="30">
        <f t="shared" si="8"/>
        <v>1</v>
      </c>
      <c r="K16" s="30">
        <f t="shared" si="9"/>
        <v>1</v>
      </c>
      <c r="L16" s="32"/>
      <c r="M16" s="33">
        <f t="shared" si="3"/>
        <v>0</v>
      </c>
      <c r="N16" s="58"/>
    </row>
    <row r="17" spans="1:15" ht="22.95" customHeight="1">
      <c r="A17" s="27" t="s">
        <v>231</v>
      </c>
      <c r="B17" s="57" t="s">
        <v>232</v>
      </c>
      <c r="C17" s="29"/>
      <c r="D17" s="29"/>
      <c r="E17" s="29"/>
      <c r="F17" s="29"/>
      <c r="G17" s="29"/>
      <c r="H17" s="29"/>
      <c r="I17" s="29"/>
      <c r="J17" s="30"/>
      <c r="K17" s="31"/>
      <c r="L17" s="32"/>
      <c r="M17" s="33"/>
    </row>
    <row r="18" spans="1:15" ht="27.6">
      <c r="A18" s="49" t="s">
        <v>233</v>
      </c>
      <c r="B18" s="38" t="s">
        <v>141</v>
      </c>
      <c r="C18" s="39" t="s">
        <v>21</v>
      </c>
      <c r="D18" s="39"/>
      <c r="E18" s="39"/>
      <c r="F18" s="39">
        <v>21</v>
      </c>
      <c r="G18" s="39"/>
      <c r="H18" s="39"/>
      <c r="I18" s="39"/>
      <c r="J18" s="30">
        <v>21</v>
      </c>
      <c r="K18" s="30">
        <v>21</v>
      </c>
      <c r="L18" s="32"/>
      <c r="M18" s="33">
        <f t="shared" si="3"/>
        <v>0</v>
      </c>
      <c r="N18" s="58"/>
    </row>
    <row r="19" spans="1:15" ht="27.6">
      <c r="A19" s="49" t="s">
        <v>234</v>
      </c>
      <c r="B19" s="38" t="s">
        <v>143</v>
      </c>
      <c r="C19" s="39" t="s">
        <v>21</v>
      </c>
      <c r="D19" s="39"/>
      <c r="E19" s="39"/>
      <c r="F19" s="39">
        <v>21</v>
      </c>
      <c r="G19" s="39"/>
      <c r="H19" s="39"/>
      <c r="I19" s="39"/>
      <c r="J19" s="30">
        <v>21</v>
      </c>
      <c r="K19" s="30">
        <v>21</v>
      </c>
      <c r="L19" s="32"/>
      <c r="M19" s="33">
        <f t="shared" si="3"/>
        <v>0</v>
      </c>
      <c r="N19" s="58"/>
    </row>
    <row r="20" spans="1:15" ht="27.6">
      <c r="A20" s="49" t="s">
        <v>235</v>
      </c>
      <c r="B20" s="38" t="s">
        <v>125</v>
      </c>
      <c r="C20" s="39" t="s">
        <v>21</v>
      </c>
      <c r="D20" s="39"/>
      <c r="E20" s="39"/>
      <c r="F20" s="39">
        <v>21</v>
      </c>
      <c r="G20" s="39"/>
      <c r="H20" s="39"/>
      <c r="I20" s="39"/>
      <c r="J20" s="30">
        <f t="shared" ref="J20:J22" si="10">SUM(D20:I20)</f>
        <v>21</v>
      </c>
      <c r="K20" s="30">
        <f t="shared" ref="K20:K22" si="11">J20</f>
        <v>21</v>
      </c>
      <c r="L20" s="32"/>
      <c r="M20" s="33">
        <f t="shared" si="3"/>
        <v>0</v>
      </c>
      <c r="N20" s="58"/>
    </row>
    <row r="21" spans="1:15" ht="27.6">
      <c r="A21" s="60" t="s">
        <v>236</v>
      </c>
      <c r="B21" s="38" t="s">
        <v>237</v>
      </c>
      <c r="C21" s="39" t="s">
        <v>21</v>
      </c>
      <c r="D21" s="39"/>
      <c r="E21" s="39"/>
      <c r="F21" s="39">
        <v>1</v>
      </c>
      <c r="G21" s="39"/>
      <c r="H21" s="39"/>
      <c r="I21" s="39"/>
      <c r="J21" s="30">
        <f t="shared" si="10"/>
        <v>1</v>
      </c>
      <c r="K21" s="30">
        <f t="shared" si="11"/>
        <v>1</v>
      </c>
      <c r="L21" s="32"/>
      <c r="M21" s="33">
        <f t="shared" si="3"/>
        <v>0</v>
      </c>
      <c r="N21" s="58"/>
    </row>
    <row r="22" spans="1:15" ht="28.2" thickBot="1">
      <c r="A22" s="60" t="s">
        <v>238</v>
      </c>
      <c r="B22" s="38" t="s">
        <v>239</v>
      </c>
      <c r="C22" s="39" t="s">
        <v>21</v>
      </c>
      <c r="D22" s="39"/>
      <c r="E22" s="39"/>
      <c r="F22" s="39">
        <v>1</v>
      </c>
      <c r="G22" s="39"/>
      <c r="H22" s="39"/>
      <c r="I22" s="39"/>
      <c r="J22" s="30">
        <f t="shared" si="10"/>
        <v>1</v>
      </c>
      <c r="K22" s="30">
        <f t="shared" si="11"/>
        <v>1</v>
      </c>
      <c r="L22" s="32"/>
      <c r="M22" s="33">
        <f t="shared" si="3"/>
        <v>0</v>
      </c>
      <c r="N22" s="58"/>
    </row>
    <row r="23" spans="1:15" s="79" customFormat="1" ht="24" customHeight="1" thickTop="1" thickBot="1">
      <c r="A23" s="75" t="s">
        <v>240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7"/>
      <c r="M23" s="78">
        <f>+SUM(M3:M22)</f>
        <v>0</v>
      </c>
      <c r="O23" s="80">
        <v>2983360</v>
      </c>
    </row>
    <row r="24" spans="1:15" s="81" customFormat="1">
      <c r="J24" s="82"/>
      <c r="K24" s="82"/>
    </row>
    <row r="25" spans="1:15" s="81" customFormat="1">
      <c r="J25" s="82"/>
      <c r="K25" s="82"/>
    </row>
    <row r="26" spans="1:15" s="81" customFormat="1">
      <c r="J26" s="82"/>
      <c r="K26" s="82"/>
    </row>
    <row r="27" spans="1:15" s="81" customFormat="1">
      <c r="J27" s="82"/>
      <c r="K27" s="82"/>
    </row>
    <row r="28" spans="1:15" s="81" customFormat="1">
      <c r="J28" s="82"/>
      <c r="K28" s="82"/>
    </row>
    <row r="29" spans="1:15" s="81" customFormat="1">
      <c r="J29" s="82"/>
      <c r="K29" s="82"/>
    </row>
    <row r="30" spans="1:15" s="81" customFormat="1">
      <c r="J30" s="82"/>
      <c r="K30" s="82"/>
    </row>
    <row r="31" spans="1:15" s="81" customFormat="1">
      <c r="J31" s="82"/>
      <c r="K31" s="82"/>
    </row>
    <row r="32" spans="1:15" s="81" customFormat="1">
      <c r="J32" s="82"/>
      <c r="K32" s="82"/>
    </row>
    <row r="33" spans="10:11" s="81" customFormat="1">
      <c r="J33" s="82"/>
      <c r="K33" s="82"/>
    </row>
    <row r="34" spans="10:11" s="81" customFormat="1">
      <c r="J34" s="82"/>
      <c r="K34" s="82"/>
    </row>
    <row r="35" spans="10:11" s="81" customFormat="1">
      <c r="J35" s="82"/>
      <c r="K35" s="82"/>
    </row>
    <row r="36" spans="10:11" s="81" customFormat="1">
      <c r="J36" s="82"/>
      <c r="K36" s="82"/>
    </row>
    <row r="37" spans="10:11" s="81" customFormat="1">
      <c r="J37" s="82"/>
      <c r="K37" s="82"/>
    </row>
    <row r="38" spans="10:11" s="81" customFormat="1">
      <c r="J38" s="82"/>
      <c r="K38" s="82"/>
    </row>
    <row r="39" spans="10:11" s="81" customFormat="1">
      <c r="J39" s="82"/>
      <c r="K39" s="82"/>
    </row>
    <row r="40" spans="10:11" s="81" customFormat="1">
      <c r="J40" s="82"/>
      <c r="K40" s="82"/>
    </row>
    <row r="41" spans="10:11" s="81" customFormat="1">
      <c r="J41" s="82"/>
      <c r="K41" s="82"/>
    </row>
    <row r="42" spans="10:11" s="81" customFormat="1">
      <c r="J42" s="82"/>
      <c r="K42" s="82"/>
    </row>
    <row r="43" spans="10:11" s="81" customFormat="1">
      <c r="J43" s="82"/>
      <c r="K43" s="82"/>
    </row>
    <row r="44" spans="10:11" s="81" customFormat="1">
      <c r="J44" s="82"/>
      <c r="K44" s="82"/>
    </row>
    <row r="45" spans="10:11" s="81" customFormat="1">
      <c r="J45" s="82"/>
      <c r="K45" s="82"/>
    </row>
    <row r="46" spans="10:11" s="81" customFormat="1">
      <c r="J46" s="82"/>
      <c r="K46" s="82"/>
    </row>
    <row r="47" spans="10:11" s="81" customFormat="1">
      <c r="J47" s="82"/>
      <c r="K47" s="82"/>
    </row>
    <row r="48" spans="10:11" s="81" customFormat="1">
      <c r="J48" s="82"/>
      <c r="K48" s="82"/>
    </row>
    <row r="49" spans="10:11" s="81" customFormat="1">
      <c r="J49" s="82"/>
      <c r="K49" s="82"/>
    </row>
    <row r="50" spans="10:11" s="81" customFormat="1">
      <c r="J50" s="82"/>
      <c r="K50" s="82"/>
    </row>
    <row r="51" spans="10:11" s="81" customFormat="1">
      <c r="J51" s="82"/>
      <c r="K51" s="82"/>
    </row>
    <row r="52" spans="10:11" s="81" customFormat="1">
      <c r="J52" s="82"/>
      <c r="K52" s="82"/>
    </row>
    <row r="53" spans="10:11" s="81" customFormat="1">
      <c r="J53" s="82"/>
      <c r="K53" s="82"/>
    </row>
    <row r="54" spans="10:11" s="81" customFormat="1">
      <c r="J54" s="82"/>
      <c r="K54" s="82"/>
    </row>
    <row r="55" spans="10:11" s="81" customFormat="1">
      <c r="J55" s="82"/>
      <c r="K55" s="82"/>
    </row>
    <row r="56" spans="10:11" s="81" customFormat="1">
      <c r="J56" s="82"/>
      <c r="K56" s="82"/>
    </row>
    <row r="57" spans="10:11" s="81" customFormat="1">
      <c r="J57" s="82"/>
      <c r="K57" s="82"/>
    </row>
    <row r="58" spans="10:11" s="81" customFormat="1">
      <c r="J58" s="82"/>
      <c r="K58" s="82"/>
    </row>
    <row r="59" spans="10:11" s="81" customFormat="1">
      <c r="J59" s="82"/>
      <c r="K59" s="82"/>
    </row>
    <row r="60" spans="10:11" s="81" customFormat="1">
      <c r="J60" s="82"/>
      <c r="K60" s="82"/>
    </row>
    <row r="61" spans="10:11" s="81" customFormat="1">
      <c r="J61" s="82"/>
      <c r="K61" s="82"/>
    </row>
    <row r="62" spans="10:11" s="81" customFormat="1">
      <c r="J62" s="82"/>
      <c r="K62" s="82"/>
    </row>
    <row r="63" spans="10:11" s="81" customFormat="1">
      <c r="J63" s="82"/>
      <c r="K63" s="82"/>
    </row>
    <row r="64" spans="10:11" s="81" customFormat="1">
      <c r="J64" s="82"/>
      <c r="K64" s="82"/>
    </row>
    <row r="65" spans="10:11" s="81" customFormat="1">
      <c r="J65" s="82"/>
      <c r="K65" s="82"/>
    </row>
    <row r="66" spans="10:11" s="81" customFormat="1">
      <c r="J66" s="82"/>
      <c r="K66" s="82"/>
    </row>
    <row r="67" spans="10:11" s="81" customFormat="1">
      <c r="J67" s="82"/>
      <c r="K67" s="82"/>
    </row>
    <row r="68" spans="10:11" s="81" customFormat="1">
      <c r="J68" s="82"/>
      <c r="K68" s="82"/>
    </row>
    <row r="69" spans="10:11" s="81" customFormat="1">
      <c r="J69" s="82"/>
      <c r="K69" s="82"/>
    </row>
    <row r="70" spans="10:11" s="81" customFormat="1">
      <c r="J70" s="82"/>
      <c r="K70" s="82"/>
    </row>
    <row r="71" spans="10:11" s="81" customFormat="1">
      <c r="J71" s="82"/>
      <c r="K71" s="82"/>
    </row>
    <row r="72" spans="10:11" s="81" customFormat="1">
      <c r="J72" s="82"/>
      <c r="K72" s="82"/>
    </row>
    <row r="73" spans="10:11" s="81" customFormat="1">
      <c r="J73" s="82"/>
      <c r="K73" s="82"/>
    </row>
    <row r="74" spans="10:11" s="81" customFormat="1">
      <c r="J74" s="82"/>
      <c r="K74" s="82"/>
    </row>
    <row r="75" spans="10:11" s="81" customFormat="1">
      <c r="J75" s="82"/>
      <c r="K75" s="82"/>
    </row>
    <row r="76" spans="10:11" s="81" customFormat="1">
      <c r="J76" s="82"/>
      <c r="K76" s="82"/>
    </row>
    <row r="77" spans="10:11" s="81" customFormat="1">
      <c r="J77" s="82"/>
      <c r="K77" s="82"/>
    </row>
    <row r="78" spans="10:11" s="81" customFormat="1">
      <c r="J78" s="82"/>
      <c r="K78" s="82"/>
    </row>
    <row r="79" spans="10:11" s="81" customFormat="1">
      <c r="J79" s="82"/>
      <c r="K79" s="82"/>
    </row>
    <row r="80" spans="10:11" s="81" customFormat="1">
      <c r="J80" s="82"/>
      <c r="K80" s="82"/>
    </row>
    <row r="81" spans="10:11" s="81" customFormat="1">
      <c r="J81" s="82"/>
      <c r="K81" s="82"/>
    </row>
    <row r="82" spans="10:11" s="81" customFormat="1">
      <c r="J82" s="82"/>
      <c r="K82" s="82"/>
    </row>
    <row r="83" spans="10:11" s="81" customFormat="1">
      <c r="J83" s="82"/>
      <c r="K83" s="82"/>
    </row>
    <row r="84" spans="10:11" s="81" customFormat="1">
      <c r="J84" s="82"/>
      <c r="K84" s="82"/>
    </row>
    <row r="85" spans="10:11" s="81" customFormat="1">
      <c r="J85" s="82"/>
      <c r="K85" s="82"/>
    </row>
    <row r="86" spans="10:11" s="81" customFormat="1">
      <c r="J86" s="82"/>
      <c r="K86" s="82"/>
    </row>
    <row r="87" spans="10:11" s="81" customFormat="1">
      <c r="J87" s="82"/>
      <c r="K87" s="82"/>
    </row>
    <row r="88" spans="10:11" s="81" customFormat="1">
      <c r="J88" s="82"/>
      <c r="K88" s="82"/>
    </row>
    <row r="89" spans="10:11" s="81" customFormat="1">
      <c r="J89" s="82"/>
      <c r="K89" s="82"/>
    </row>
    <row r="90" spans="10:11" s="81" customFormat="1">
      <c r="J90" s="82"/>
      <c r="K90" s="82"/>
    </row>
    <row r="91" spans="10:11" s="81" customFormat="1">
      <c r="J91" s="82"/>
      <c r="K91" s="82"/>
    </row>
    <row r="92" spans="10:11" s="81" customFormat="1">
      <c r="J92" s="82"/>
      <c r="K92" s="82"/>
    </row>
    <row r="93" spans="10:11" s="81" customFormat="1">
      <c r="J93" s="82"/>
      <c r="K93" s="82"/>
    </row>
    <row r="94" spans="10:11" s="81" customFormat="1">
      <c r="J94" s="82"/>
      <c r="K94" s="82"/>
    </row>
    <row r="95" spans="10:11" s="81" customFormat="1">
      <c r="J95" s="82"/>
      <c r="K95" s="82"/>
    </row>
    <row r="96" spans="10:11" s="81" customFormat="1">
      <c r="J96" s="82"/>
      <c r="K96" s="82"/>
    </row>
    <row r="97" spans="10:11" s="81" customFormat="1">
      <c r="J97" s="82"/>
      <c r="K97" s="82"/>
    </row>
    <row r="98" spans="10:11" s="81" customFormat="1">
      <c r="J98" s="82"/>
      <c r="K98" s="82"/>
    </row>
    <row r="99" spans="10:11" s="81" customFormat="1">
      <c r="J99" s="82"/>
      <c r="K99" s="82"/>
    </row>
    <row r="100" spans="10:11" s="81" customFormat="1">
      <c r="J100" s="82"/>
      <c r="K100" s="82"/>
    </row>
    <row r="101" spans="10:11" s="81" customFormat="1">
      <c r="J101" s="82"/>
      <c r="K101" s="82"/>
    </row>
    <row r="102" spans="10:11" s="81" customFormat="1">
      <c r="J102" s="82"/>
      <c r="K102" s="82"/>
    </row>
    <row r="103" spans="10:11" s="81" customFormat="1">
      <c r="J103" s="82"/>
      <c r="K103" s="82"/>
    </row>
    <row r="104" spans="10:11" s="81" customFormat="1">
      <c r="J104" s="82"/>
      <c r="K104" s="82"/>
    </row>
    <row r="105" spans="10:11" s="81" customFormat="1">
      <c r="J105" s="82"/>
      <c r="K105" s="82"/>
    </row>
    <row r="106" spans="10:11" s="81" customFormat="1">
      <c r="J106" s="82"/>
      <c r="K106" s="82"/>
    </row>
    <row r="107" spans="10:11" s="81" customFormat="1">
      <c r="J107" s="82"/>
      <c r="K107" s="82"/>
    </row>
    <row r="108" spans="10:11" s="81" customFormat="1">
      <c r="J108" s="82"/>
      <c r="K108" s="82"/>
    </row>
    <row r="109" spans="10:11" s="81" customFormat="1">
      <c r="J109" s="82"/>
      <c r="K109" s="82"/>
    </row>
    <row r="110" spans="10:11" s="81" customFormat="1">
      <c r="J110" s="82"/>
      <c r="K110" s="82"/>
    </row>
    <row r="111" spans="10:11" s="81" customFormat="1">
      <c r="J111" s="82"/>
      <c r="K111" s="82"/>
    </row>
    <row r="112" spans="10:11" s="81" customFormat="1">
      <c r="J112" s="82"/>
      <c r="K112" s="82"/>
    </row>
    <row r="113" spans="10:11" s="81" customFormat="1">
      <c r="J113" s="82"/>
      <c r="K113" s="82"/>
    </row>
    <row r="114" spans="10:11" s="81" customFormat="1">
      <c r="J114" s="82"/>
      <c r="K114" s="82"/>
    </row>
    <row r="115" spans="10:11" s="81" customFormat="1">
      <c r="J115" s="82"/>
      <c r="K115" s="82"/>
    </row>
    <row r="116" spans="10:11" s="81" customFormat="1">
      <c r="J116" s="82"/>
      <c r="K116" s="82"/>
    </row>
    <row r="117" spans="10:11" s="81" customFormat="1">
      <c r="J117" s="82"/>
      <c r="K117" s="82"/>
    </row>
    <row r="118" spans="10:11" s="81" customFormat="1">
      <c r="J118" s="82"/>
      <c r="K118" s="82"/>
    </row>
    <row r="119" spans="10:11" s="81" customFormat="1">
      <c r="J119" s="82"/>
      <c r="K119" s="82"/>
    </row>
    <row r="120" spans="10:11" s="81" customFormat="1">
      <c r="J120" s="82"/>
      <c r="K120" s="82"/>
    </row>
    <row r="121" spans="10:11" s="81" customFormat="1">
      <c r="J121" s="82"/>
      <c r="K121" s="82"/>
    </row>
    <row r="122" spans="10:11" s="81" customFormat="1">
      <c r="J122" s="82"/>
      <c r="K122" s="82"/>
    </row>
    <row r="123" spans="10:11" s="81" customFormat="1">
      <c r="J123" s="82"/>
      <c r="K123" s="82"/>
    </row>
    <row r="124" spans="10:11" s="81" customFormat="1">
      <c r="J124" s="82"/>
      <c r="K124" s="82"/>
    </row>
    <row r="125" spans="10:11" s="81" customFormat="1">
      <c r="J125" s="82"/>
      <c r="K125" s="82"/>
    </row>
    <row r="126" spans="10:11" s="81" customFormat="1">
      <c r="J126" s="82"/>
      <c r="K126" s="82"/>
    </row>
    <row r="127" spans="10:11" s="81" customFormat="1">
      <c r="J127" s="82"/>
      <c r="K127" s="82"/>
    </row>
    <row r="128" spans="10:11" s="81" customFormat="1">
      <c r="J128" s="82"/>
      <c r="K128" s="82"/>
    </row>
    <row r="129" spans="10:11" s="81" customFormat="1">
      <c r="J129" s="82"/>
      <c r="K129" s="82"/>
    </row>
    <row r="130" spans="10:11" s="81" customFormat="1">
      <c r="J130" s="82"/>
      <c r="K130" s="82"/>
    </row>
    <row r="131" spans="10:11" s="81" customFormat="1">
      <c r="J131" s="82"/>
      <c r="K131" s="82"/>
    </row>
    <row r="132" spans="10:11" s="81" customFormat="1">
      <c r="J132" s="82"/>
      <c r="K132" s="82"/>
    </row>
    <row r="133" spans="10:11" s="81" customFormat="1">
      <c r="J133" s="82"/>
      <c r="K133" s="82"/>
    </row>
    <row r="134" spans="10:11" s="81" customFormat="1">
      <c r="J134" s="82"/>
      <c r="K134" s="82"/>
    </row>
    <row r="135" spans="10:11" s="81" customFormat="1">
      <c r="J135" s="82"/>
      <c r="K135" s="82"/>
    </row>
    <row r="136" spans="10:11" s="81" customFormat="1">
      <c r="J136" s="82"/>
      <c r="K136" s="82"/>
    </row>
    <row r="137" spans="10:11" s="81" customFormat="1">
      <c r="J137" s="82"/>
      <c r="K137" s="82"/>
    </row>
    <row r="138" spans="10:11" s="81" customFormat="1">
      <c r="J138" s="82"/>
      <c r="K138" s="82"/>
    </row>
    <row r="139" spans="10:11" s="81" customFormat="1">
      <c r="J139" s="82"/>
      <c r="K139" s="82"/>
    </row>
    <row r="140" spans="10:11" s="81" customFormat="1">
      <c r="J140" s="82"/>
      <c r="K140" s="82"/>
    </row>
    <row r="141" spans="10:11" s="81" customFormat="1">
      <c r="J141" s="82"/>
      <c r="K141" s="82"/>
    </row>
    <row r="142" spans="10:11" s="81" customFormat="1">
      <c r="J142" s="82"/>
      <c r="K142" s="82"/>
    </row>
    <row r="143" spans="10:11" s="81" customFormat="1">
      <c r="J143" s="82"/>
      <c r="K143" s="82"/>
    </row>
    <row r="144" spans="10:11" s="81" customFormat="1">
      <c r="J144" s="82"/>
      <c r="K144" s="82"/>
    </row>
    <row r="145" spans="10:11" s="81" customFormat="1">
      <c r="J145" s="82"/>
      <c r="K145" s="82"/>
    </row>
    <row r="146" spans="10:11" s="81" customFormat="1">
      <c r="J146" s="82"/>
      <c r="K146" s="82"/>
    </row>
    <row r="147" spans="10:11" s="81" customFormat="1">
      <c r="J147" s="82"/>
      <c r="K147" s="82"/>
    </row>
    <row r="148" spans="10:11" s="81" customFormat="1">
      <c r="J148" s="82"/>
      <c r="K148" s="82"/>
    </row>
    <row r="149" spans="10:11" s="81" customFormat="1">
      <c r="J149" s="82"/>
      <c r="K149" s="82"/>
    </row>
    <row r="150" spans="10:11" s="81" customFormat="1">
      <c r="J150" s="82"/>
      <c r="K150" s="82"/>
    </row>
    <row r="151" spans="10:11" s="81" customFormat="1">
      <c r="J151" s="82"/>
      <c r="K151" s="82"/>
    </row>
    <row r="152" spans="10:11" s="81" customFormat="1">
      <c r="J152" s="82"/>
      <c r="K152" s="82"/>
    </row>
    <row r="153" spans="10:11" s="81" customFormat="1">
      <c r="J153" s="82"/>
      <c r="K153" s="82"/>
    </row>
    <row r="154" spans="10:11" s="81" customFormat="1">
      <c r="J154" s="82"/>
      <c r="K154" s="82"/>
    </row>
    <row r="155" spans="10:11" s="81" customFormat="1">
      <c r="J155" s="82"/>
      <c r="K155" s="82"/>
    </row>
    <row r="156" spans="10:11" s="81" customFormat="1">
      <c r="J156" s="82"/>
      <c r="K156" s="82"/>
    </row>
    <row r="157" spans="10:11" s="81" customFormat="1">
      <c r="J157" s="82"/>
      <c r="K157" s="82"/>
    </row>
    <row r="158" spans="10:11" s="81" customFormat="1">
      <c r="J158" s="82"/>
      <c r="K158" s="82"/>
    </row>
    <row r="159" spans="10:11" s="81" customFormat="1">
      <c r="J159" s="82"/>
      <c r="K159" s="82"/>
    </row>
    <row r="160" spans="10:11" s="81" customFormat="1">
      <c r="J160" s="82"/>
      <c r="K160" s="82"/>
    </row>
    <row r="161" spans="10:11" s="81" customFormat="1">
      <c r="J161" s="82"/>
      <c r="K161" s="82"/>
    </row>
    <row r="162" spans="10:11" s="81" customFormat="1">
      <c r="J162" s="82"/>
      <c r="K162" s="82"/>
    </row>
    <row r="163" spans="10:11" s="81" customFormat="1">
      <c r="J163" s="82"/>
      <c r="K163" s="82"/>
    </row>
    <row r="164" spans="10:11" s="81" customFormat="1">
      <c r="J164" s="82"/>
      <c r="K164" s="82"/>
    </row>
    <row r="165" spans="10:11" s="81" customFormat="1">
      <c r="J165" s="82"/>
      <c r="K165" s="82"/>
    </row>
    <row r="166" spans="10:11" s="81" customFormat="1">
      <c r="J166" s="82"/>
      <c r="K166" s="82"/>
    </row>
    <row r="167" spans="10:11" s="81" customFormat="1">
      <c r="J167" s="82"/>
      <c r="K167" s="82"/>
    </row>
    <row r="168" spans="10:11" s="81" customFormat="1">
      <c r="J168" s="82"/>
      <c r="K168" s="82"/>
    </row>
    <row r="169" spans="10:11" s="81" customFormat="1">
      <c r="J169" s="82"/>
      <c r="K169" s="82"/>
    </row>
    <row r="170" spans="10:11" s="81" customFormat="1">
      <c r="J170" s="82"/>
      <c r="K170" s="82"/>
    </row>
    <row r="171" spans="10:11" s="81" customFormat="1">
      <c r="J171" s="82"/>
      <c r="K171" s="82"/>
    </row>
    <row r="172" spans="10:11" s="81" customFormat="1">
      <c r="J172" s="82"/>
      <c r="K172" s="82"/>
    </row>
    <row r="173" spans="10:11" s="81" customFormat="1">
      <c r="J173" s="82"/>
      <c r="K173" s="82"/>
    </row>
    <row r="174" spans="10:11" s="81" customFormat="1">
      <c r="J174" s="82"/>
      <c r="K174" s="82"/>
    </row>
    <row r="175" spans="10:11" s="81" customFormat="1">
      <c r="J175" s="82"/>
      <c r="K175" s="82"/>
    </row>
    <row r="176" spans="10:11" s="81" customFormat="1">
      <c r="J176" s="82"/>
      <c r="K176" s="82"/>
    </row>
    <row r="177" spans="10:11" s="81" customFormat="1">
      <c r="J177" s="82"/>
      <c r="K177" s="82"/>
    </row>
    <row r="178" spans="10:11" s="81" customFormat="1">
      <c r="J178" s="82"/>
      <c r="K178" s="82"/>
    </row>
    <row r="179" spans="10:11" s="81" customFormat="1">
      <c r="J179" s="82"/>
      <c r="K179" s="82"/>
    </row>
    <row r="180" spans="10:11" s="81" customFormat="1">
      <c r="J180" s="82"/>
      <c r="K180" s="82"/>
    </row>
    <row r="181" spans="10:11" s="81" customFormat="1">
      <c r="J181" s="82"/>
      <c r="K181" s="82"/>
    </row>
    <row r="182" spans="10:11" s="81" customFormat="1">
      <c r="J182" s="82"/>
      <c r="K182" s="82"/>
    </row>
    <row r="183" spans="10:11" s="81" customFormat="1">
      <c r="J183" s="82"/>
      <c r="K183" s="82"/>
    </row>
    <row r="184" spans="10:11" s="81" customFormat="1">
      <c r="J184" s="82"/>
      <c r="K184" s="82"/>
    </row>
    <row r="185" spans="10:11" s="81" customFormat="1">
      <c r="J185" s="82"/>
      <c r="K185" s="82"/>
    </row>
    <row r="186" spans="10:11" s="81" customFormat="1">
      <c r="J186" s="82"/>
      <c r="K186" s="82"/>
    </row>
    <row r="187" spans="10:11" s="81" customFormat="1">
      <c r="J187" s="82"/>
      <c r="K187" s="82"/>
    </row>
    <row r="188" spans="10:11" s="81" customFormat="1">
      <c r="J188" s="82"/>
      <c r="K188" s="82"/>
    </row>
    <row r="189" spans="10:11" s="81" customFormat="1">
      <c r="J189" s="82"/>
      <c r="K189" s="82"/>
    </row>
    <row r="190" spans="10:11" s="81" customFormat="1">
      <c r="J190" s="82"/>
      <c r="K190" s="82"/>
    </row>
    <row r="191" spans="10:11" s="81" customFormat="1">
      <c r="J191" s="82"/>
      <c r="K191" s="82"/>
    </row>
    <row r="192" spans="10:11" s="81" customFormat="1">
      <c r="J192" s="82"/>
      <c r="K192" s="82"/>
    </row>
    <row r="193" spans="10:11" s="81" customFormat="1">
      <c r="J193" s="82"/>
      <c r="K193" s="82"/>
    </row>
    <row r="194" spans="10:11" s="81" customFormat="1">
      <c r="J194" s="82"/>
      <c r="K194" s="82"/>
    </row>
    <row r="195" spans="10:11" s="81" customFormat="1">
      <c r="J195" s="82"/>
      <c r="K195" s="82"/>
    </row>
    <row r="196" spans="10:11" s="81" customFormat="1">
      <c r="J196" s="82"/>
      <c r="K196" s="82"/>
    </row>
    <row r="197" spans="10:11" s="81" customFormat="1">
      <c r="J197" s="82"/>
      <c r="K197" s="82"/>
    </row>
    <row r="198" spans="10:11" s="81" customFormat="1">
      <c r="J198" s="82"/>
      <c r="K198" s="82"/>
    </row>
    <row r="199" spans="10:11" s="81" customFormat="1">
      <c r="J199" s="82"/>
      <c r="K199" s="82"/>
    </row>
    <row r="200" spans="10:11" s="81" customFormat="1">
      <c r="J200" s="82"/>
      <c r="K200" s="82"/>
    </row>
    <row r="201" spans="10:11" s="81" customFormat="1">
      <c r="J201" s="82"/>
      <c r="K201" s="82"/>
    </row>
    <row r="202" spans="10:11" s="81" customFormat="1">
      <c r="J202" s="82"/>
      <c r="K202" s="82"/>
    </row>
    <row r="203" spans="10:11" s="81" customFormat="1">
      <c r="J203" s="82"/>
      <c r="K203" s="82"/>
    </row>
    <row r="204" spans="10:11" s="81" customFormat="1">
      <c r="J204" s="82"/>
      <c r="K204" s="82"/>
    </row>
    <row r="205" spans="10:11" s="81" customFormat="1">
      <c r="J205" s="82"/>
      <c r="K205" s="82"/>
    </row>
    <row r="206" spans="10:11" s="81" customFormat="1">
      <c r="J206" s="82"/>
      <c r="K206" s="82"/>
    </row>
    <row r="207" spans="10:11" s="81" customFormat="1">
      <c r="J207" s="82"/>
      <c r="K207" s="82"/>
    </row>
    <row r="208" spans="10:11" s="81" customFormat="1">
      <c r="J208" s="82"/>
      <c r="K208" s="82"/>
    </row>
    <row r="209" spans="10:11" s="81" customFormat="1">
      <c r="J209" s="82"/>
      <c r="K209" s="82"/>
    </row>
    <row r="210" spans="10:11" s="81" customFormat="1">
      <c r="J210" s="82"/>
      <c r="K210" s="82"/>
    </row>
    <row r="211" spans="10:11" s="81" customFormat="1">
      <c r="J211" s="82"/>
      <c r="K211" s="82"/>
    </row>
    <row r="212" spans="10:11" s="81" customFormat="1">
      <c r="J212" s="82"/>
      <c r="K212" s="82"/>
    </row>
    <row r="213" spans="10:11" s="81" customFormat="1">
      <c r="J213" s="82"/>
      <c r="K213" s="82"/>
    </row>
    <row r="214" spans="10:11" s="81" customFormat="1">
      <c r="J214" s="82"/>
      <c r="K214" s="82"/>
    </row>
    <row r="215" spans="10:11" s="81" customFormat="1">
      <c r="J215" s="82"/>
      <c r="K215" s="82"/>
    </row>
    <row r="216" spans="10:11" s="81" customFormat="1">
      <c r="J216" s="82"/>
      <c r="K216" s="82"/>
    </row>
    <row r="217" spans="10:11" s="81" customFormat="1">
      <c r="J217" s="82"/>
      <c r="K217" s="82"/>
    </row>
    <row r="218" spans="10:11" s="81" customFormat="1">
      <c r="J218" s="82"/>
      <c r="K218" s="82"/>
    </row>
    <row r="219" spans="10:11" s="81" customFormat="1">
      <c r="J219" s="82"/>
      <c r="K219" s="82"/>
    </row>
    <row r="220" spans="10:11" s="81" customFormat="1">
      <c r="J220" s="82"/>
      <c r="K220" s="82"/>
    </row>
    <row r="221" spans="10:11" s="81" customFormat="1">
      <c r="J221" s="82"/>
      <c r="K221" s="82"/>
    </row>
    <row r="222" spans="10:11" s="81" customFormat="1">
      <c r="J222" s="82"/>
      <c r="K222" s="82"/>
    </row>
    <row r="223" spans="10:11" s="81" customFormat="1">
      <c r="J223" s="82"/>
      <c r="K223" s="82"/>
    </row>
    <row r="224" spans="10:11" s="81" customFormat="1">
      <c r="J224" s="82"/>
      <c r="K224" s="82"/>
    </row>
    <row r="225" spans="10:11" s="81" customFormat="1">
      <c r="J225" s="82"/>
      <c r="K225" s="82"/>
    </row>
    <row r="226" spans="10:11" s="81" customFormat="1">
      <c r="J226" s="82"/>
      <c r="K226" s="82"/>
    </row>
    <row r="227" spans="10:11" s="81" customFormat="1">
      <c r="J227" s="82"/>
      <c r="K227" s="82"/>
    </row>
    <row r="228" spans="10:11" s="81" customFormat="1">
      <c r="J228" s="82"/>
      <c r="K228" s="82"/>
    </row>
    <row r="229" spans="10:11" s="81" customFormat="1">
      <c r="J229" s="82"/>
      <c r="K229" s="82"/>
    </row>
    <row r="230" spans="10:11" s="81" customFormat="1">
      <c r="J230" s="82"/>
      <c r="K230" s="82"/>
    </row>
    <row r="231" spans="10:11" s="81" customFormat="1">
      <c r="J231" s="82"/>
      <c r="K231" s="82"/>
    </row>
    <row r="232" spans="10:11" s="81" customFormat="1">
      <c r="J232" s="82"/>
      <c r="K232" s="82"/>
    </row>
    <row r="233" spans="10:11" s="81" customFormat="1">
      <c r="J233" s="82"/>
      <c r="K233" s="82"/>
    </row>
    <row r="234" spans="10:11" s="81" customFormat="1">
      <c r="J234" s="82"/>
      <c r="K234" s="82"/>
    </row>
    <row r="235" spans="10:11" s="81" customFormat="1">
      <c r="J235" s="82"/>
      <c r="K235" s="82"/>
    </row>
    <row r="236" spans="10:11" s="81" customFormat="1">
      <c r="J236" s="82"/>
      <c r="K236" s="82"/>
    </row>
    <row r="237" spans="10:11" s="81" customFormat="1">
      <c r="J237" s="82"/>
      <c r="K237" s="82"/>
    </row>
    <row r="238" spans="10:11" s="81" customFormat="1">
      <c r="J238" s="82"/>
      <c r="K238" s="82"/>
    </row>
    <row r="239" spans="10:11" s="81" customFormat="1">
      <c r="J239" s="82"/>
      <c r="K239" s="82"/>
    </row>
    <row r="240" spans="10:11" s="81" customFormat="1">
      <c r="J240" s="82"/>
      <c r="K240" s="82"/>
    </row>
    <row r="241" spans="10:11" s="81" customFormat="1">
      <c r="J241" s="82"/>
      <c r="K241" s="82"/>
    </row>
    <row r="242" spans="10:11" s="81" customFormat="1">
      <c r="J242" s="82"/>
      <c r="K242" s="82"/>
    </row>
    <row r="243" spans="10:11" s="81" customFormat="1">
      <c r="J243" s="82"/>
      <c r="K243" s="82"/>
    </row>
    <row r="244" spans="10:11" s="81" customFormat="1">
      <c r="J244" s="82"/>
      <c r="K244" s="82"/>
    </row>
    <row r="245" spans="10:11" s="81" customFormat="1">
      <c r="J245" s="82"/>
      <c r="K245" s="82"/>
    </row>
    <row r="246" spans="10:11" s="81" customFormat="1">
      <c r="J246" s="82"/>
      <c r="K246" s="82"/>
    </row>
    <row r="247" spans="10:11" s="81" customFormat="1">
      <c r="J247" s="82"/>
      <c r="K247" s="82"/>
    </row>
    <row r="248" spans="10:11" s="81" customFormat="1">
      <c r="J248" s="82"/>
      <c r="K248" s="82"/>
    </row>
    <row r="249" spans="10:11" s="81" customFormat="1">
      <c r="J249" s="82"/>
      <c r="K249" s="82"/>
    </row>
    <row r="250" spans="10:11" s="81" customFormat="1">
      <c r="J250" s="82"/>
      <c r="K250" s="82"/>
    </row>
    <row r="251" spans="10:11" s="81" customFormat="1">
      <c r="J251" s="82"/>
      <c r="K251" s="82"/>
    </row>
    <row r="252" spans="10:11" s="81" customFormat="1">
      <c r="J252" s="82"/>
      <c r="K252" s="82"/>
    </row>
    <row r="253" spans="10:11" s="81" customFormat="1">
      <c r="J253" s="82"/>
      <c r="K253" s="82"/>
    </row>
    <row r="254" spans="10:11" s="81" customFormat="1">
      <c r="J254" s="82"/>
      <c r="K254" s="82"/>
    </row>
    <row r="255" spans="10:11" s="81" customFormat="1">
      <c r="J255" s="82"/>
      <c r="K255" s="82"/>
    </row>
    <row r="256" spans="10:11" s="81" customFormat="1">
      <c r="J256" s="82"/>
      <c r="K256" s="82"/>
    </row>
    <row r="257" spans="10:11" s="81" customFormat="1">
      <c r="J257" s="82"/>
      <c r="K257" s="82"/>
    </row>
    <row r="258" spans="10:11" s="81" customFormat="1">
      <c r="J258" s="82"/>
      <c r="K258" s="82"/>
    </row>
    <row r="259" spans="10:11" s="81" customFormat="1">
      <c r="J259" s="82"/>
      <c r="K259" s="82"/>
    </row>
    <row r="260" spans="10:11" s="81" customFormat="1">
      <c r="J260" s="82"/>
      <c r="K260" s="82"/>
    </row>
    <row r="261" spans="10:11" s="81" customFormat="1">
      <c r="J261" s="82"/>
      <c r="K261" s="82"/>
    </row>
    <row r="262" spans="10:11" s="81" customFormat="1">
      <c r="J262" s="82"/>
      <c r="K262" s="82"/>
    </row>
    <row r="263" spans="10:11" s="81" customFormat="1">
      <c r="J263" s="82"/>
      <c r="K263" s="82"/>
    </row>
    <row r="264" spans="10:11" s="81" customFormat="1">
      <c r="J264" s="82"/>
      <c r="K264" s="82"/>
    </row>
    <row r="265" spans="10:11" s="81" customFormat="1">
      <c r="J265" s="82"/>
      <c r="K265" s="82"/>
    </row>
    <row r="266" spans="10:11" s="81" customFormat="1">
      <c r="J266" s="82"/>
      <c r="K266" s="82"/>
    </row>
    <row r="267" spans="10:11" s="81" customFormat="1">
      <c r="J267" s="82"/>
      <c r="K267" s="82"/>
    </row>
    <row r="268" spans="10:11" s="81" customFormat="1">
      <c r="J268" s="82"/>
      <c r="K268" s="82"/>
    </row>
    <row r="269" spans="10:11" s="81" customFormat="1">
      <c r="J269" s="82"/>
      <c r="K269" s="82"/>
    </row>
    <row r="270" spans="10:11" s="81" customFormat="1">
      <c r="J270" s="82"/>
      <c r="K270" s="82"/>
    </row>
    <row r="271" spans="10:11" s="81" customFormat="1">
      <c r="J271" s="82"/>
      <c r="K271" s="82"/>
    </row>
    <row r="272" spans="10:11" s="81" customFormat="1">
      <c r="J272" s="82"/>
      <c r="K272" s="82"/>
    </row>
    <row r="273" spans="10:11" s="81" customFormat="1">
      <c r="J273" s="82"/>
      <c r="K273" s="82"/>
    </row>
    <row r="274" spans="10:11" s="81" customFormat="1">
      <c r="J274" s="82"/>
      <c r="K274" s="82"/>
    </row>
    <row r="275" spans="10:11" s="81" customFormat="1">
      <c r="J275" s="82"/>
      <c r="K275" s="82"/>
    </row>
    <row r="276" spans="10:11" s="81" customFormat="1">
      <c r="J276" s="82"/>
      <c r="K276" s="82"/>
    </row>
    <row r="277" spans="10:11" s="81" customFormat="1">
      <c r="J277" s="82"/>
      <c r="K277" s="82"/>
    </row>
    <row r="278" spans="10:11" s="81" customFormat="1">
      <c r="J278" s="82"/>
      <c r="K278" s="82"/>
    </row>
    <row r="279" spans="10:11" s="81" customFormat="1">
      <c r="J279" s="82"/>
      <c r="K279" s="82"/>
    </row>
    <row r="280" spans="10:11" s="81" customFormat="1">
      <c r="J280" s="82"/>
      <c r="K280" s="82"/>
    </row>
    <row r="281" spans="10:11" s="81" customFormat="1">
      <c r="J281" s="82"/>
      <c r="K281" s="82"/>
    </row>
    <row r="282" spans="10:11" s="81" customFormat="1">
      <c r="J282" s="82"/>
      <c r="K282" s="82"/>
    </row>
    <row r="283" spans="10:11" s="81" customFormat="1">
      <c r="J283" s="82"/>
      <c r="K283" s="82"/>
    </row>
    <row r="284" spans="10:11" s="81" customFormat="1">
      <c r="J284" s="82"/>
      <c r="K284" s="82"/>
    </row>
    <row r="285" spans="10:11" s="81" customFormat="1">
      <c r="J285" s="82"/>
      <c r="K285" s="82"/>
    </row>
    <row r="286" spans="10:11" s="81" customFormat="1">
      <c r="J286" s="82"/>
      <c r="K286" s="82"/>
    </row>
    <row r="287" spans="10:11" s="81" customFormat="1">
      <c r="J287" s="82"/>
      <c r="K287" s="82"/>
    </row>
    <row r="288" spans="10:11" s="81" customFormat="1">
      <c r="J288" s="82"/>
      <c r="K288" s="82"/>
    </row>
    <row r="289" spans="10:11" s="81" customFormat="1">
      <c r="J289" s="82"/>
      <c r="K289" s="82"/>
    </row>
    <row r="290" spans="10:11" s="81" customFormat="1">
      <c r="J290" s="82"/>
      <c r="K290" s="82"/>
    </row>
    <row r="291" spans="10:11" s="81" customFormat="1">
      <c r="J291" s="82"/>
      <c r="K291" s="82"/>
    </row>
    <row r="292" spans="10:11" s="81" customFormat="1">
      <c r="J292" s="82"/>
      <c r="K292" s="82"/>
    </row>
    <row r="293" spans="10:11" s="81" customFormat="1">
      <c r="J293" s="82"/>
      <c r="K293" s="82"/>
    </row>
    <row r="294" spans="10:11" s="81" customFormat="1">
      <c r="J294" s="82"/>
      <c r="K294" s="82"/>
    </row>
    <row r="295" spans="10:11" s="81" customFormat="1">
      <c r="J295" s="82"/>
      <c r="K295" s="82"/>
    </row>
    <row r="296" spans="10:11" s="81" customFormat="1">
      <c r="J296" s="82"/>
      <c r="K296" s="82"/>
    </row>
    <row r="297" spans="10:11" s="81" customFormat="1">
      <c r="J297" s="82"/>
      <c r="K297" s="82"/>
    </row>
    <row r="298" spans="10:11" s="81" customFormat="1">
      <c r="J298" s="82"/>
      <c r="K298" s="82"/>
    </row>
    <row r="299" spans="10:11" s="81" customFormat="1">
      <c r="J299" s="82"/>
      <c r="K299" s="82"/>
    </row>
    <row r="300" spans="10:11" s="81" customFormat="1">
      <c r="J300" s="82"/>
      <c r="K300" s="82"/>
    </row>
    <row r="301" spans="10:11" s="81" customFormat="1">
      <c r="J301" s="82"/>
      <c r="K301" s="82"/>
    </row>
    <row r="302" spans="10:11" s="81" customFormat="1">
      <c r="J302" s="82"/>
      <c r="K302" s="82"/>
    </row>
    <row r="303" spans="10:11" s="81" customFormat="1">
      <c r="J303" s="82"/>
      <c r="K303" s="82"/>
    </row>
    <row r="304" spans="10:11" s="81" customFormat="1">
      <c r="J304" s="82"/>
      <c r="K304" s="82"/>
    </row>
    <row r="305" spans="10:11" s="81" customFormat="1">
      <c r="J305" s="82"/>
      <c r="K305" s="82"/>
    </row>
    <row r="306" spans="10:11" s="81" customFormat="1">
      <c r="J306" s="82"/>
      <c r="K306" s="82"/>
    </row>
    <row r="307" spans="10:11" s="81" customFormat="1">
      <c r="J307" s="82"/>
      <c r="K307" s="82"/>
    </row>
    <row r="308" spans="10:11" s="81" customFormat="1">
      <c r="J308" s="82"/>
      <c r="K308" s="82"/>
    </row>
    <row r="309" spans="10:11" s="81" customFormat="1">
      <c r="J309" s="82"/>
      <c r="K309" s="82"/>
    </row>
    <row r="310" spans="10:11" s="81" customFormat="1">
      <c r="J310" s="82"/>
      <c r="K310" s="82"/>
    </row>
    <row r="311" spans="10:11" s="81" customFormat="1">
      <c r="J311" s="82"/>
      <c r="K311" s="82"/>
    </row>
    <row r="312" spans="10:11" s="81" customFormat="1">
      <c r="J312" s="82"/>
      <c r="K312" s="82"/>
    </row>
    <row r="313" spans="10:11" s="81" customFormat="1">
      <c r="J313" s="82"/>
      <c r="K313" s="82"/>
    </row>
    <row r="314" spans="10:11" s="81" customFormat="1">
      <c r="J314" s="82"/>
      <c r="K314" s="82"/>
    </row>
    <row r="315" spans="10:11" s="81" customFormat="1">
      <c r="J315" s="82"/>
      <c r="K315" s="82"/>
    </row>
    <row r="316" spans="10:11" s="81" customFormat="1">
      <c r="J316" s="82"/>
      <c r="K316" s="82"/>
    </row>
    <row r="317" spans="10:11" s="81" customFormat="1">
      <c r="J317" s="82"/>
      <c r="K317" s="82"/>
    </row>
    <row r="318" spans="10:11" s="81" customFormat="1">
      <c r="J318" s="82"/>
      <c r="K318" s="82"/>
    </row>
    <row r="319" spans="10:11" s="81" customFormat="1">
      <c r="J319" s="82"/>
      <c r="K319" s="82"/>
    </row>
    <row r="320" spans="10:11" s="81" customFormat="1">
      <c r="J320" s="82"/>
      <c r="K320" s="82"/>
    </row>
    <row r="321" spans="10:11" s="81" customFormat="1">
      <c r="J321" s="82"/>
      <c r="K321" s="82"/>
    </row>
    <row r="322" spans="10:11" s="81" customFormat="1">
      <c r="J322" s="82"/>
      <c r="K322" s="82"/>
    </row>
    <row r="323" spans="10:11" s="81" customFormat="1">
      <c r="J323" s="82"/>
      <c r="K323" s="82"/>
    </row>
    <row r="324" spans="10:11" s="81" customFormat="1">
      <c r="J324" s="82"/>
      <c r="K324" s="82"/>
    </row>
    <row r="325" spans="10:11" s="81" customFormat="1">
      <c r="J325" s="82"/>
      <c r="K325" s="82"/>
    </row>
    <row r="326" spans="10:11" s="81" customFormat="1">
      <c r="J326" s="82"/>
      <c r="K326" s="82"/>
    </row>
    <row r="327" spans="10:11" s="81" customFormat="1">
      <c r="J327" s="82"/>
      <c r="K327" s="82"/>
    </row>
    <row r="328" spans="10:11" s="81" customFormat="1">
      <c r="J328" s="82"/>
      <c r="K328" s="82"/>
    </row>
    <row r="329" spans="10:11" s="81" customFormat="1">
      <c r="J329" s="82"/>
      <c r="K329" s="82"/>
    </row>
    <row r="330" spans="10:11" s="81" customFormat="1">
      <c r="J330" s="82"/>
      <c r="K330" s="82"/>
    </row>
    <row r="331" spans="10:11" s="81" customFormat="1">
      <c r="J331" s="82"/>
      <c r="K331" s="82"/>
    </row>
    <row r="332" spans="10:11" s="81" customFormat="1">
      <c r="J332" s="82"/>
      <c r="K332" s="82"/>
    </row>
    <row r="333" spans="10:11" s="81" customFormat="1">
      <c r="J333" s="82"/>
      <c r="K333" s="82"/>
    </row>
    <row r="334" spans="10:11" s="81" customFormat="1">
      <c r="J334" s="82"/>
      <c r="K334" s="82"/>
    </row>
    <row r="335" spans="10:11" s="81" customFormat="1">
      <c r="J335" s="82"/>
      <c r="K335" s="82"/>
    </row>
    <row r="336" spans="10:11" s="81" customFormat="1">
      <c r="J336" s="82"/>
      <c r="K336" s="82"/>
    </row>
    <row r="337" spans="10:11" s="81" customFormat="1">
      <c r="J337" s="82"/>
      <c r="K337" s="82"/>
    </row>
    <row r="338" spans="10:11" s="81" customFormat="1">
      <c r="J338" s="82"/>
      <c r="K338" s="82"/>
    </row>
    <row r="339" spans="10:11" s="81" customFormat="1">
      <c r="J339" s="82"/>
      <c r="K339" s="82"/>
    </row>
    <row r="340" spans="10:11" s="81" customFormat="1">
      <c r="J340" s="82"/>
      <c r="K340" s="82"/>
    </row>
    <row r="341" spans="10:11" s="81" customFormat="1">
      <c r="J341" s="82"/>
      <c r="K341" s="82"/>
    </row>
    <row r="342" spans="10:11" s="81" customFormat="1">
      <c r="J342" s="82"/>
      <c r="K342" s="82"/>
    </row>
    <row r="343" spans="10:11" s="81" customFormat="1">
      <c r="J343" s="82"/>
      <c r="K343" s="82"/>
    </row>
    <row r="344" spans="10:11" s="81" customFormat="1">
      <c r="J344" s="82"/>
      <c r="K344" s="82"/>
    </row>
    <row r="345" spans="10:11" s="81" customFormat="1">
      <c r="J345" s="82"/>
      <c r="K345" s="82"/>
    </row>
    <row r="346" spans="10:11" s="81" customFormat="1">
      <c r="J346" s="82"/>
      <c r="K346" s="82"/>
    </row>
    <row r="347" spans="10:11" s="81" customFormat="1">
      <c r="J347" s="82"/>
      <c r="K347" s="82"/>
    </row>
    <row r="348" spans="10:11" s="81" customFormat="1">
      <c r="J348" s="82"/>
      <c r="K348" s="82"/>
    </row>
    <row r="349" spans="10:11" s="81" customFormat="1">
      <c r="J349" s="82"/>
      <c r="K349" s="82"/>
    </row>
    <row r="350" spans="10:11" s="81" customFormat="1">
      <c r="J350" s="82"/>
      <c r="K350" s="82"/>
    </row>
    <row r="351" spans="10:11" s="81" customFormat="1">
      <c r="J351" s="82"/>
      <c r="K351" s="82"/>
    </row>
    <row r="352" spans="10:11" s="81" customFormat="1">
      <c r="J352" s="82"/>
      <c r="K352" s="82"/>
    </row>
    <row r="353" spans="1:15" s="81" customFormat="1">
      <c r="J353" s="82"/>
      <c r="K353" s="82"/>
    </row>
    <row r="354" spans="1:15" s="81" customFormat="1">
      <c r="A354" s="20"/>
      <c r="C354" s="20"/>
      <c r="D354" s="20"/>
      <c r="E354" s="20"/>
      <c r="F354" s="20"/>
      <c r="G354" s="20"/>
      <c r="H354" s="20"/>
      <c r="I354" s="20"/>
      <c r="J354" s="82"/>
      <c r="K354" s="82"/>
      <c r="M354" s="20"/>
      <c r="N354" s="20"/>
      <c r="O354" s="20"/>
    </row>
    <row r="355" spans="1:15" s="81" customFormat="1">
      <c r="A355" s="20"/>
      <c r="C355" s="20"/>
      <c r="D355" s="20"/>
      <c r="E355" s="20"/>
      <c r="F355" s="20"/>
      <c r="G355" s="20"/>
      <c r="H355" s="20"/>
      <c r="I355" s="20"/>
      <c r="J355" s="82"/>
      <c r="K355" s="82"/>
      <c r="M355" s="20"/>
      <c r="N355" s="20"/>
      <c r="O355" s="20"/>
    </row>
    <row r="356" spans="1:15" s="81" customFormat="1">
      <c r="A356" s="20"/>
      <c r="C356" s="20"/>
      <c r="D356" s="20"/>
      <c r="E356" s="20"/>
      <c r="F356" s="20"/>
      <c r="G356" s="20"/>
      <c r="H356" s="20"/>
      <c r="I356" s="20"/>
      <c r="J356" s="82"/>
      <c r="K356" s="82"/>
      <c r="M356" s="20"/>
      <c r="N356" s="20"/>
      <c r="O356" s="20"/>
    </row>
    <row r="357" spans="1:15" s="81" customFormat="1">
      <c r="A357" s="20"/>
      <c r="C357" s="20"/>
      <c r="D357" s="20"/>
      <c r="E357" s="20"/>
      <c r="F357" s="20"/>
      <c r="G357" s="20"/>
      <c r="H357" s="20"/>
      <c r="I357" s="20"/>
      <c r="J357" s="82"/>
      <c r="K357" s="82"/>
      <c r="M357" s="20"/>
      <c r="N357" s="20"/>
      <c r="O357" s="20"/>
    </row>
  </sheetData>
  <mergeCells count="14">
    <mergeCell ref="M1:M2"/>
    <mergeCell ref="A23:L23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rintOptions horizontalCentered="1"/>
  <pageMargins left="0.31496062992125984" right="0.35433070866141736" top="1.1023622047244095" bottom="0.51181102362204722" header="0.55118110236220474" footer="0.19685039370078741"/>
  <pageSetup paperSize="9" scale="80" firstPageNumber="6" orientation="landscape" r:id="rId1"/>
  <headerFooter>
    <oddHeader>&amp;L&amp;"Times New Roman,Gras italique"&amp;12GROUPEMENT D'HABITATIONS 
EN RESIDENCE FERMEE&amp;C&amp;"Times New Roman,Gras italique"&amp;12&amp;U&amp;K0000FFSOHAUS  "IMMEUBLES C et D"
&amp;R&amp;"Times New Roman,Gras italique"&amp;12BORDEREAU DES PRIX - DETAIL ESTIMATIF 
LOT N°3 : FLUIDES</oddHeader>
    <oddFooter>&amp;L&amp;"Times New Roman,Gras italique"&amp;12OMNIUM TECHNOLOGIQUE&amp;R&amp;"Times New Roman,Gras italique"&amp;14&amp;P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4882-518B-4110-8A53-193C799214A9}">
  <dimension ref="A1:M71"/>
  <sheetViews>
    <sheetView view="pageBreakPreview" zoomScale="85" zoomScaleNormal="85" zoomScaleSheetLayoutView="85" workbookViewId="0">
      <selection activeCell="J52" sqref="J52"/>
    </sheetView>
  </sheetViews>
  <sheetFormatPr baseColWidth="10" defaultRowHeight="13.8" outlineLevelCol="3"/>
  <cols>
    <col min="1" max="1" width="15.33203125" style="106" customWidth="1"/>
    <col min="2" max="2" width="80.44140625" style="106" customWidth="1"/>
    <col min="3" max="3" width="12.6640625" style="106" customWidth="1"/>
    <col min="4" max="9" width="12.6640625" style="106" customWidth="1" outlineLevel="1"/>
    <col min="10" max="10" width="18.5546875" style="131" customWidth="1" outlineLevel="3"/>
    <col min="11" max="11" width="16.88671875" style="106" customWidth="1"/>
    <col min="12" max="12" width="23" style="81" customWidth="1"/>
    <col min="13" max="13" width="24.88671875" style="106" customWidth="1"/>
    <col min="14" max="241" width="11.5546875" style="106"/>
    <col min="242" max="242" width="17.88671875" style="106" customWidth="1"/>
    <col min="243" max="243" width="75" style="106" customWidth="1"/>
    <col min="244" max="244" width="11.33203125" style="106" customWidth="1"/>
    <col min="245" max="245" width="17.6640625" style="106" customWidth="1"/>
    <col min="246" max="246" width="22.44140625" style="106" customWidth="1"/>
    <col min="247" max="247" width="24" style="106" customWidth="1"/>
    <col min="248" max="248" width="13.109375" style="106" bestFit="1" customWidth="1"/>
    <col min="249" max="249" width="19.6640625" style="106" bestFit="1" customWidth="1"/>
    <col min="250" max="497" width="11.5546875" style="106"/>
    <col min="498" max="498" width="17.88671875" style="106" customWidth="1"/>
    <col min="499" max="499" width="75" style="106" customWidth="1"/>
    <col min="500" max="500" width="11.33203125" style="106" customWidth="1"/>
    <col min="501" max="501" width="17.6640625" style="106" customWidth="1"/>
    <col min="502" max="502" width="22.44140625" style="106" customWidth="1"/>
    <col min="503" max="503" width="24" style="106" customWidth="1"/>
    <col min="504" max="504" width="13.109375" style="106" bestFit="1" customWidth="1"/>
    <col min="505" max="505" width="19.6640625" style="106" bestFit="1" customWidth="1"/>
    <col min="506" max="753" width="11.5546875" style="106"/>
    <col min="754" max="754" width="17.88671875" style="106" customWidth="1"/>
    <col min="755" max="755" width="75" style="106" customWidth="1"/>
    <col min="756" max="756" width="11.33203125" style="106" customWidth="1"/>
    <col min="757" max="757" width="17.6640625" style="106" customWidth="1"/>
    <col min="758" max="758" width="22.44140625" style="106" customWidth="1"/>
    <col min="759" max="759" width="24" style="106" customWidth="1"/>
    <col min="760" max="760" width="13.109375" style="106" bestFit="1" customWidth="1"/>
    <col min="761" max="761" width="19.6640625" style="106" bestFit="1" customWidth="1"/>
    <col min="762" max="1009" width="11.5546875" style="106"/>
    <col min="1010" max="1010" width="17.88671875" style="106" customWidth="1"/>
    <col min="1011" max="1011" width="75" style="106" customWidth="1"/>
    <col min="1012" max="1012" width="11.33203125" style="106" customWidth="1"/>
    <col min="1013" max="1013" width="17.6640625" style="106" customWidth="1"/>
    <col min="1014" max="1014" width="22.44140625" style="106" customWidth="1"/>
    <col min="1015" max="1015" width="24" style="106" customWidth="1"/>
    <col min="1016" max="1016" width="13.109375" style="106" bestFit="1" customWidth="1"/>
    <col min="1017" max="1017" width="19.6640625" style="106" bestFit="1" customWidth="1"/>
    <col min="1018" max="1265" width="11.5546875" style="106"/>
    <col min="1266" max="1266" width="17.88671875" style="106" customWidth="1"/>
    <col min="1267" max="1267" width="75" style="106" customWidth="1"/>
    <col min="1268" max="1268" width="11.33203125" style="106" customWidth="1"/>
    <col min="1269" max="1269" width="17.6640625" style="106" customWidth="1"/>
    <col min="1270" max="1270" width="22.44140625" style="106" customWidth="1"/>
    <col min="1271" max="1271" width="24" style="106" customWidth="1"/>
    <col min="1272" max="1272" width="13.109375" style="106" bestFit="1" customWidth="1"/>
    <col min="1273" max="1273" width="19.6640625" style="106" bestFit="1" customWidth="1"/>
    <col min="1274" max="1521" width="11.5546875" style="106"/>
    <col min="1522" max="1522" width="17.88671875" style="106" customWidth="1"/>
    <col min="1523" max="1523" width="75" style="106" customWidth="1"/>
    <col min="1524" max="1524" width="11.33203125" style="106" customWidth="1"/>
    <col min="1525" max="1525" width="17.6640625" style="106" customWidth="1"/>
    <col min="1526" max="1526" width="22.44140625" style="106" customWidth="1"/>
    <col min="1527" max="1527" width="24" style="106" customWidth="1"/>
    <col min="1528" max="1528" width="13.109375" style="106" bestFit="1" customWidth="1"/>
    <col min="1529" max="1529" width="19.6640625" style="106" bestFit="1" customWidth="1"/>
    <col min="1530" max="1777" width="11.5546875" style="106"/>
    <col min="1778" max="1778" width="17.88671875" style="106" customWidth="1"/>
    <col min="1779" max="1779" width="75" style="106" customWidth="1"/>
    <col min="1780" max="1780" width="11.33203125" style="106" customWidth="1"/>
    <col min="1781" max="1781" width="17.6640625" style="106" customWidth="1"/>
    <col min="1782" max="1782" width="22.44140625" style="106" customWidth="1"/>
    <col min="1783" max="1783" width="24" style="106" customWidth="1"/>
    <col min="1784" max="1784" width="13.109375" style="106" bestFit="1" customWidth="1"/>
    <col min="1785" max="1785" width="19.6640625" style="106" bestFit="1" customWidth="1"/>
    <col min="1786" max="2033" width="11.5546875" style="106"/>
    <col min="2034" max="2034" width="17.88671875" style="106" customWidth="1"/>
    <col min="2035" max="2035" width="75" style="106" customWidth="1"/>
    <col min="2036" max="2036" width="11.33203125" style="106" customWidth="1"/>
    <col min="2037" max="2037" width="17.6640625" style="106" customWidth="1"/>
    <col min="2038" max="2038" width="22.44140625" style="106" customWidth="1"/>
    <col min="2039" max="2039" width="24" style="106" customWidth="1"/>
    <col min="2040" max="2040" width="13.109375" style="106" bestFit="1" customWidth="1"/>
    <col min="2041" max="2041" width="19.6640625" style="106" bestFit="1" customWidth="1"/>
    <col min="2042" max="2289" width="11.5546875" style="106"/>
    <col min="2290" max="2290" width="17.88671875" style="106" customWidth="1"/>
    <col min="2291" max="2291" width="75" style="106" customWidth="1"/>
    <col min="2292" max="2292" width="11.33203125" style="106" customWidth="1"/>
    <col min="2293" max="2293" width="17.6640625" style="106" customWidth="1"/>
    <col min="2294" max="2294" width="22.44140625" style="106" customWidth="1"/>
    <col min="2295" max="2295" width="24" style="106" customWidth="1"/>
    <col min="2296" max="2296" width="13.109375" style="106" bestFit="1" customWidth="1"/>
    <col min="2297" max="2297" width="19.6640625" style="106" bestFit="1" customWidth="1"/>
    <col min="2298" max="2545" width="11.5546875" style="106"/>
    <col min="2546" max="2546" width="17.88671875" style="106" customWidth="1"/>
    <col min="2547" max="2547" width="75" style="106" customWidth="1"/>
    <col min="2548" max="2548" width="11.33203125" style="106" customWidth="1"/>
    <col min="2549" max="2549" width="17.6640625" style="106" customWidth="1"/>
    <col min="2550" max="2550" width="22.44140625" style="106" customWidth="1"/>
    <col min="2551" max="2551" width="24" style="106" customWidth="1"/>
    <col min="2552" max="2552" width="13.109375" style="106" bestFit="1" customWidth="1"/>
    <col min="2553" max="2553" width="19.6640625" style="106" bestFit="1" customWidth="1"/>
    <col min="2554" max="2801" width="11.5546875" style="106"/>
    <col min="2802" max="2802" width="17.88671875" style="106" customWidth="1"/>
    <col min="2803" max="2803" width="75" style="106" customWidth="1"/>
    <col min="2804" max="2804" width="11.33203125" style="106" customWidth="1"/>
    <col min="2805" max="2805" width="17.6640625" style="106" customWidth="1"/>
    <col min="2806" max="2806" width="22.44140625" style="106" customWidth="1"/>
    <col min="2807" max="2807" width="24" style="106" customWidth="1"/>
    <col min="2808" max="2808" width="13.109375" style="106" bestFit="1" customWidth="1"/>
    <col min="2809" max="2809" width="19.6640625" style="106" bestFit="1" customWidth="1"/>
    <col min="2810" max="3057" width="11.5546875" style="106"/>
    <col min="3058" max="3058" width="17.88671875" style="106" customWidth="1"/>
    <col min="3059" max="3059" width="75" style="106" customWidth="1"/>
    <col min="3060" max="3060" width="11.33203125" style="106" customWidth="1"/>
    <col min="3061" max="3061" width="17.6640625" style="106" customWidth="1"/>
    <col min="3062" max="3062" width="22.44140625" style="106" customWidth="1"/>
    <col min="3063" max="3063" width="24" style="106" customWidth="1"/>
    <col min="3064" max="3064" width="13.109375" style="106" bestFit="1" customWidth="1"/>
    <col min="3065" max="3065" width="19.6640625" style="106" bestFit="1" customWidth="1"/>
    <col min="3066" max="3313" width="11.5546875" style="106"/>
    <col min="3314" max="3314" width="17.88671875" style="106" customWidth="1"/>
    <col min="3315" max="3315" width="75" style="106" customWidth="1"/>
    <col min="3316" max="3316" width="11.33203125" style="106" customWidth="1"/>
    <col min="3317" max="3317" width="17.6640625" style="106" customWidth="1"/>
    <col min="3318" max="3318" width="22.44140625" style="106" customWidth="1"/>
    <col min="3319" max="3319" width="24" style="106" customWidth="1"/>
    <col min="3320" max="3320" width="13.109375" style="106" bestFit="1" customWidth="1"/>
    <col min="3321" max="3321" width="19.6640625" style="106" bestFit="1" customWidth="1"/>
    <col min="3322" max="3569" width="11.5546875" style="106"/>
    <col min="3570" max="3570" width="17.88671875" style="106" customWidth="1"/>
    <col min="3571" max="3571" width="75" style="106" customWidth="1"/>
    <col min="3572" max="3572" width="11.33203125" style="106" customWidth="1"/>
    <col min="3573" max="3573" width="17.6640625" style="106" customWidth="1"/>
    <col min="3574" max="3574" width="22.44140625" style="106" customWidth="1"/>
    <col min="3575" max="3575" width="24" style="106" customWidth="1"/>
    <col min="3576" max="3576" width="13.109375" style="106" bestFit="1" customWidth="1"/>
    <col min="3577" max="3577" width="19.6640625" style="106" bestFit="1" customWidth="1"/>
    <col min="3578" max="3825" width="11.5546875" style="106"/>
    <col min="3826" max="3826" width="17.88671875" style="106" customWidth="1"/>
    <col min="3827" max="3827" width="75" style="106" customWidth="1"/>
    <col min="3828" max="3828" width="11.33203125" style="106" customWidth="1"/>
    <col min="3829" max="3829" width="17.6640625" style="106" customWidth="1"/>
    <col min="3830" max="3830" width="22.44140625" style="106" customWidth="1"/>
    <col min="3831" max="3831" width="24" style="106" customWidth="1"/>
    <col min="3832" max="3832" width="13.109375" style="106" bestFit="1" customWidth="1"/>
    <col min="3833" max="3833" width="19.6640625" style="106" bestFit="1" customWidth="1"/>
    <col min="3834" max="4081" width="11.5546875" style="106"/>
    <col min="4082" max="4082" width="17.88671875" style="106" customWidth="1"/>
    <col min="4083" max="4083" width="75" style="106" customWidth="1"/>
    <col min="4084" max="4084" width="11.33203125" style="106" customWidth="1"/>
    <col min="4085" max="4085" width="17.6640625" style="106" customWidth="1"/>
    <col min="4086" max="4086" width="22.44140625" style="106" customWidth="1"/>
    <col min="4087" max="4087" width="24" style="106" customWidth="1"/>
    <col min="4088" max="4088" width="13.109375" style="106" bestFit="1" customWidth="1"/>
    <col min="4089" max="4089" width="19.6640625" style="106" bestFit="1" customWidth="1"/>
    <col min="4090" max="4337" width="11.5546875" style="106"/>
    <col min="4338" max="4338" width="17.88671875" style="106" customWidth="1"/>
    <col min="4339" max="4339" width="75" style="106" customWidth="1"/>
    <col min="4340" max="4340" width="11.33203125" style="106" customWidth="1"/>
    <col min="4341" max="4341" width="17.6640625" style="106" customWidth="1"/>
    <col min="4342" max="4342" width="22.44140625" style="106" customWidth="1"/>
    <col min="4343" max="4343" width="24" style="106" customWidth="1"/>
    <col min="4344" max="4344" width="13.109375" style="106" bestFit="1" customWidth="1"/>
    <col min="4345" max="4345" width="19.6640625" style="106" bestFit="1" customWidth="1"/>
    <col min="4346" max="4593" width="11.5546875" style="106"/>
    <col min="4594" max="4594" width="17.88671875" style="106" customWidth="1"/>
    <col min="4595" max="4595" width="75" style="106" customWidth="1"/>
    <col min="4596" max="4596" width="11.33203125" style="106" customWidth="1"/>
    <col min="4597" max="4597" width="17.6640625" style="106" customWidth="1"/>
    <col min="4598" max="4598" width="22.44140625" style="106" customWidth="1"/>
    <col min="4599" max="4599" width="24" style="106" customWidth="1"/>
    <col min="4600" max="4600" width="13.109375" style="106" bestFit="1" customWidth="1"/>
    <col min="4601" max="4601" width="19.6640625" style="106" bestFit="1" customWidth="1"/>
    <col min="4602" max="4849" width="11.5546875" style="106"/>
    <col min="4850" max="4850" width="17.88671875" style="106" customWidth="1"/>
    <col min="4851" max="4851" width="75" style="106" customWidth="1"/>
    <col min="4852" max="4852" width="11.33203125" style="106" customWidth="1"/>
    <col min="4853" max="4853" width="17.6640625" style="106" customWidth="1"/>
    <col min="4854" max="4854" width="22.44140625" style="106" customWidth="1"/>
    <col min="4855" max="4855" width="24" style="106" customWidth="1"/>
    <col min="4856" max="4856" width="13.109375" style="106" bestFit="1" customWidth="1"/>
    <col min="4857" max="4857" width="19.6640625" style="106" bestFit="1" customWidth="1"/>
    <col min="4858" max="5105" width="11.5546875" style="106"/>
    <col min="5106" max="5106" width="17.88671875" style="106" customWidth="1"/>
    <col min="5107" max="5107" width="75" style="106" customWidth="1"/>
    <col min="5108" max="5108" width="11.33203125" style="106" customWidth="1"/>
    <col min="5109" max="5109" width="17.6640625" style="106" customWidth="1"/>
    <col min="5110" max="5110" width="22.44140625" style="106" customWidth="1"/>
    <col min="5111" max="5111" width="24" style="106" customWidth="1"/>
    <col min="5112" max="5112" width="13.109375" style="106" bestFit="1" customWidth="1"/>
    <col min="5113" max="5113" width="19.6640625" style="106" bestFit="1" customWidth="1"/>
    <col min="5114" max="5361" width="11.5546875" style="106"/>
    <col min="5362" max="5362" width="17.88671875" style="106" customWidth="1"/>
    <col min="5363" max="5363" width="75" style="106" customWidth="1"/>
    <col min="5364" max="5364" width="11.33203125" style="106" customWidth="1"/>
    <col min="5365" max="5365" width="17.6640625" style="106" customWidth="1"/>
    <col min="5366" max="5366" width="22.44140625" style="106" customWidth="1"/>
    <col min="5367" max="5367" width="24" style="106" customWidth="1"/>
    <col min="5368" max="5368" width="13.109375" style="106" bestFit="1" customWidth="1"/>
    <col min="5369" max="5369" width="19.6640625" style="106" bestFit="1" customWidth="1"/>
    <col min="5370" max="5617" width="11.5546875" style="106"/>
    <col min="5618" max="5618" width="17.88671875" style="106" customWidth="1"/>
    <col min="5619" max="5619" width="75" style="106" customWidth="1"/>
    <col min="5620" max="5620" width="11.33203125" style="106" customWidth="1"/>
    <col min="5621" max="5621" width="17.6640625" style="106" customWidth="1"/>
    <col min="5622" max="5622" width="22.44140625" style="106" customWidth="1"/>
    <col min="5623" max="5623" width="24" style="106" customWidth="1"/>
    <col min="5624" max="5624" width="13.109375" style="106" bestFit="1" customWidth="1"/>
    <col min="5625" max="5625" width="19.6640625" style="106" bestFit="1" customWidth="1"/>
    <col min="5626" max="5873" width="11.5546875" style="106"/>
    <col min="5874" max="5874" width="17.88671875" style="106" customWidth="1"/>
    <col min="5875" max="5875" width="75" style="106" customWidth="1"/>
    <col min="5876" max="5876" width="11.33203125" style="106" customWidth="1"/>
    <col min="5877" max="5877" width="17.6640625" style="106" customWidth="1"/>
    <col min="5878" max="5878" width="22.44140625" style="106" customWidth="1"/>
    <col min="5879" max="5879" width="24" style="106" customWidth="1"/>
    <col min="5880" max="5880" width="13.109375" style="106" bestFit="1" customWidth="1"/>
    <col min="5881" max="5881" width="19.6640625" style="106" bestFit="1" customWidth="1"/>
    <col min="5882" max="6129" width="11.5546875" style="106"/>
    <col min="6130" max="6130" width="17.88671875" style="106" customWidth="1"/>
    <col min="6131" max="6131" width="75" style="106" customWidth="1"/>
    <col min="6132" max="6132" width="11.33203125" style="106" customWidth="1"/>
    <col min="6133" max="6133" width="17.6640625" style="106" customWidth="1"/>
    <col min="6134" max="6134" width="22.44140625" style="106" customWidth="1"/>
    <col min="6135" max="6135" width="24" style="106" customWidth="1"/>
    <col min="6136" max="6136" width="13.109375" style="106" bestFit="1" customWidth="1"/>
    <col min="6137" max="6137" width="19.6640625" style="106" bestFit="1" customWidth="1"/>
    <col min="6138" max="6385" width="11.5546875" style="106"/>
    <col min="6386" max="6386" width="17.88671875" style="106" customWidth="1"/>
    <col min="6387" max="6387" width="75" style="106" customWidth="1"/>
    <col min="6388" max="6388" width="11.33203125" style="106" customWidth="1"/>
    <col min="6389" max="6389" width="17.6640625" style="106" customWidth="1"/>
    <col min="6390" max="6390" width="22.44140625" style="106" customWidth="1"/>
    <col min="6391" max="6391" width="24" style="106" customWidth="1"/>
    <col min="6392" max="6392" width="13.109375" style="106" bestFit="1" customWidth="1"/>
    <col min="6393" max="6393" width="19.6640625" style="106" bestFit="1" customWidth="1"/>
    <col min="6394" max="6641" width="11.5546875" style="106"/>
    <col min="6642" max="6642" width="17.88671875" style="106" customWidth="1"/>
    <col min="6643" max="6643" width="75" style="106" customWidth="1"/>
    <col min="6644" max="6644" width="11.33203125" style="106" customWidth="1"/>
    <col min="6645" max="6645" width="17.6640625" style="106" customWidth="1"/>
    <col min="6646" max="6646" width="22.44140625" style="106" customWidth="1"/>
    <col min="6647" max="6647" width="24" style="106" customWidth="1"/>
    <col min="6648" max="6648" width="13.109375" style="106" bestFit="1" customWidth="1"/>
    <col min="6649" max="6649" width="19.6640625" style="106" bestFit="1" customWidth="1"/>
    <col min="6650" max="6897" width="11.5546875" style="106"/>
    <col min="6898" max="6898" width="17.88671875" style="106" customWidth="1"/>
    <col min="6899" max="6899" width="75" style="106" customWidth="1"/>
    <col min="6900" max="6900" width="11.33203125" style="106" customWidth="1"/>
    <col min="6901" max="6901" width="17.6640625" style="106" customWidth="1"/>
    <col min="6902" max="6902" width="22.44140625" style="106" customWidth="1"/>
    <col min="6903" max="6903" width="24" style="106" customWidth="1"/>
    <col min="6904" max="6904" width="13.109375" style="106" bestFit="1" customWidth="1"/>
    <col min="6905" max="6905" width="19.6640625" style="106" bestFit="1" customWidth="1"/>
    <col min="6906" max="7153" width="11.5546875" style="106"/>
    <col min="7154" max="7154" width="17.88671875" style="106" customWidth="1"/>
    <col min="7155" max="7155" width="75" style="106" customWidth="1"/>
    <col min="7156" max="7156" width="11.33203125" style="106" customWidth="1"/>
    <col min="7157" max="7157" width="17.6640625" style="106" customWidth="1"/>
    <col min="7158" max="7158" width="22.44140625" style="106" customWidth="1"/>
    <col min="7159" max="7159" width="24" style="106" customWidth="1"/>
    <col min="7160" max="7160" width="13.109375" style="106" bestFit="1" customWidth="1"/>
    <col min="7161" max="7161" width="19.6640625" style="106" bestFit="1" customWidth="1"/>
    <col min="7162" max="7409" width="11.5546875" style="106"/>
    <col min="7410" max="7410" width="17.88671875" style="106" customWidth="1"/>
    <col min="7411" max="7411" width="75" style="106" customWidth="1"/>
    <col min="7412" max="7412" width="11.33203125" style="106" customWidth="1"/>
    <col min="7413" max="7413" width="17.6640625" style="106" customWidth="1"/>
    <col min="7414" max="7414" width="22.44140625" style="106" customWidth="1"/>
    <col min="7415" max="7415" width="24" style="106" customWidth="1"/>
    <col min="7416" max="7416" width="13.109375" style="106" bestFit="1" customWidth="1"/>
    <col min="7417" max="7417" width="19.6640625" style="106" bestFit="1" customWidth="1"/>
    <col min="7418" max="7665" width="11.5546875" style="106"/>
    <col min="7666" max="7666" width="17.88671875" style="106" customWidth="1"/>
    <col min="7667" max="7667" width="75" style="106" customWidth="1"/>
    <col min="7668" max="7668" width="11.33203125" style="106" customWidth="1"/>
    <col min="7669" max="7669" width="17.6640625" style="106" customWidth="1"/>
    <col min="7670" max="7670" width="22.44140625" style="106" customWidth="1"/>
    <col min="7671" max="7671" width="24" style="106" customWidth="1"/>
    <col min="7672" max="7672" width="13.109375" style="106" bestFit="1" customWidth="1"/>
    <col min="7673" max="7673" width="19.6640625" style="106" bestFit="1" customWidth="1"/>
    <col min="7674" max="7921" width="11.5546875" style="106"/>
    <col min="7922" max="7922" width="17.88671875" style="106" customWidth="1"/>
    <col min="7923" max="7923" width="75" style="106" customWidth="1"/>
    <col min="7924" max="7924" width="11.33203125" style="106" customWidth="1"/>
    <col min="7925" max="7925" width="17.6640625" style="106" customWidth="1"/>
    <col min="7926" max="7926" width="22.44140625" style="106" customWidth="1"/>
    <col min="7927" max="7927" width="24" style="106" customWidth="1"/>
    <col min="7928" max="7928" width="13.109375" style="106" bestFit="1" customWidth="1"/>
    <col min="7929" max="7929" width="19.6640625" style="106" bestFit="1" customWidth="1"/>
    <col min="7930" max="8177" width="11.5546875" style="106"/>
    <col min="8178" max="8178" width="17.88671875" style="106" customWidth="1"/>
    <col min="8179" max="8179" width="75" style="106" customWidth="1"/>
    <col min="8180" max="8180" width="11.33203125" style="106" customWidth="1"/>
    <col min="8181" max="8181" width="17.6640625" style="106" customWidth="1"/>
    <col min="8182" max="8182" width="22.44140625" style="106" customWidth="1"/>
    <col min="8183" max="8183" width="24" style="106" customWidth="1"/>
    <col min="8184" max="8184" width="13.109375" style="106" bestFit="1" customWidth="1"/>
    <col min="8185" max="8185" width="19.6640625" style="106" bestFit="1" customWidth="1"/>
    <col min="8186" max="8433" width="11.5546875" style="106"/>
    <col min="8434" max="8434" width="17.88671875" style="106" customWidth="1"/>
    <col min="8435" max="8435" width="75" style="106" customWidth="1"/>
    <col min="8436" max="8436" width="11.33203125" style="106" customWidth="1"/>
    <col min="8437" max="8437" width="17.6640625" style="106" customWidth="1"/>
    <col min="8438" max="8438" width="22.44140625" style="106" customWidth="1"/>
    <col min="8439" max="8439" width="24" style="106" customWidth="1"/>
    <col min="8440" max="8440" width="13.109375" style="106" bestFit="1" customWidth="1"/>
    <col min="8441" max="8441" width="19.6640625" style="106" bestFit="1" customWidth="1"/>
    <col min="8442" max="8689" width="11.5546875" style="106"/>
    <col min="8690" max="8690" width="17.88671875" style="106" customWidth="1"/>
    <col min="8691" max="8691" width="75" style="106" customWidth="1"/>
    <col min="8692" max="8692" width="11.33203125" style="106" customWidth="1"/>
    <col min="8693" max="8693" width="17.6640625" style="106" customWidth="1"/>
    <col min="8694" max="8694" width="22.44140625" style="106" customWidth="1"/>
    <col min="8695" max="8695" width="24" style="106" customWidth="1"/>
    <col min="8696" max="8696" width="13.109375" style="106" bestFit="1" customWidth="1"/>
    <col min="8697" max="8697" width="19.6640625" style="106" bestFit="1" customWidth="1"/>
    <col min="8698" max="8945" width="11.5546875" style="106"/>
    <col min="8946" max="8946" width="17.88671875" style="106" customWidth="1"/>
    <col min="8947" max="8947" width="75" style="106" customWidth="1"/>
    <col min="8948" max="8948" width="11.33203125" style="106" customWidth="1"/>
    <col min="8949" max="8949" width="17.6640625" style="106" customWidth="1"/>
    <col min="8950" max="8950" width="22.44140625" style="106" customWidth="1"/>
    <col min="8951" max="8951" width="24" style="106" customWidth="1"/>
    <col min="8952" max="8952" width="13.109375" style="106" bestFit="1" customWidth="1"/>
    <col min="8953" max="8953" width="19.6640625" style="106" bestFit="1" customWidth="1"/>
    <col min="8954" max="9201" width="11.5546875" style="106"/>
    <col min="9202" max="9202" width="17.88671875" style="106" customWidth="1"/>
    <col min="9203" max="9203" width="75" style="106" customWidth="1"/>
    <col min="9204" max="9204" width="11.33203125" style="106" customWidth="1"/>
    <col min="9205" max="9205" width="17.6640625" style="106" customWidth="1"/>
    <col min="9206" max="9206" width="22.44140625" style="106" customWidth="1"/>
    <col min="9207" max="9207" width="24" style="106" customWidth="1"/>
    <col min="9208" max="9208" width="13.109375" style="106" bestFit="1" customWidth="1"/>
    <col min="9209" max="9209" width="19.6640625" style="106" bestFit="1" customWidth="1"/>
    <col min="9210" max="9457" width="11.5546875" style="106"/>
    <col min="9458" max="9458" width="17.88671875" style="106" customWidth="1"/>
    <col min="9459" max="9459" width="75" style="106" customWidth="1"/>
    <col min="9460" max="9460" width="11.33203125" style="106" customWidth="1"/>
    <col min="9461" max="9461" width="17.6640625" style="106" customWidth="1"/>
    <col min="9462" max="9462" width="22.44140625" style="106" customWidth="1"/>
    <col min="9463" max="9463" width="24" style="106" customWidth="1"/>
    <col min="9464" max="9464" width="13.109375" style="106" bestFit="1" customWidth="1"/>
    <col min="9465" max="9465" width="19.6640625" style="106" bestFit="1" customWidth="1"/>
    <col min="9466" max="9713" width="11.5546875" style="106"/>
    <col min="9714" max="9714" width="17.88671875" style="106" customWidth="1"/>
    <col min="9715" max="9715" width="75" style="106" customWidth="1"/>
    <col min="9716" max="9716" width="11.33203125" style="106" customWidth="1"/>
    <col min="9717" max="9717" width="17.6640625" style="106" customWidth="1"/>
    <col min="9718" max="9718" width="22.44140625" style="106" customWidth="1"/>
    <col min="9719" max="9719" width="24" style="106" customWidth="1"/>
    <col min="9720" max="9720" width="13.109375" style="106" bestFit="1" customWidth="1"/>
    <col min="9721" max="9721" width="19.6640625" style="106" bestFit="1" customWidth="1"/>
    <col min="9722" max="9969" width="11.5546875" style="106"/>
    <col min="9970" max="9970" width="17.88671875" style="106" customWidth="1"/>
    <col min="9971" max="9971" width="75" style="106" customWidth="1"/>
    <col min="9972" max="9972" width="11.33203125" style="106" customWidth="1"/>
    <col min="9973" max="9973" width="17.6640625" style="106" customWidth="1"/>
    <col min="9974" max="9974" width="22.44140625" style="106" customWidth="1"/>
    <col min="9975" max="9975" width="24" style="106" customWidth="1"/>
    <col min="9976" max="9976" width="13.109375" style="106" bestFit="1" customWidth="1"/>
    <col min="9977" max="9977" width="19.6640625" style="106" bestFit="1" customWidth="1"/>
    <col min="9978" max="10225" width="11.5546875" style="106"/>
    <col min="10226" max="10226" width="17.88671875" style="106" customWidth="1"/>
    <col min="10227" max="10227" width="75" style="106" customWidth="1"/>
    <col min="10228" max="10228" width="11.33203125" style="106" customWidth="1"/>
    <col min="10229" max="10229" width="17.6640625" style="106" customWidth="1"/>
    <col min="10230" max="10230" width="22.44140625" style="106" customWidth="1"/>
    <col min="10231" max="10231" width="24" style="106" customWidth="1"/>
    <col min="10232" max="10232" width="13.109375" style="106" bestFit="1" customWidth="1"/>
    <col min="10233" max="10233" width="19.6640625" style="106" bestFit="1" customWidth="1"/>
    <col min="10234" max="10481" width="11.5546875" style="106"/>
    <col min="10482" max="10482" width="17.88671875" style="106" customWidth="1"/>
    <col min="10483" max="10483" width="75" style="106" customWidth="1"/>
    <col min="10484" max="10484" width="11.33203125" style="106" customWidth="1"/>
    <col min="10485" max="10485" width="17.6640625" style="106" customWidth="1"/>
    <col min="10486" max="10486" width="22.44140625" style="106" customWidth="1"/>
    <col min="10487" max="10487" width="24" style="106" customWidth="1"/>
    <col min="10488" max="10488" width="13.109375" style="106" bestFit="1" customWidth="1"/>
    <col min="10489" max="10489" width="19.6640625" style="106" bestFit="1" customWidth="1"/>
    <col min="10490" max="10737" width="11.5546875" style="106"/>
    <col min="10738" max="10738" width="17.88671875" style="106" customWidth="1"/>
    <col min="10739" max="10739" width="75" style="106" customWidth="1"/>
    <col min="10740" max="10740" width="11.33203125" style="106" customWidth="1"/>
    <col min="10741" max="10741" width="17.6640625" style="106" customWidth="1"/>
    <col min="10742" max="10742" width="22.44140625" style="106" customWidth="1"/>
    <col min="10743" max="10743" width="24" style="106" customWidth="1"/>
    <col min="10744" max="10744" width="13.109375" style="106" bestFit="1" customWidth="1"/>
    <col min="10745" max="10745" width="19.6640625" style="106" bestFit="1" customWidth="1"/>
    <col min="10746" max="10993" width="11.5546875" style="106"/>
    <col min="10994" max="10994" width="17.88671875" style="106" customWidth="1"/>
    <col min="10995" max="10995" width="75" style="106" customWidth="1"/>
    <col min="10996" max="10996" width="11.33203125" style="106" customWidth="1"/>
    <col min="10997" max="10997" width="17.6640625" style="106" customWidth="1"/>
    <col min="10998" max="10998" width="22.44140625" style="106" customWidth="1"/>
    <col min="10999" max="10999" width="24" style="106" customWidth="1"/>
    <col min="11000" max="11000" width="13.109375" style="106" bestFit="1" customWidth="1"/>
    <col min="11001" max="11001" width="19.6640625" style="106" bestFit="1" customWidth="1"/>
    <col min="11002" max="11249" width="11.5546875" style="106"/>
    <col min="11250" max="11250" width="17.88671875" style="106" customWidth="1"/>
    <col min="11251" max="11251" width="75" style="106" customWidth="1"/>
    <col min="11252" max="11252" width="11.33203125" style="106" customWidth="1"/>
    <col min="11253" max="11253" width="17.6640625" style="106" customWidth="1"/>
    <col min="11254" max="11254" width="22.44140625" style="106" customWidth="1"/>
    <col min="11255" max="11255" width="24" style="106" customWidth="1"/>
    <col min="11256" max="11256" width="13.109375" style="106" bestFit="1" customWidth="1"/>
    <col min="11257" max="11257" width="19.6640625" style="106" bestFit="1" customWidth="1"/>
    <col min="11258" max="11505" width="11.5546875" style="106"/>
    <col min="11506" max="11506" width="17.88671875" style="106" customWidth="1"/>
    <col min="11507" max="11507" width="75" style="106" customWidth="1"/>
    <col min="11508" max="11508" width="11.33203125" style="106" customWidth="1"/>
    <col min="11509" max="11509" width="17.6640625" style="106" customWidth="1"/>
    <col min="11510" max="11510" width="22.44140625" style="106" customWidth="1"/>
    <col min="11511" max="11511" width="24" style="106" customWidth="1"/>
    <col min="11512" max="11512" width="13.109375" style="106" bestFit="1" customWidth="1"/>
    <col min="11513" max="11513" width="19.6640625" style="106" bestFit="1" customWidth="1"/>
    <col min="11514" max="11761" width="11.5546875" style="106"/>
    <col min="11762" max="11762" width="17.88671875" style="106" customWidth="1"/>
    <col min="11763" max="11763" width="75" style="106" customWidth="1"/>
    <col min="11764" max="11764" width="11.33203125" style="106" customWidth="1"/>
    <col min="11765" max="11765" width="17.6640625" style="106" customWidth="1"/>
    <col min="11766" max="11766" width="22.44140625" style="106" customWidth="1"/>
    <col min="11767" max="11767" width="24" style="106" customWidth="1"/>
    <col min="11768" max="11768" width="13.109375" style="106" bestFit="1" customWidth="1"/>
    <col min="11769" max="11769" width="19.6640625" style="106" bestFit="1" customWidth="1"/>
    <col min="11770" max="12017" width="11.5546875" style="106"/>
    <col min="12018" max="12018" width="17.88671875" style="106" customWidth="1"/>
    <col min="12019" max="12019" width="75" style="106" customWidth="1"/>
    <col min="12020" max="12020" width="11.33203125" style="106" customWidth="1"/>
    <col min="12021" max="12021" width="17.6640625" style="106" customWidth="1"/>
    <col min="12022" max="12022" width="22.44140625" style="106" customWidth="1"/>
    <col min="12023" max="12023" width="24" style="106" customWidth="1"/>
    <col min="12024" max="12024" width="13.109375" style="106" bestFit="1" customWidth="1"/>
    <col min="12025" max="12025" width="19.6640625" style="106" bestFit="1" customWidth="1"/>
    <col min="12026" max="12273" width="11.5546875" style="106"/>
    <col min="12274" max="12274" width="17.88671875" style="106" customWidth="1"/>
    <col min="12275" max="12275" width="75" style="106" customWidth="1"/>
    <col min="12276" max="12276" width="11.33203125" style="106" customWidth="1"/>
    <col min="12277" max="12277" width="17.6640625" style="106" customWidth="1"/>
    <col min="12278" max="12278" width="22.44140625" style="106" customWidth="1"/>
    <col min="12279" max="12279" width="24" style="106" customWidth="1"/>
    <col min="12280" max="12280" width="13.109375" style="106" bestFit="1" customWidth="1"/>
    <col min="12281" max="12281" width="19.6640625" style="106" bestFit="1" customWidth="1"/>
    <col min="12282" max="12529" width="11.5546875" style="106"/>
    <col min="12530" max="12530" width="17.88671875" style="106" customWidth="1"/>
    <col min="12531" max="12531" width="75" style="106" customWidth="1"/>
    <col min="12532" max="12532" width="11.33203125" style="106" customWidth="1"/>
    <col min="12533" max="12533" width="17.6640625" style="106" customWidth="1"/>
    <col min="12534" max="12534" width="22.44140625" style="106" customWidth="1"/>
    <col min="12535" max="12535" width="24" style="106" customWidth="1"/>
    <col min="12536" max="12536" width="13.109375" style="106" bestFit="1" customWidth="1"/>
    <col min="12537" max="12537" width="19.6640625" style="106" bestFit="1" customWidth="1"/>
    <col min="12538" max="12785" width="11.5546875" style="106"/>
    <col min="12786" max="12786" width="17.88671875" style="106" customWidth="1"/>
    <col min="12787" max="12787" width="75" style="106" customWidth="1"/>
    <col min="12788" max="12788" width="11.33203125" style="106" customWidth="1"/>
    <col min="12789" max="12789" width="17.6640625" style="106" customWidth="1"/>
    <col min="12790" max="12790" width="22.44140625" style="106" customWidth="1"/>
    <col min="12791" max="12791" width="24" style="106" customWidth="1"/>
    <col min="12792" max="12792" width="13.109375" style="106" bestFit="1" customWidth="1"/>
    <col min="12793" max="12793" width="19.6640625" style="106" bestFit="1" customWidth="1"/>
    <col min="12794" max="13041" width="11.5546875" style="106"/>
    <col min="13042" max="13042" width="17.88671875" style="106" customWidth="1"/>
    <col min="13043" max="13043" width="75" style="106" customWidth="1"/>
    <col min="13044" max="13044" width="11.33203125" style="106" customWidth="1"/>
    <col min="13045" max="13045" width="17.6640625" style="106" customWidth="1"/>
    <col min="13046" max="13046" width="22.44140625" style="106" customWidth="1"/>
    <col min="13047" max="13047" width="24" style="106" customWidth="1"/>
    <col min="13048" max="13048" width="13.109375" style="106" bestFit="1" customWidth="1"/>
    <col min="13049" max="13049" width="19.6640625" style="106" bestFit="1" customWidth="1"/>
    <col min="13050" max="13297" width="11.5546875" style="106"/>
    <col min="13298" max="13298" width="17.88671875" style="106" customWidth="1"/>
    <col min="13299" max="13299" width="75" style="106" customWidth="1"/>
    <col min="13300" max="13300" width="11.33203125" style="106" customWidth="1"/>
    <col min="13301" max="13301" width="17.6640625" style="106" customWidth="1"/>
    <col min="13302" max="13302" width="22.44140625" style="106" customWidth="1"/>
    <col min="13303" max="13303" width="24" style="106" customWidth="1"/>
    <col min="13304" max="13304" width="13.109375" style="106" bestFit="1" customWidth="1"/>
    <col min="13305" max="13305" width="19.6640625" style="106" bestFit="1" customWidth="1"/>
    <col min="13306" max="13553" width="11.5546875" style="106"/>
    <col min="13554" max="13554" width="17.88671875" style="106" customWidth="1"/>
    <col min="13555" max="13555" width="75" style="106" customWidth="1"/>
    <col min="13556" max="13556" width="11.33203125" style="106" customWidth="1"/>
    <col min="13557" max="13557" width="17.6640625" style="106" customWidth="1"/>
    <col min="13558" max="13558" width="22.44140625" style="106" customWidth="1"/>
    <col min="13559" max="13559" width="24" style="106" customWidth="1"/>
    <col min="13560" max="13560" width="13.109375" style="106" bestFit="1" customWidth="1"/>
    <col min="13561" max="13561" width="19.6640625" style="106" bestFit="1" customWidth="1"/>
    <col min="13562" max="13809" width="11.5546875" style="106"/>
    <col min="13810" max="13810" width="17.88671875" style="106" customWidth="1"/>
    <col min="13811" max="13811" width="75" style="106" customWidth="1"/>
    <col min="13812" max="13812" width="11.33203125" style="106" customWidth="1"/>
    <col min="13813" max="13813" width="17.6640625" style="106" customWidth="1"/>
    <col min="13814" max="13814" width="22.44140625" style="106" customWidth="1"/>
    <col min="13815" max="13815" width="24" style="106" customWidth="1"/>
    <col min="13816" max="13816" width="13.109375" style="106" bestFit="1" customWidth="1"/>
    <col min="13817" max="13817" width="19.6640625" style="106" bestFit="1" customWidth="1"/>
    <col min="13818" max="14065" width="11.5546875" style="106"/>
    <col min="14066" max="14066" width="17.88671875" style="106" customWidth="1"/>
    <col min="14067" max="14067" width="75" style="106" customWidth="1"/>
    <col min="14068" max="14068" width="11.33203125" style="106" customWidth="1"/>
    <col min="14069" max="14069" width="17.6640625" style="106" customWidth="1"/>
    <col min="14070" max="14070" width="22.44140625" style="106" customWidth="1"/>
    <col min="14071" max="14071" width="24" style="106" customWidth="1"/>
    <col min="14072" max="14072" width="13.109375" style="106" bestFit="1" customWidth="1"/>
    <col min="14073" max="14073" width="19.6640625" style="106" bestFit="1" customWidth="1"/>
    <col min="14074" max="14321" width="11.5546875" style="106"/>
    <col min="14322" max="14322" width="17.88671875" style="106" customWidth="1"/>
    <col min="14323" max="14323" width="75" style="106" customWidth="1"/>
    <col min="14324" max="14324" width="11.33203125" style="106" customWidth="1"/>
    <col min="14325" max="14325" width="17.6640625" style="106" customWidth="1"/>
    <col min="14326" max="14326" width="22.44140625" style="106" customWidth="1"/>
    <col min="14327" max="14327" width="24" style="106" customWidth="1"/>
    <col min="14328" max="14328" width="13.109375" style="106" bestFit="1" customWidth="1"/>
    <col min="14329" max="14329" width="19.6640625" style="106" bestFit="1" customWidth="1"/>
    <col min="14330" max="14577" width="11.5546875" style="106"/>
    <col min="14578" max="14578" width="17.88671875" style="106" customWidth="1"/>
    <col min="14579" max="14579" width="75" style="106" customWidth="1"/>
    <col min="14580" max="14580" width="11.33203125" style="106" customWidth="1"/>
    <col min="14581" max="14581" width="17.6640625" style="106" customWidth="1"/>
    <col min="14582" max="14582" width="22.44140625" style="106" customWidth="1"/>
    <col min="14583" max="14583" width="24" style="106" customWidth="1"/>
    <col min="14584" max="14584" width="13.109375" style="106" bestFit="1" customWidth="1"/>
    <col min="14585" max="14585" width="19.6640625" style="106" bestFit="1" customWidth="1"/>
    <col min="14586" max="14833" width="11.5546875" style="106"/>
    <col min="14834" max="14834" width="17.88671875" style="106" customWidth="1"/>
    <col min="14835" max="14835" width="75" style="106" customWidth="1"/>
    <col min="14836" max="14836" width="11.33203125" style="106" customWidth="1"/>
    <col min="14837" max="14837" width="17.6640625" style="106" customWidth="1"/>
    <col min="14838" max="14838" width="22.44140625" style="106" customWidth="1"/>
    <col min="14839" max="14839" width="24" style="106" customWidth="1"/>
    <col min="14840" max="14840" width="13.109375" style="106" bestFit="1" customWidth="1"/>
    <col min="14841" max="14841" width="19.6640625" style="106" bestFit="1" customWidth="1"/>
    <col min="14842" max="15089" width="11.5546875" style="106"/>
    <col min="15090" max="15090" width="17.88671875" style="106" customWidth="1"/>
    <col min="15091" max="15091" width="75" style="106" customWidth="1"/>
    <col min="15092" max="15092" width="11.33203125" style="106" customWidth="1"/>
    <col min="15093" max="15093" width="17.6640625" style="106" customWidth="1"/>
    <col min="15094" max="15094" width="22.44140625" style="106" customWidth="1"/>
    <col min="15095" max="15095" width="24" style="106" customWidth="1"/>
    <col min="15096" max="15096" width="13.109375" style="106" bestFit="1" customWidth="1"/>
    <col min="15097" max="15097" width="19.6640625" style="106" bestFit="1" customWidth="1"/>
    <col min="15098" max="15345" width="11.5546875" style="106"/>
    <col min="15346" max="15346" width="17.88671875" style="106" customWidth="1"/>
    <col min="15347" max="15347" width="75" style="106" customWidth="1"/>
    <col min="15348" max="15348" width="11.33203125" style="106" customWidth="1"/>
    <col min="15349" max="15349" width="17.6640625" style="106" customWidth="1"/>
    <col min="15350" max="15350" width="22.44140625" style="106" customWidth="1"/>
    <col min="15351" max="15351" width="24" style="106" customWidth="1"/>
    <col min="15352" max="15352" width="13.109375" style="106" bestFit="1" customWidth="1"/>
    <col min="15353" max="15353" width="19.6640625" style="106" bestFit="1" customWidth="1"/>
    <col min="15354" max="15601" width="11.5546875" style="106"/>
    <col min="15602" max="15602" width="17.88671875" style="106" customWidth="1"/>
    <col min="15603" max="15603" width="75" style="106" customWidth="1"/>
    <col min="15604" max="15604" width="11.33203125" style="106" customWidth="1"/>
    <col min="15605" max="15605" width="17.6640625" style="106" customWidth="1"/>
    <col min="15606" max="15606" width="22.44140625" style="106" customWidth="1"/>
    <col min="15607" max="15607" width="24" style="106" customWidth="1"/>
    <col min="15608" max="15608" width="13.109375" style="106" bestFit="1" customWidth="1"/>
    <col min="15609" max="15609" width="19.6640625" style="106" bestFit="1" customWidth="1"/>
    <col min="15610" max="15857" width="11.5546875" style="106"/>
    <col min="15858" max="15858" width="17.88671875" style="106" customWidth="1"/>
    <col min="15859" max="15859" width="75" style="106" customWidth="1"/>
    <col min="15860" max="15860" width="11.33203125" style="106" customWidth="1"/>
    <col min="15861" max="15861" width="17.6640625" style="106" customWidth="1"/>
    <col min="15862" max="15862" width="22.44140625" style="106" customWidth="1"/>
    <col min="15863" max="15863" width="24" style="106" customWidth="1"/>
    <col min="15864" max="15864" width="13.109375" style="106" bestFit="1" customWidth="1"/>
    <col min="15865" max="15865" width="19.6640625" style="106" bestFit="1" customWidth="1"/>
    <col min="15866" max="16113" width="11.5546875" style="106"/>
    <col min="16114" max="16114" width="17.88671875" style="106" customWidth="1"/>
    <col min="16115" max="16115" width="75" style="106" customWidth="1"/>
    <col min="16116" max="16116" width="11.33203125" style="106" customWidth="1"/>
    <col min="16117" max="16117" width="17.6640625" style="106" customWidth="1"/>
    <col min="16118" max="16118" width="22.44140625" style="106" customWidth="1"/>
    <col min="16119" max="16119" width="24" style="106" customWidth="1"/>
    <col min="16120" max="16120" width="13.109375" style="106" bestFit="1" customWidth="1"/>
    <col min="16121" max="16121" width="19.6640625" style="106" bestFit="1" customWidth="1"/>
    <col min="16122" max="16384" width="11.5546875" style="106"/>
  </cols>
  <sheetData>
    <row r="1" spans="1:13" s="92" customFormat="1" ht="24.75" customHeight="1">
      <c r="A1" s="83" t="s">
        <v>0</v>
      </c>
      <c r="B1" s="84" t="s">
        <v>1</v>
      </c>
      <c r="C1" s="84" t="s">
        <v>2</v>
      </c>
      <c r="D1" s="91" t="s">
        <v>3</v>
      </c>
      <c r="E1" s="91" t="s">
        <v>4</v>
      </c>
      <c r="F1" s="91" t="s">
        <v>5</v>
      </c>
      <c r="G1" s="91" t="s">
        <v>6</v>
      </c>
      <c r="H1" s="91" t="s">
        <v>7</v>
      </c>
      <c r="I1" s="85" t="s">
        <v>8</v>
      </c>
      <c r="J1" s="86" t="s">
        <v>9</v>
      </c>
      <c r="K1" s="84" t="s">
        <v>10</v>
      </c>
      <c r="L1" s="5" t="s">
        <v>241</v>
      </c>
      <c r="M1" s="5" t="s">
        <v>242</v>
      </c>
    </row>
    <row r="2" spans="1:13" s="92" customFormat="1" ht="24.75" customHeight="1" thickBot="1">
      <c r="A2" s="93"/>
      <c r="B2" s="94"/>
      <c r="C2" s="94"/>
      <c r="D2" s="95" t="s">
        <v>13</v>
      </c>
      <c r="E2" s="95" t="s">
        <v>13</v>
      </c>
      <c r="F2" s="95" t="s">
        <v>13</v>
      </c>
      <c r="G2" s="95" t="s">
        <v>13</v>
      </c>
      <c r="H2" s="95" t="s">
        <v>13</v>
      </c>
      <c r="I2" s="96" t="s">
        <v>13</v>
      </c>
      <c r="J2" s="97"/>
      <c r="K2" s="94"/>
      <c r="L2" s="98"/>
      <c r="M2" s="98"/>
    </row>
    <row r="3" spans="1:13" ht="32.25" customHeight="1">
      <c r="A3" s="99" t="s">
        <v>243</v>
      </c>
      <c r="B3" s="100" t="s">
        <v>244</v>
      </c>
      <c r="C3" s="101"/>
      <c r="D3" s="101"/>
      <c r="E3" s="101"/>
      <c r="F3" s="101"/>
      <c r="G3" s="101"/>
      <c r="H3" s="101"/>
      <c r="I3" s="101"/>
      <c r="J3" s="102"/>
      <c r="K3" s="103"/>
      <c r="L3" s="104"/>
      <c r="M3" s="105"/>
    </row>
    <row r="4" spans="1:13" ht="23.25" customHeight="1">
      <c r="A4" s="107" t="s">
        <v>245</v>
      </c>
      <c r="B4" s="108" t="s">
        <v>246</v>
      </c>
      <c r="C4" s="109"/>
      <c r="D4" s="109"/>
      <c r="E4" s="109"/>
      <c r="F4" s="109"/>
      <c r="G4" s="109"/>
      <c r="H4" s="109"/>
      <c r="I4" s="109"/>
      <c r="J4" s="109"/>
      <c r="K4" s="110"/>
      <c r="L4" s="37"/>
      <c r="M4" s="33"/>
    </row>
    <row r="5" spans="1:13" ht="23.25" customHeight="1">
      <c r="A5" s="107" t="s">
        <v>247</v>
      </c>
      <c r="B5" s="108" t="s">
        <v>248</v>
      </c>
      <c r="C5" s="109"/>
      <c r="D5" s="109"/>
      <c r="E5" s="109"/>
      <c r="F5" s="109"/>
      <c r="G5" s="109"/>
      <c r="H5" s="109"/>
      <c r="I5" s="109"/>
      <c r="J5" s="109"/>
      <c r="K5" s="110"/>
      <c r="L5" s="37"/>
      <c r="M5" s="33"/>
    </row>
    <row r="6" spans="1:13" ht="23.25" customHeight="1">
      <c r="A6" s="107" t="s">
        <v>249</v>
      </c>
      <c r="B6" s="108" t="s">
        <v>250</v>
      </c>
      <c r="C6" s="109"/>
      <c r="D6" s="109"/>
      <c r="E6" s="109"/>
      <c r="F6" s="109"/>
      <c r="G6" s="109"/>
      <c r="H6" s="109"/>
      <c r="I6" s="109"/>
      <c r="J6" s="109"/>
      <c r="K6" s="110"/>
      <c r="L6" s="37"/>
      <c r="M6" s="33"/>
    </row>
    <row r="7" spans="1:13" ht="27.6">
      <c r="A7" s="40" t="s">
        <v>251</v>
      </c>
      <c r="B7" s="111" t="s">
        <v>252</v>
      </c>
      <c r="C7" s="112" t="s">
        <v>21</v>
      </c>
      <c r="D7" s="112"/>
      <c r="E7" s="112"/>
      <c r="F7" s="54">
        <v>30</v>
      </c>
      <c r="G7" s="54"/>
      <c r="H7" s="54"/>
      <c r="I7" s="54">
        <v>74</v>
      </c>
      <c r="J7" s="30">
        <f>SUM(D7:I7)</f>
        <v>104</v>
      </c>
      <c r="K7" s="30">
        <f>J7</f>
        <v>104</v>
      </c>
      <c r="L7" s="37"/>
      <c r="M7" s="33">
        <f>+K7*L7</f>
        <v>0</v>
      </c>
    </row>
    <row r="8" spans="1:13" ht="27.6">
      <c r="A8" s="40" t="s">
        <v>253</v>
      </c>
      <c r="B8" s="111" t="s">
        <v>254</v>
      </c>
      <c r="C8" s="112" t="s">
        <v>21</v>
      </c>
      <c r="D8" s="112"/>
      <c r="E8" s="112"/>
      <c r="F8" s="54">
        <v>19</v>
      </c>
      <c r="G8" s="54"/>
      <c r="H8" s="54"/>
      <c r="I8" s="54"/>
      <c r="J8" s="30">
        <f t="shared" ref="J8:J11" si="0">SUM(D8:I8)</f>
        <v>19</v>
      </c>
      <c r="K8" s="30">
        <f t="shared" ref="K8:K19" si="1">J8</f>
        <v>19</v>
      </c>
      <c r="L8" s="37"/>
      <c r="M8" s="33">
        <f t="shared" ref="M8:M20" si="2">+K8*L8</f>
        <v>0</v>
      </c>
    </row>
    <row r="9" spans="1:13" ht="27.6">
      <c r="A9" s="40" t="s">
        <v>255</v>
      </c>
      <c r="B9" s="111" t="s">
        <v>256</v>
      </c>
      <c r="C9" s="112" t="s">
        <v>21</v>
      </c>
      <c r="D9" s="112"/>
      <c r="E9" s="112"/>
      <c r="F9" s="54">
        <v>28</v>
      </c>
      <c r="G9" s="54"/>
      <c r="H9" s="54"/>
      <c r="I9" s="54"/>
      <c r="J9" s="30">
        <f t="shared" si="0"/>
        <v>28</v>
      </c>
      <c r="K9" s="30">
        <f t="shared" si="1"/>
        <v>28</v>
      </c>
      <c r="L9" s="37"/>
      <c r="M9" s="33">
        <f>+K9*L9</f>
        <v>0</v>
      </c>
    </row>
    <row r="10" spans="1:13" ht="27.6">
      <c r="A10" s="40" t="s">
        <v>257</v>
      </c>
      <c r="B10" s="111" t="s">
        <v>258</v>
      </c>
      <c r="C10" s="112" t="s">
        <v>21</v>
      </c>
      <c r="D10" s="112"/>
      <c r="E10" s="112"/>
      <c r="F10" s="54">
        <v>1</v>
      </c>
      <c r="G10" s="54"/>
      <c r="H10" s="54"/>
      <c r="I10" s="54"/>
      <c r="J10" s="30">
        <f t="shared" si="0"/>
        <v>1</v>
      </c>
      <c r="K10" s="30">
        <f t="shared" si="1"/>
        <v>1</v>
      </c>
      <c r="L10" s="37"/>
      <c r="M10" s="33">
        <f t="shared" si="2"/>
        <v>0</v>
      </c>
    </row>
    <row r="11" spans="1:13" ht="27.6">
      <c r="A11" s="40" t="s">
        <v>259</v>
      </c>
      <c r="B11" s="111" t="s">
        <v>260</v>
      </c>
      <c r="C11" s="112" t="s">
        <v>21</v>
      </c>
      <c r="D11" s="112"/>
      <c r="E11" s="112"/>
      <c r="F11" s="54">
        <v>2</v>
      </c>
      <c r="G11" s="54"/>
      <c r="H11" s="54"/>
      <c r="I11" s="54"/>
      <c r="J11" s="30">
        <f t="shared" si="0"/>
        <v>2</v>
      </c>
      <c r="K11" s="30">
        <f t="shared" si="1"/>
        <v>2</v>
      </c>
      <c r="L11" s="37"/>
      <c r="M11" s="33">
        <f t="shared" si="2"/>
        <v>0</v>
      </c>
    </row>
    <row r="12" spans="1:13" ht="23.25" customHeight="1">
      <c r="A12" s="107" t="s">
        <v>261</v>
      </c>
      <c r="B12" s="108" t="s">
        <v>262</v>
      </c>
      <c r="C12" s="109"/>
      <c r="D12" s="109"/>
      <c r="E12" s="109"/>
      <c r="F12" s="109"/>
      <c r="G12" s="109"/>
      <c r="H12" s="109"/>
      <c r="I12" s="109"/>
      <c r="J12" s="109"/>
      <c r="K12" s="110"/>
      <c r="L12" s="37"/>
      <c r="M12" s="33"/>
    </row>
    <row r="13" spans="1:13" ht="27.6">
      <c r="A13" s="40" t="s">
        <v>263</v>
      </c>
      <c r="B13" s="111" t="s">
        <v>264</v>
      </c>
      <c r="C13" s="112" t="s">
        <v>21</v>
      </c>
      <c r="D13" s="112"/>
      <c r="E13" s="112"/>
      <c r="F13" s="54">
        <f>15+4+4+12+6+3+3+3+4+3+2+3+6+4+8+6+15+12+6+42+42</f>
        <v>203</v>
      </c>
      <c r="G13" s="54"/>
      <c r="H13" s="54"/>
      <c r="I13" s="54">
        <v>96</v>
      </c>
      <c r="J13" s="30">
        <f t="shared" ref="J13" si="3">SUM(D13:I13)</f>
        <v>299</v>
      </c>
      <c r="K13" s="30">
        <f t="shared" si="1"/>
        <v>299</v>
      </c>
      <c r="L13" s="37"/>
      <c r="M13" s="33">
        <f t="shared" si="2"/>
        <v>0</v>
      </c>
    </row>
    <row r="14" spans="1:13" ht="27.6">
      <c r="A14" s="40" t="s">
        <v>265</v>
      </c>
      <c r="B14" s="111" t="s">
        <v>266</v>
      </c>
      <c r="C14" s="112" t="s">
        <v>21</v>
      </c>
      <c r="D14" s="112"/>
      <c r="E14" s="112"/>
      <c r="F14" s="54">
        <v>1</v>
      </c>
      <c r="G14" s="54"/>
      <c r="H14" s="54"/>
      <c r="I14" s="54"/>
      <c r="J14" s="30">
        <f t="shared" ref="J14:J20" si="4">SUM(D14:I14)</f>
        <v>1</v>
      </c>
      <c r="K14" s="30">
        <f t="shared" si="1"/>
        <v>1</v>
      </c>
      <c r="L14" s="113"/>
      <c r="M14" s="33">
        <f t="shared" si="2"/>
        <v>0</v>
      </c>
    </row>
    <row r="15" spans="1:13" ht="27.6">
      <c r="A15" s="40" t="s">
        <v>267</v>
      </c>
      <c r="B15" s="111" t="s">
        <v>268</v>
      </c>
      <c r="C15" s="112" t="s">
        <v>21</v>
      </c>
      <c r="D15" s="112"/>
      <c r="E15" s="112"/>
      <c r="F15" s="54">
        <v>36</v>
      </c>
      <c r="G15" s="54"/>
      <c r="H15" s="54"/>
      <c r="I15" s="54">
        <v>74</v>
      </c>
      <c r="J15" s="30">
        <f t="shared" si="4"/>
        <v>110</v>
      </c>
      <c r="K15" s="30">
        <f t="shared" si="1"/>
        <v>110</v>
      </c>
      <c r="L15" s="37"/>
      <c r="M15" s="33">
        <f t="shared" si="2"/>
        <v>0</v>
      </c>
    </row>
    <row r="16" spans="1:13" ht="27.6">
      <c r="A16" s="40" t="s">
        <v>269</v>
      </c>
      <c r="B16" s="111" t="s">
        <v>270</v>
      </c>
      <c r="C16" s="112" t="s">
        <v>21</v>
      </c>
      <c r="D16" s="112"/>
      <c r="E16" s="112"/>
      <c r="F16" s="54">
        <v>12</v>
      </c>
      <c r="G16" s="54"/>
      <c r="H16" s="54"/>
      <c r="I16" s="54"/>
      <c r="J16" s="30">
        <f t="shared" si="4"/>
        <v>12</v>
      </c>
      <c r="K16" s="30">
        <f t="shared" si="1"/>
        <v>12</v>
      </c>
      <c r="L16" s="37"/>
      <c r="M16" s="33">
        <f t="shared" si="2"/>
        <v>0</v>
      </c>
    </row>
    <row r="17" spans="1:13" ht="27.6">
      <c r="A17" s="40" t="s">
        <v>271</v>
      </c>
      <c r="B17" s="111" t="s">
        <v>272</v>
      </c>
      <c r="C17" s="112" t="s">
        <v>21</v>
      </c>
      <c r="D17" s="112"/>
      <c r="E17" s="112"/>
      <c r="F17" s="54">
        <v>30</v>
      </c>
      <c r="G17" s="54"/>
      <c r="H17" s="54"/>
      <c r="I17" s="54"/>
      <c r="J17" s="30">
        <f t="shared" si="4"/>
        <v>30</v>
      </c>
      <c r="K17" s="30">
        <f t="shared" si="1"/>
        <v>30</v>
      </c>
      <c r="L17" s="37"/>
      <c r="M17" s="33">
        <f t="shared" si="2"/>
        <v>0</v>
      </c>
    </row>
    <row r="18" spans="1:13" ht="27.6">
      <c r="A18" s="40" t="s">
        <v>273</v>
      </c>
      <c r="B18" s="111" t="s">
        <v>274</v>
      </c>
      <c r="C18" s="112" t="s">
        <v>21</v>
      </c>
      <c r="D18" s="112"/>
      <c r="E18" s="112"/>
      <c r="F18" s="54">
        <v>1</v>
      </c>
      <c r="G18" s="54"/>
      <c r="H18" s="54"/>
      <c r="I18" s="54"/>
      <c r="J18" s="30">
        <f t="shared" si="4"/>
        <v>1</v>
      </c>
      <c r="K18" s="30">
        <f t="shared" si="1"/>
        <v>1</v>
      </c>
      <c r="L18" s="37"/>
      <c r="M18" s="33">
        <f t="shared" si="2"/>
        <v>0</v>
      </c>
    </row>
    <row r="19" spans="1:13" ht="27.6">
      <c r="A19" s="40" t="s">
        <v>275</v>
      </c>
      <c r="B19" s="111" t="s">
        <v>276</v>
      </c>
      <c r="C19" s="112" t="s">
        <v>21</v>
      </c>
      <c r="D19" s="112"/>
      <c r="E19" s="112"/>
      <c r="F19" s="54">
        <v>2</v>
      </c>
      <c r="G19" s="54"/>
      <c r="H19" s="54"/>
      <c r="I19" s="54"/>
      <c r="J19" s="30">
        <f t="shared" si="4"/>
        <v>2</v>
      </c>
      <c r="K19" s="30">
        <f t="shared" si="1"/>
        <v>2</v>
      </c>
      <c r="L19" s="37"/>
      <c r="M19" s="33">
        <f t="shared" si="2"/>
        <v>0</v>
      </c>
    </row>
    <row r="20" spans="1:13" ht="27.6">
      <c r="A20" s="107" t="s">
        <v>277</v>
      </c>
      <c r="B20" s="111" t="s">
        <v>278</v>
      </c>
      <c r="C20" s="112" t="s">
        <v>45</v>
      </c>
      <c r="D20" s="112"/>
      <c r="E20" s="114">
        <v>80</v>
      </c>
      <c r="F20" s="114">
        <v>3100</v>
      </c>
      <c r="G20" s="114"/>
      <c r="H20" s="114"/>
      <c r="I20" s="114">
        <v>1200</v>
      </c>
      <c r="J20" s="30">
        <f t="shared" si="4"/>
        <v>4380</v>
      </c>
      <c r="K20" s="30">
        <f>ROUNDUP(J20*1.1,0)</f>
        <v>4818</v>
      </c>
      <c r="L20" s="37"/>
      <c r="M20" s="33">
        <f t="shared" si="2"/>
        <v>0</v>
      </c>
    </row>
    <row r="21" spans="1:13" ht="23.25" customHeight="1">
      <c r="A21" s="107" t="s">
        <v>279</v>
      </c>
      <c r="B21" s="108" t="s">
        <v>280</v>
      </c>
      <c r="C21" s="109"/>
      <c r="D21" s="109"/>
      <c r="E21" s="109"/>
      <c r="F21" s="109"/>
      <c r="G21" s="109"/>
      <c r="H21" s="109"/>
      <c r="I21" s="109"/>
      <c r="J21" s="109"/>
      <c r="K21" s="110"/>
      <c r="L21" s="37"/>
      <c r="M21" s="33"/>
    </row>
    <row r="22" spans="1:13" ht="27.6">
      <c r="A22" s="40" t="s">
        <v>281</v>
      </c>
      <c r="B22" s="115" t="s">
        <v>282</v>
      </c>
      <c r="C22" s="29" t="s">
        <v>45</v>
      </c>
      <c r="D22" s="29"/>
      <c r="E22" s="29"/>
      <c r="F22" s="116">
        <f>SUM(F13:F19)*3</f>
        <v>855</v>
      </c>
      <c r="G22" s="116"/>
      <c r="H22" s="116"/>
      <c r="I22" s="116">
        <f t="shared" ref="I22" si="5">SUM(I13:I19)*3</f>
        <v>510</v>
      </c>
      <c r="J22" s="30">
        <f t="shared" ref="J22" si="6">SUM(D22:I22)</f>
        <v>1365</v>
      </c>
      <c r="K22" s="30">
        <f>ROUNDUP(J22*1.1,0)</f>
        <v>1502</v>
      </c>
      <c r="L22" s="37"/>
      <c r="M22" s="33">
        <f>+K22*L22</f>
        <v>0</v>
      </c>
    </row>
    <row r="23" spans="1:13" ht="23.25" customHeight="1">
      <c r="A23" s="107" t="s">
        <v>283</v>
      </c>
      <c r="B23" s="108" t="s">
        <v>284</v>
      </c>
      <c r="C23" s="109"/>
      <c r="D23" s="109"/>
      <c r="E23" s="109"/>
      <c r="F23" s="109"/>
      <c r="G23" s="109"/>
      <c r="H23" s="109"/>
      <c r="I23" s="109"/>
      <c r="J23" s="109"/>
      <c r="K23" s="110"/>
      <c r="L23" s="37"/>
      <c r="M23" s="33"/>
    </row>
    <row r="24" spans="1:13" ht="27.6">
      <c r="A24" s="40" t="s">
        <v>285</v>
      </c>
      <c r="B24" s="117" t="s">
        <v>286</v>
      </c>
      <c r="C24" s="36" t="s">
        <v>287</v>
      </c>
      <c r="D24" s="36"/>
      <c r="E24" s="36"/>
      <c r="F24" s="114">
        <v>1405</v>
      </c>
      <c r="G24" s="114"/>
      <c r="H24" s="114"/>
      <c r="I24" s="114">
        <v>1200</v>
      </c>
      <c r="J24" s="30">
        <f t="shared" ref="J24" si="7">SUM(D24:I24)</f>
        <v>2605</v>
      </c>
      <c r="K24" s="30">
        <f>ROUNDUP(J24*1.1,0)</f>
        <v>2866</v>
      </c>
      <c r="L24" s="37"/>
      <c r="M24" s="33">
        <f>+K24*L24</f>
        <v>0</v>
      </c>
    </row>
    <row r="25" spans="1:13">
      <c r="A25" s="107" t="s">
        <v>288</v>
      </c>
      <c r="B25" s="108" t="s">
        <v>289</v>
      </c>
      <c r="C25" s="36"/>
      <c r="D25" s="36"/>
      <c r="E25" s="36"/>
      <c r="F25" s="114"/>
      <c r="G25" s="114"/>
      <c r="H25" s="114"/>
      <c r="I25" s="114"/>
      <c r="J25" s="30"/>
      <c r="K25" s="30"/>
      <c r="L25" s="37"/>
      <c r="M25" s="33"/>
    </row>
    <row r="26" spans="1:13" ht="27.6">
      <c r="A26" s="40" t="s">
        <v>290</v>
      </c>
      <c r="B26" s="115" t="s">
        <v>291</v>
      </c>
      <c r="C26" s="29" t="s">
        <v>45</v>
      </c>
      <c r="D26" s="36"/>
      <c r="E26" s="36"/>
      <c r="F26" s="114">
        <v>200</v>
      </c>
      <c r="G26" s="114"/>
      <c r="H26" s="114"/>
      <c r="I26" s="114">
        <v>90</v>
      </c>
      <c r="J26" s="30">
        <f t="shared" ref="J26" si="8">SUM(D26:I26)</f>
        <v>290</v>
      </c>
      <c r="K26" s="30">
        <f>ROUNDUP(J26*1.1,0)</f>
        <v>319</v>
      </c>
      <c r="L26" s="37"/>
      <c r="M26" s="33">
        <f>+K26*L26</f>
        <v>0</v>
      </c>
    </row>
    <row r="27" spans="1:13" ht="23.25" customHeight="1">
      <c r="A27" s="107" t="s">
        <v>292</v>
      </c>
      <c r="B27" s="108" t="s">
        <v>293</v>
      </c>
      <c r="C27" s="109"/>
      <c r="D27" s="109"/>
      <c r="E27" s="109"/>
      <c r="F27" s="109"/>
      <c r="G27" s="109"/>
      <c r="H27" s="109"/>
      <c r="I27" s="109"/>
      <c r="J27" s="109"/>
      <c r="K27" s="110"/>
      <c r="L27" s="37"/>
      <c r="M27" s="33"/>
    </row>
    <row r="28" spans="1:13" ht="27.6">
      <c r="A28" s="40" t="s">
        <v>294</v>
      </c>
      <c r="B28" s="115" t="s">
        <v>291</v>
      </c>
      <c r="C28" s="29" t="s">
        <v>45</v>
      </c>
      <c r="D28" s="29"/>
      <c r="E28" s="29"/>
      <c r="F28" s="114">
        <v>4085</v>
      </c>
      <c r="G28" s="114"/>
      <c r="H28" s="114"/>
      <c r="I28" s="114">
        <v>1706</v>
      </c>
      <c r="J28" s="30">
        <f t="shared" ref="J28" si="9">SUM(D28:I28)</f>
        <v>5791</v>
      </c>
      <c r="K28" s="30">
        <f>ROUNDUP(J28*1.1,0)</f>
        <v>6371</v>
      </c>
      <c r="L28" s="37"/>
      <c r="M28" s="33">
        <f t="shared" ref="M28" si="10">+K28*L28</f>
        <v>0</v>
      </c>
    </row>
    <row r="29" spans="1:13" ht="19.5" customHeight="1">
      <c r="A29" s="118"/>
      <c r="B29" s="43" t="s">
        <v>295</v>
      </c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47">
        <f>SUM(M7:M28)</f>
        <v>0</v>
      </c>
    </row>
    <row r="30" spans="1:13" ht="23.25" customHeight="1">
      <c r="A30" s="107" t="s">
        <v>296</v>
      </c>
      <c r="B30" s="108" t="s">
        <v>297</v>
      </c>
      <c r="C30" s="109"/>
      <c r="D30" s="109"/>
      <c r="E30" s="109"/>
      <c r="F30" s="109"/>
      <c r="G30" s="109"/>
      <c r="H30" s="109"/>
      <c r="I30" s="109"/>
      <c r="J30" s="109"/>
      <c r="K30" s="110"/>
      <c r="L30" s="37"/>
      <c r="M30" s="33"/>
    </row>
    <row r="31" spans="1:13" ht="23.25" customHeight="1">
      <c r="A31" s="107" t="s">
        <v>298</v>
      </c>
      <c r="B31" s="108" t="s">
        <v>299</v>
      </c>
      <c r="C31" s="109"/>
      <c r="D31" s="109"/>
      <c r="E31" s="109"/>
      <c r="F31" s="109"/>
      <c r="G31" s="109"/>
      <c r="H31" s="109"/>
      <c r="I31" s="109"/>
      <c r="J31" s="109"/>
      <c r="K31" s="110"/>
      <c r="L31" s="37"/>
      <c r="M31" s="33"/>
    </row>
    <row r="32" spans="1:13" ht="23.25" customHeight="1">
      <c r="A32" s="107" t="s">
        <v>300</v>
      </c>
      <c r="B32" s="108" t="s">
        <v>301</v>
      </c>
      <c r="C32" s="109"/>
      <c r="D32" s="109"/>
      <c r="E32" s="109"/>
      <c r="F32" s="109"/>
      <c r="G32" s="109"/>
      <c r="H32" s="109"/>
      <c r="I32" s="109"/>
      <c r="J32" s="109"/>
      <c r="K32" s="110"/>
      <c r="L32" s="37"/>
      <c r="M32" s="33"/>
    </row>
    <row r="33" spans="1:13" ht="27.6">
      <c r="A33" s="40" t="s">
        <v>302</v>
      </c>
      <c r="B33" s="120" t="s">
        <v>303</v>
      </c>
      <c r="C33" s="29" t="s">
        <v>21</v>
      </c>
      <c r="D33" s="29"/>
      <c r="E33" s="29"/>
      <c r="F33" s="54">
        <v>137</v>
      </c>
      <c r="G33" s="54"/>
      <c r="H33" s="54"/>
      <c r="I33" s="54">
        <v>81</v>
      </c>
      <c r="J33" s="30">
        <f t="shared" ref="J33" si="11">SUM(D33:I33)</f>
        <v>218</v>
      </c>
      <c r="K33" s="30">
        <f t="shared" ref="K33" si="12">J33</f>
        <v>218</v>
      </c>
      <c r="L33" s="37"/>
      <c r="M33" s="33">
        <f t="shared" ref="M33" si="13">+K33*L33</f>
        <v>0</v>
      </c>
    </row>
    <row r="34" spans="1:13" ht="23.25" customHeight="1">
      <c r="A34" s="107" t="s">
        <v>304</v>
      </c>
      <c r="B34" s="108" t="s">
        <v>305</v>
      </c>
      <c r="C34" s="109"/>
      <c r="D34" s="109"/>
      <c r="E34" s="109"/>
      <c r="F34" s="109"/>
      <c r="G34" s="109"/>
      <c r="H34" s="109"/>
      <c r="I34" s="109"/>
      <c r="J34" s="109"/>
      <c r="K34" s="110"/>
      <c r="L34" s="37"/>
      <c r="M34" s="33"/>
    </row>
    <row r="35" spans="1:13" ht="27.6">
      <c r="A35" s="40" t="s">
        <v>306</v>
      </c>
      <c r="B35" s="38" t="s">
        <v>307</v>
      </c>
      <c r="C35" s="29" t="s">
        <v>287</v>
      </c>
      <c r="D35" s="29"/>
      <c r="E35" s="29"/>
      <c r="F35" s="114">
        <v>163</v>
      </c>
      <c r="G35" s="114"/>
      <c r="H35" s="114"/>
      <c r="I35" s="114">
        <v>18</v>
      </c>
      <c r="J35" s="30">
        <f t="shared" ref="J35" si="14">SUM(D35:I35)</f>
        <v>181</v>
      </c>
      <c r="K35" s="30">
        <f>ROUNDUP(J35*1.1,0)</f>
        <v>200</v>
      </c>
      <c r="L35" s="37"/>
      <c r="M35" s="33">
        <f>+K35*L35</f>
        <v>0</v>
      </c>
    </row>
    <row r="36" spans="1:13" ht="23.25" customHeight="1">
      <c r="A36" s="107" t="s">
        <v>308</v>
      </c>
      <c r="B36" s="108" t="s">
        <v>309</v>
      </c>
      <c r="C36" s="109"/>
      <c r="D36" s="109"/>
      <c r="E36" s="109"/>
      <c r="F36" s="121"/>
      <c r="G36" s="121"/>
      <c r="H36" s="121"/>
      <c r="I36" s="121"/>
      <c r="J36" s="30"/>
      <c r="K36" s="30"/>
      <c r="L36" s="37"/>
      <c r="M36" s="33"/>
    </row>
    <row r="37" spans="1:13" ht="27.6">
      <c r="A37" s="40" t="s">
        <v>310</v>
      </c>
      <c r="B37" s="115" t="s">
        <v>311</v>
      </c>
      <c r="C37" s="29" t="s">
        <v>45</v>
      </c>
      <c r="D37" s="29"/>
      <c r="E37" s="29"/>
      <c r="F37" s="114">
        <v>283</v>
      </c>
      <c r="G37" s="114"/>
      <c r="H37" s="114"/>
      <c r="I37" s="114">
        <v>106</v>
      </c>
      <c r="J37" s="30">
        <f t="shared" ref="J37:J41" si="15">SUM(D37:I37)</f>
        <v>389</v>
      </c>
      <c r="K37" s="30">
        <f t="shared" ref="K37:K41" si="16">ROUNDUP(J37*1.1,0)</f>
        <v>428</v>
      </c>
      <c r="L37" s="122"/>
      <c r="M37" s="33">
        <f t="shared" ref="M37:M41" si="17">+K37*L37</f>
        <v>0</v>
      </c>
    </row>
    <row r="38" spans="1:13" ht="27.6">
      <c r="A38" s="40" t="s">
        <v>312</v>
      </c>
      <c r="B38" s="115" t="s">
        <v>313</v>
      </c>
      <c r="C38" s="29" t="s">
        <v>45</v>
      </c>
      <c r="D38" s="29"/>
      <c r="E38" s="29"/>
      <c r="F38" s="114">
        <v>157</v>
      </c>
      <c r="G38" s="114"/>
      <c r="H38" s="114"/>
      <c r="I38" s="114">
        <v>14</v>
      </c>
      <c r="J38" s="30">
        <f t="shared" si="15"/>
        <v>171</v>
      </c>
      <c r="K38" s="30">
        <f t="shared" si="16"/>
        <v>189</v>
      </c>
      <c r="L38" s="122"/>
      <c r="M38" s="33">
        <f t="shared" si="17"/>
        <v>0</v>
      </c>
    </row>
    <row r="39" spans="1:13" ht="27.6">
      <c r="A39" s="40" t="s">
        <v>314</v>
      </c>
      <c r="B39" s="115" t="s">
        <v>315</v>
      </c>
      <c r="C39" s="29" t="s">
        <v>45</v>
      </c>
      <c r="D39" s="29"/>
      <c r="E39" s="29"/>
      <c r="F39" s="114">
        <v>159</v>
      </c>
      <c r="G39" s="114"/>
      <c r="H39" s="114"/>
      <c r="I39" s="114">
        <v>144</v>
      </c>
      <c r="J39" s="30">
        <f t="shared" si="15"/>
        <v>303</v>
      </c>
      <c r="K39" s="30">
        <f t="shared" si="16"/>
        <v>334</v>
      </c>
      <c r="L39" s="122"/>
      <c r="M39" s="33">
        <f t="shared" si="17"/>
        <v>0</v>
      </c>
    </row>
    <row r="40" spans="1:13" ht="27.6">
      <c r="A40" s="40" t="s">
        <v>316</v>
      </c>
      <c r="B40" s="115" t="s">
        <v>291</v>
      </c>
      <c r="C40" s="29" t="s">
        <v>45</v>
      </c>
      <c r="D40" s="29"/>
      <c r="E40" s="29"/>
      <c r="F40" s="114">
        <v>166</v>
      </c>
      <c r="G40" s="114"/>
      <c r="H40" s="114"/>
      <c r="I40" s="114">
        <v>45</v>
      </c>
      <c r="J40" s="30">
        <f t="shared" si="15"/>
        <v>211</v>
      </c>
      <c r="K40" s="30">
        <f t="shared" si="16"/>
        <v>233</v>
      </c>
      <c r="L40" s="122"/>
      <c r="M40" s="33">
        <f t="shared" si="17"/>
        <v>0</v>
      </c>
    </row>
    <row r="41" spans="1:13" ht="27.6">
      <c r="A41" s="40" t="s">
        <v>317</v>
      </c>
      <c r="B41" s="115" t="s">
        <v>318</v>
      </c>
      <c r="C41" s="29" t="s">
        <v>45</v>
      </c>
      <c r="D41" s="29"/>
      <c r="E41" s="29"/>
      <c r="F41" s="114">
        <v>11</v>
      </c>
      <c r="G41" s="114"/>
      <c r="H41" s="114"/>
      <c r="I41" s="114"/>
      <c r="J41" s="30">
        <f t="shared" si="15"/>
        <v>11</v>
      </c>
      <c r="K41" s="30">
        <f t="shared" si="16"/>
        <v>13</v>
      </c>
      <c r="L41" s="37"/>
      <c r="M41" s="33">
        <f t="shared" si="17"/>
        <v>0</v>
      </c>
    </row>
    <row r="42" spans="1:13" ht="23.25" customHeight="1">
      <c r="A42" s="107" t="s">
        <v>319</v>
      </c>
      <c r="B42" s="108" t="s">
        <v>320</v>
      </c>
      <c r="C42" s="109"/>
      <c r="D42" s="109"/>
      <c r="E42" s="109"/>
      <c r="F42" s="109"/>
      <c r="G42" s="109"/>
      <c r="H42" s="109"/>
      <c r="I42" s="109"/>
      <c r="J42" s="109"/>
      <c r="K42" s="110"/>
      <c r="L42" s="37"/>
      <c r="M42" s="33"/>
    </row>
    <row r="43" spans="1:13" ht="27.6">
      <c r="A43" s="40" t="s">
        <v>321</v>
      </c>
      <c r="B43" s="38" t="s">
        <v>322</v>
      </c>
      <c r="C43" s="29" t="s">
        <v>21</v>
      </c>
      <c r="D43" s="29"/>
      <c r="E43" s="29"/>
      <c r="F43" s="114">
        <v>256</v>
      </c>
      <c r="G43" s="114"/>
      <c r="H43" s="114"/>
      <c r="I43" s="114">
        <v>81</v>
      </c>
      <c r="J43" s="30">
        <f t="shared" ref="J43" si="18">SUM(D43:I43)</f>
        <v>337</v>
      </c>
      <c r="K43" s="30">
        <f t="shared" ref="K43" si="19">J43</f>
        <v>337</v>
      </c>
      <c r="L43" s="37"/>
      <c r="M43" s="33">
        <f>+K43*L43</f>
        <v>0</v>
      </c>
    </row>
    <row r="44" spans="1:13" ht="19.5" customHeight="1">
      <c r="A44" s="118"/>
      <c r="B44" s="43" t="s">
        <v>323</v>
      </c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47">
        <f>SUM(M32:M43)</f>
        <v>0</v>
      </c>
    </row>
    <row r="45" spans="1:13" ht="23.25" customHeight="1">
      <c r="A45" s="107" t="s">
        <v>324</v>
      </c>
      <c r="B45" s="108" t="s">
        <v>325</v>
      </c>
      <c r="C45" s="109"/>
      <c r="D45" s="109"/>
      <c r="E45" s="109"/>
      <c r="F45" s="109"/>
      <c r="G45" s="109"/>
      <c r="H45" s="109"/>
      <c r="I45" s="109"/>
      <c r="J45" s="109"/>
      <c r="K45" s="110"/>
      <c r="L45" s="37"/>
      <c r="M45" s="33"/>
    </row>
    <row r="46" spans="1:13" ht="23.25" customHeight="1">
      <c r="A46" s="107" t="s">
        <v>326</v>
      </c>
      <c r="B46" s="108" t="s">
        <v>327</v>
      </c>
      <c r="C46" s="109"/>
      <c r="D46" s="109"/>
      <c r="E46" s="109"/>
      <c r="F46" s="109"/>
      <c r="G46" s="109"/>
      <c r="H46" s="109"/>
      <c r="I46" s="109"/>
      <c r="J46" s="109"/>
      <c r="K46" s="110"/>
      <c r="L46" s="37"/>
      <c r="M46" s="33"/>
    </row>
    <row r="47" spans="1:13" ht="27.6">
      <c r="A47" s="40" t="s">
        <v>328</v>
      </c>
      <c r="B47" s="38" t="s">
        <v>329</v>
      </c>
      <c r="C47" s="29" t="s">
        <v>21</v>
      </c>
      <c r="D47" s="29"/>
      <c r="E47" s="29"/>
      <c r="F47" s="29">
        <v>4</v>
      </c>
      <c r="G47" s="29"/>
      <c r="H47" s="29"/>
      <c r="I47" s="29">
        <v>2</v>
      </c>
      <c r="J47" s="30">
        <f t="shared" ref="J47" si="20">SUM(D47:I47)</f>
        <v>6</v>
      </c>
      <c r="K47" s="30">
        <f t="shared" ref="K47" si="21">J47</f>
        <v>6</v>
      </c>
      <c r="L47" s="113"/>
      <c r="M47" s="33">
        <f t="shared" ref="M47:M65" si="22">+K47*L47</f>
        <v>0</v>
      </c>
    </row>
    <row r="48" spans="1:13">
      <c r="A48" s="107" t="s">
        <v>330</v>
      </c>
      <c r="B48" s="108" t="s">
        <v>331</v>
      </c>
      <c r="C48" s="29"/>
      <c r="D48" s="29"/>
      <c r="E48" s="29"/>
      <c r="F48" s="29"/>
      <c r="G48" s="29"/>
      <c r="H48" s="29"/>
      <c r="I48" s="29"/>
      <c r="J48" s="30"/>
      <c r="K48" s="30"/>
      <c r="L48" s="113"/>
      <c r="M48" s="33"/>
    </row>
    <row r="49" spans="1:13" ht="27.6">
      <c r="A49" s="40" t="s">
        <v>332</v>
      </c>
      <c r="B49" s="38" t="s">
        <v>333</v>
      </c>
      <c r="C49" s="29" t="s">
        <v>21</v>
      </c>
      <c r="D49" s="29"/>
      <c r="E49" s="29"/>
      <c r="F49" s="114">
        <v>34</v>
      </c>
      <c r="G49" s="114"/>
      <c r="H49" s="114"/>
      <c r="I49" s="114">
        <v>19</v>
      </c>
      <c r="J49" s="30">
        <f t="shared" ref="J49:J50" si="23">SUM(D49:I49)</f>
        <v>53</v>
      </c>
      <c r="K49" s="30">
        <f t="shared" ref="K49:K64" si="24">J49</f>
        <v>53</v>
      </c>
      <c r="L49" s="113"/>
      <c r="M49" s="33">
        <f t="shared" si="22"/>
        <v>0</v>
      </c>
    </row>
    <row r="50" spans="1:13" ht="27.6">
      <c r="A50" s="40" t="s">
        <v>334</v>
      </c>
      <c r="B50" s="38" t="s">
        <v>335</v>
      </c>
      <c r="C50" s="29" t="s">
        <v>21</v>
      </c>
      <c r="D50" s="123"/>
      <c r="E50" s="123"/>
      <c r="F50" s="114">
        <v>18</v>
      </c>
      <c r="G50" s="114"/>
      <c r="H50" s="114"/>
      <c r="I50" s="114">
        <v>10</v>
      </c>
      <c r="J50" s="30">
        <f t="shared" si="23"/>
        <v>28</v>
      </c>
      <c r="K50" s="30">
        <f t="shared" si="24"/>
        <v>28</v>
      </c>
      <c r="L50" s="113"/>
      <c r="M50" s="33">
        <f t="shared" si="22"/>
        <v>0</v>
      </c>
    </row>
    <row r="51" spans="1:13">
      <c r="A51" s="107" t="s">
        <v>336</v>
      </c>
      <c r="B51" s="108" t="s">
        <v>337</v>
      </c>
      <c r="C51" s="29"/>
      <c r="D51" s="29"/>
      <c r="E51" s="29"/>
      <c r="F51" s="29"/>
      <c r="G51" s="29"/>
      <c r="H51" s="29"/>
      <c r="I51" s="29"/>
      <c r="J51" s="30"/>
      <c r="K51" s="30"/>
      <c r="L51" s="113"/>
      <c r="M51" s="33"/>
    </row>
    <row r="52" spans="1:13" ht="27.6">
      <c r="A52" s="40" t="s">
        <v>338</v>
      </c>
      <c r="B52" s="38" t="s">
        <v>335</v>
      </c>
      <c r="C52" s="29" t="s">
        <v>21</v>
      </c>
      <c r="D52" s="29"/>
      <c r="E52" s="29"/>
      <c r="F52" s="114">
        <v>5</v>
      </c>
      <c r="G52" s="114"/>
      <c r="H52" s="114"/>
      <c r="I52" s="114">
        <v>1</v>
      </c>
      <c r="J52" s="30">
        <f t="shared" ref="J52:J53" si="25">SUM(D52:I52)</f>
        <v>6</v>
      </c>
      <c r="K52" s="30">
        <f t="shared" si="24"/>
        <v>6</v>
      </c>
      <c r="L52" s="113"/>
      <c r="M52" s="33">
        <f t="shared" si="22"/>
        <v>0</v>
      </c>
    </row>
    <row r="53" spans="1:13" ht="27.6">
      <c r="A53" s="40" t="s">
        <v>339</v>
      </c>
      <c r="B53" s="38" t="s">
        <v>340</v>
      </c>
      <c r="C53" s="29" t="s">
        <v>21</v>
      </c>
      <c r="D53" s="114"/>
      <c r="E53" s="114"/>
      <c r="F53" s="114">
        <v>137</v>
      </c>
      <c r="G53" s="114"/>
      <c r="H53" s="114"/>
      <c r="I53" s="114">
        <v>81</v>
      </c>
      <c r="J53" s="30">
        <f t="shared" si="25"/>
        <v>218</v>
      </c>
      <c r="K53" s="30">
        <f t="shared" si="24"/>
        <v>218</v>
      </c>
      <c r="L53" s="113"/>
      <c r="M53" s="33">
        <f t="shared" si="22"/>
        <v>0</v>
      </c>
    </row>
    <row r="54" spans="1:13">
      <c r="A54" s="107" t="s">
        <v>341</v>
      </c>
      <c r="B54" s="108" t="s">
        <v>342</v>
      </c>
      <c r="C54" s="29"/>
      <c r="D54" s="29"/>
      <c r="E54" s="29"/>
      <c r="F54" s="29"/>
      <c r="G54" s="29"/>
      <c r="H54" s="29"/>
      <c r="I54" s="29"/>
      <c r="J54" s="30"/>
      <c r="K54" s="30"/>
      <c r="L54" s="113"/>
      <c r="M54" s="33"/>
    </row>
    <row r="55" spans="1:13" ht="27.6">
      <c r="A55" s="40" t="s">
        <v>343</v>
      </c>
      <c r="B55" s="38" t="s">
        <v>344</v>
      </c>
      <c r="C55" s="29" t="s">
        <v>21</v>
      </c>
      <c r="D55" s="114"/>
      <c r="E55" s="114"/>
      <c r="F55" s="114"/>
      <c r="G55" s="114">
        <v>13</v>
      </c>
      <c r="H55" s="114">
        <v>13</v>
      </c>
      <c r="I55" s="123"/>
      <c r="J55" s="30">
        <f t="shared" ref="J55:J58" si="26">SUM(D55:I55)</f>
        <v>26</v>
      </c>
      <c r="K55" s="30">
        <f t="shared" si="24"/>
        <v>26</v>
      </c>
      <c r="L55" s="113"/>
      <c r="M55" s="33">
        <f t="shared" si="22"/>
        <v>0</v>
      </c>
    </row>
    <row r="56" spans="1:13" ht="27.6">
      <c r="A56" s="40" t="s">
        <v>345</v>
      </c>
      <c r="B56" s="38" t="s">
        <v>346</v>
      </c>
      <c r="C56" s="29" t="s">
        <v>21</v>
      </c>
      <c r="D56" s="114">
        <v>19</v>
      </c>
      <c r="E56" s="114">
        <v>19</v>
      </c>
      <c r="F56" s="114"/>
      <c r="G56" s="114"/>
      <c r="H56" s="114"/>
      <c r="I56" s="123"/>
      <c r="J56" s="30">
        <f t="shared" si="26"/>
        <v>38</v>
      </c>
      <c r="K56" s="30">
        <f t="shared" si="24"/>
        <v>38</v>
      </c>
      <c r="L56" s="113"/>
      <c r="M56" s="33">
        <f t="shared" si="22"/>
        <v>0</v>
      </c>
    </row>
    <row r="57" spans="1:13" ht="27.6">
      <c r="A57" s="40" t="s">
        <v>347</v>
      </c>
      <c r="B57" s="38" t="s">
        <v>348</v>
      </c>
      <c r="C57" s="29" t="s">
        <v>21</v>
      </c>
      <c r="D57" s="114">
        <v>10</v>
      </c>
      <c r="E57" s="114">
        <v>10</v>
      </c>
      <c r="F57" s="114"/>
      <c r="G57" s="114"/>
      <c r="H57" s="114"/>
      <c r="I57" s="123"/>
      <c r="J57" s="30">
        <f t="shared" si="26"/>
        <v>20</v>
      </c>
      <c r="K57" s="30">
        <f t="shared" si="24"/>
        <v>20</v>
      </c>
      <c r="L57" s="113"/>
      <c r="M57" s="33">
        <f t="shared" si="22"/>
        <v>0</v>
      </c>
    </row>
    <row r="58" spans="1:13" ht="27.6">
      <c r="A58" s="40" t="s">
        <v>349</v>
      </c>
      <c r="B58" s="38" t="s">
        <v>350</v>
      </c>
      <c r="C58" s="29" t="s">
        <v>21</v>
      </c>
      <c r="D58" s="114"/>
      <c r="E58" s="114"/>
      <c r="F58" s="114"/>
      <c r="G58" s="114">
        <v>5</v>
      </c>
      <c r="H58" s="114">
        <v>5</v>
      </c>
      <c r="I58" s="123"/>
      <c r="J58" s="30">
        <f t="shared" si="26"/>
        <v>10</v>
      </c>
      <c r="K58" s="30">
        <f t="shared" si="24"/>
        <v>10</v>
      </c>
      <c r="L58" s="113"/>
      <c r="M58" s="33">
        <f t="shared" si="22"/>
        <v>0</v>
      </c>
    </row>
    <row r="59" spans="1:13" ht="15.6">
      <c r="A59" s="107" t="s">
        <v>351</v>
      </c>
      <c r="B59" s="38" t="s">
        <v>299</v>
      </c>
      <c r="C59" s="123"/>
      <c r="D59" s="123"/>
      <c r="E59" s="123"/>
      <c r="F59" s="123"/>
      <c r="G59" s="123"/>
      <c r="H59" s="123"/>
      <c r="I59" s="123"/>
      <c r="J59" s="62"/>
      <c r="K59" s="54"/>
      <c r="L59" s="113"/>
      <c r="M59" s="33"/>
    </row>
    <row r="60" spans="1:13" ht="27.6">
      <c r="A60" s="40" t="s">
        <v>352</v>
      </c>
      <c r="B60" s="38" t="s">
        <v>353</v>
      </c>
      <c r="C60" s="29" t="s">
        <v>21</v>
      </c>
      <c r="D60" s="114">
        <v>1</v>
      </c>
      <c r="E60" s="114">
        <v>1</v>
      </c>
      <c r="F60" s="114"/>
      <c r="G60" s="114"/>
      <c r="H60" s="114"/>
      <c r="I60" s="123"/>
      <c r="J60" s="30">
        <f t="shared" ref="J60:J65" si="27">SUM(D60:I60)</f>
        <v>2</v>
      </c>
      <c r="K60" s="30">
        <f t="shared" si="24"/>
        <v>2</v>
      </c>
      <c r="L60" s="113"/>
      <c r="M60" s="33">
        <f t="shared" si="22"/>
        <v>0</v>
      </c>
    </row>
    <row r="61" spans="1:13" ht="27.6">
      <c r="A61" s="40" t="s">
        <v>354</v>
      </c>
      <c r="B61" s="38" t="s">
        <v>355</v>
      </c>
      <c r="C61" s="29" t="s">
        <v>21</v>
      </c>
      <c r="D61" s="114">
        <v>1</v>
      </c>
      <c r="E61" s="114">
        <v>1</v>
      </c>
      <c r="F61" s="114"/>
      <c r="G61" s="114"/>
      <c r="H61" s="114"/>
      <c r="I61" s="123"/>
      <c r="J61" s="30">
        <f t="shared" si="27"/>
        <v>2</v>
      </c>
      <c r="K61" s="30">
        <f t="shared" si="24"/>
        <v>2</v>
      </c>
      <c r="L61" s="113"/>
      <c r="M61" s="33">
        <f t="shared" si="22"/>
        <v>0</v>
      </c>
    </row>
    <row r="62" spans="1:13" ht="27.6">
      <c r="A62" s="40" t="s">
        <v>356</v>
      </c>
      <c r="B62" s="38" t="s">
        <v>357</v>
      </c>
      <c r="C62" s="29" t="s">
        <v>21</v>
      </c>
      <c r="D62" s="114"/>
      <c r="E62" s="114"/>
      <c r="F62" s="114"/>
      <c r="G62" s="114">
        <v>1</v>
      </c>
      <c r="H62" s="114">
        <v>1</v>
      </c>
      <c r="I62" s="123"/>
      <c r="J62" s="30">
        <f t="shared" si="27"/>
        <v>2</v>
      </c>
      <c r="K62" s="30">
        <f t="shared" si="24"/>
        <v>2</v>
      </c>
      <c r="L62" s="113"/>
      <c r="M62" s="33">
        <f t="shared" si="22"/>
        <v>0</v>
      </c>
    </row>
    <row r="63" spans="1:13" ht="27.6">
      <c r="A63" s="40" t="s">
        <v>358</v>
      </c>
      <c r="B63" s="38" t="s">
        <v>359</v>
      </c>
      <c r="C63" s="29" t="s">
        <v>21</v>
      </c>
      <c r="D63" s="114">
        <v>2</v>
      </c>
      <c r="E63" s="114">
        <v>2</v>
      </c>
      <c r="F63" s="114"/>
      <c r="G63" s="114"/>
      <c r="H63" s="114"/>
      <c r="I63" s="123"/>
      <c r="J63" s="30">
        <f t="shared" si="27"/>
        <v>4</v>
      </c>
      <c r="K63" s="30">
        <f t="shared" si="24"/>
        <v>4</v>
      </c>
      <c r="L63" s="113"/>
      <c r="M63" s="33">
        <f t="shared" si="22"/>
        <v>0</v>
      </c>
    </row>
    <row r="64" spans="1:13" ht="27.6">
      <c r="A64" s="40" t="s">
        <v>360</v>
      </c>
      <c r="B64" s="38" t="s">
        <v>361</v>
      </c>
      <c r="C64" s="29" t="s">
        <v>21</v>
      </c>
      <c r="D64" s="114"/>
      <c r="E64" s="114"/>
      <c r="F64" s="114"/>
      <c r="G64" s="114">
        <v>2</v>
      </c>
      <c r="H64" s="114">
        <v>2</v>
      </c>
      <c r="I64" s="123"/>
      <c r="J64" s="30">
        <f t="shared" si="27"/>
        <v>4</v>
      </c>
      <c r="K64" s="30">
        <f t="shared" si="24"/>
        <v>4</v>
      </c>
      <c r="L64" s="113"/>
      <c r="M64" s="33">
        <f t="shared" si="22"/>
        <v>0</v>
      </c>
    </row>
    <row r="65" spans="1:13" ht="27.6">
      <c r="A65" s="107" t="s">
        <v>362</v>
      </c>
      <c r="B65" s="38" t="s">
        <v>363</v>
      </c>
      <c r="C65" s="123" t="s">
        <v>287</v>
      </c>
      <c r="D65" s="114">
        <v>1145</v>
      </c>
      <c r="E65" s="114">
        <v>1165</v>
      </c>
      <c r="F65" s="114">
        <v>490</v>
      </c>
      <c r="G65" s="114">
        <v>790</v>
      </c>
      <c r="H65" s="114">
        <v>745</v>
      </c>
      <c r="I65" s="114">
        <v>215</v>
      </c>
      <c r="J65" s="30">
        <f t="shared" si="27"/>
        <v>4550</v>
      </c>
      <c r="K65" s="30">
        <f t="shared" ref="K65" si="28">ROUNDUP(J65*1.1,0)</f>
        <v>5005</v>
      </c>
      <c r="L65" s="113"/>
      <c r="M65" s="33">
        <f t="shared" si="22"/>
        <v>0</v>
      </c>
    </row>
    <row r="66" spans="1:13" ht="19.5" customHeight="1" thickBot="1">
      <c r="A66" s="124"/>
      <c r="B66" s="125" t="s">
        <v>364</v>
      </c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7">
        <f>SUM(M45:M65)</f>
        <v>0</v>
      </c>
    </row>
    <row r="67" spans="1:13" s="131" customFormat="1" ht="30" customHeight="1" thickBot="1">
      <c r="A67" s="128" t="s">
        <v>365</v>
      </c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30">
        <f>+M66+M44+M29</f>
        <v>0</v>
      </c>
    </row>
    <row r="70" spans="1:13">
      <c r="M70" s="132"/>
    </row>
    <row r="71" spans="1:13">
      <c r="M71" s="132"/>
    </row>
  </sheetData>
  <mergeCells count="14">
    <mergeCell ref="M1:M2"/>
    <mergeCell ref="A67:L67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rintOptions horizontalCentered="1"/>
  <pageMargins left="0.31496062992125984" right="0.35433070866141736" top="1.1023622047244095" bottom="0.51181102362204722" header="0.55118110236220474" footer="0.19685039370078741"/>
  <pageSetup paperSize="9" scale="80" firstPageNumber="9" orientation="landscape" r:id="rId1"/>
  <headerFooter>
    <oddHeader>&amp;L&amp;"Times New Roman,Gras italique"&amp;12GROUPEMENT D'HABITATIONS 
EN RESIDENCE FERMEE&amp;C&amp;"Times New Roman,Gras italique"&amp;12&amp;U&amp;K0000FFSOHAUS  "IMMEUBLES C et D"
&amp;R&amp;"Times New Roman,Gras italique"&amp;12BORDEREAU DES PRIX - DETAIL ESTIMATIF 
LOT N°3 : FLUIDES</oddHeader>
    <oddFooter>&amp;L&amp;"Times New Roman,Gras italique"&amp;12OMNIUM TECHNOLOGIQUE&amp;R&amp;"Times New Roman,Gras italique"&amp;14&amp;P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0175-A1F5-46E4-B8D4-E8E20FBB9171}">
  <dimension ref="A1:BU10"/>
  <sheetViews>
    <sheetView tabSelected="1" view="pageBreakPreview" zoomScaleNormal="100" zoomScaleSheetLayoutView="100" workbookViewId="0">
      <selection activeCell="F8" sqref="F8"/>
    </sheetView>
  </sheetViews>
  <sheetFormatPr baseColWidth="10" defaultColWidth="11.44140625" defaultRowHeight="15.6"/>
  <cols>
    <col min="1" max="1" width="15.5546875" style="152" customWidth="1"/>
    <col min="2" max="2" width="100.33203125" style="152" customWidth="1"/>
    <col min="3" max="3" width="33.33203125" style="153" customWidth="1"/>
    <col min="4" max="4" width="18" style="136" bestFit="1" customWidth="1"/>
    <col min="5" max="5" width="14.5546875" style="136" bestFit="1" customWidth="1"/>
    <col min="6" max="72" width="11.44140625" style="136"/>
    <col min="73" max="73" width="15.44140625" style="136" bestFit="1" customWidth="1"/>
    <col min="74" max="16384" width="11.44140625" style="136"/>
  </cols>
  <sheetData>
    <row r="1" spans="1:73" ht="32.25" customHeight="1">
      <c r="A1" s="133" t="s">
        <v>0</v>
      </c>
      <c r="B1" s="134" t="s">
        <v>1</v>
      </c>
      <c r="C1" s="135" t="s">
        <v>366</v>
      </c>
    </row>
    <row r="2" spans="1:73" ht="32.25" customHeight="1" thickBot="1">
      <c r="A2" s="137"/>
      <c r="B2" s="138"/>
      <c r="C2" s="139"/>
    </row>
    <row r="3" spans="1:73" s="143" customFormat="1" ht="39.75" customHeight="1">
      <c r="A3" s="140">
        <v>3</v>
      </c>
      <c r="B3" s="141" t="s">
        <v>367</v>
      </c>
      <c r="C3" s="142"/>
    </row>
    <row r="4" spans="1:73" s="147" customFormat="1" ht="42" customHeight="1">
      <c r="A4" s="144" t="s">
        <v>15</v>
      </c>
      <c r="B4" s="145" t="s">
        <v>16</v>
      </c>
      <c r="C4" s="146"/>
    </row>
    <row r="5" spans="1:73" s="147" customFormat="1" ht="42" customHeight="1">
      <c r="A5" s="144"/>
      <c r="B5" s="145" t="s">
        <v>368</v>
      </c>
      <c r="C5" s="146"/>
    </row>
    <row r="6" spans="1:73" s="147" customFormat="1" ht="42" customHeight="1" thickBot="1">
      <c r="A6" s="144" t="s">
        <v>243</v>
      </c>
      <c r="B6" s="145" t="s">
        <v>244</v>
      </c>
      <c r="C6" s="146"/>
    </row>
    <row r="7" spans="1:73" s="151" customFormat="1" ht="31.5" customHeight="1" thickBot="1">
      <c r="A7" s="148" t="s">
        <v>369</v>
      </c>
      <c r="B7" s="149"/>
      <c r="C7" s="150">
        <f>SUM(C4:C6)</f>
        <v>0</v>
      </c>
      <c r="BU7" s="151">
        <v>5015617.7</v>
      </c>
    </row>
    <row r="8" spans="1:73" s="151" customFormat="1" ht="31.5" customHeight="1" thickBot="1">
      <c r="A8" s="148" t="s">
        <v>370</v>
      </c>
      <c r="B8" s="149"/>
      <c r="C8" s="150">
        <f>+C7*20%</f>
        <v>0</v>
      </c>
    </row>
    <row r="9" spans="1:73" s="151" customFormat="1" ht="31.5" customHeight="1" thickBot="1">
      <c r="A9" s="148" t="s">
        <v>371</v>
      </c>
      <c r="B9" s="149"/>
      <c r="C9" s="150">
        <f>+C7+C8</f>
        <v>0</v>
      </c>
    </row>
    <row r="10" spans="1:73">
      <c r="E10" s="154"/>
    </row>
  </sheetData>
  <mergeCells count="6">
    <mergeCell ref="A1:A2"/>
    <mergeCell ref="B1:B2"/>
    <mergeCell ref="C1:C2"/>
    <mergeCell ref="A7:B7"/>
    <mergeCell ref="A8:B8"/>
    <mergeCell ref="A9:B9"/>
  </mergeCells>
  <printOptions horizontalCentered="1"/>
  <pageMargins left="0.31496062992125984" right="0.35433070866141736" top="1.1023622047244095" bottom="0.51181102362204722" header="0.55118110236220474" footer="0.19685039370078741"/>
  <pageSetup paperSize="9" scale="80" firstPageNumber="12" orientation="landscape" r:id="rId1"/>
  <headerFooter>
    <oddHeader>&amp;L&amp;"Times New Roman,Gras italique"&amp;12GROUPEMENT D'HABITATIONS 
EN RESIDENCE FERMEE&amp;C&amp;"Times New Roman,Gras italique"&amp;12&amp;U&amp;K0000FFSOHAUS  "IMMEUBLES C et D"
&amp;R&amp;"Times New Roman,Gras italique"&amp;12BORDEREAU DES PRIX - DETAIL ESTIMATIF 
LOT N°3 : FLUIDES</oddHeader>
    <oddFooter>&amp;L&amp;"Times New Roman,Gras italique"&amp;12OMNIUM TECHNOLOGIQUE&amp;R&amp;"Times New Roman,Gras italique"&amp;14&amp;P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9</vt:i4>
      </vt:variant>
    </vt:vector>
  </HeadingPairs>
  <TitlesOfParts>
    <vt:vector size="13" baseType="lpstr">
      <vt:lpstr>PL</vt:lpstr>
      <vt:lpstr>APP SAN</vt:lpstr>
      <vt:lpstr>CVC</vt:lpstr>
      <vt:lpstr>RECAP</vt:lpstr>
      <vt:lpstr>'APP SAN'!_Toc189233600</vt:lpstr>
      <vt:lpstr>PL!_Toc189233600</vt:lpstr>
      <vt:lpstr>'APP SAN'!Impression_des_titres</vt:lpstr>
      <vt:lpstr>CVC!Impression_des_titres</vt:lpstr>
      <vt:lpstr>PL!Impression_des_titres</vt:lpstr>
      <vt:lpstr>'APP SAN'!Zone_d_impression</vt:lpstr>
      <vt:lpstr>CVC!Zone_d_impression</vt:lpstr>
      <vt:lpstr>PL!Zone_d_impression</vt:lpstr>
      <vt:lpstr>RECAP!Zone_d_impression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sobti</dc:creator>
  <cp:lastModifiedBy>yahya sobti</cp:lastModifiedBy>
  <dcterms:created xsi:type="dcterms:W3CDTF">2025-04-29T10:06:12Z</dcterms:created>
  <dcterms:modified xsi:type="dcterms:W3CDTF">2025-04-29T10:09:11Z</dcterms:modified>
</cp:coreProperties>
</file>